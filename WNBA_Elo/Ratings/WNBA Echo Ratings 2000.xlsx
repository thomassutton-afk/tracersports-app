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B2E9357E-230D-45EB-A6C5-566BAF1F2372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3" l="1"/>
  <c r="H39" i="3"/>
  <c r="H38" i="3"/>
  <c r="G38" i="3" s="1" a="1"/>
  <c r="H37" i="3"/>
  <c r="H36" i="3"/>
  <c r="H35" i="3"/>
  <c r="H34" i="3"/>
  <c r="H33" i="3"/>
  <c r="H32" i="3"/>
  <c r="H31" i="3"/>
  <c r="H30" i="3"/>
  <c r="H29" i="3"/>
  <c r="H28" i="3"/>
  <c r="H27" i="3"/>
  <c r="H26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C478" i="2"/>
  <c r="Y478" i="2" s="1"/>
  <c r="C479" i="2"/>
  <c r="Y479" i="2" s="1"/>
  <c r="C480" i="2"/>
  <c r="Y480" i="2" s="1"/>
  <c r="C481" i="2"/>
  <c r="Y481" i="2" s="1"/>
  <c r="C482" i="2"/>
  <c r="Y482" i="2" s="1"/>
  <c r="C483" i="2"/>
  <c r="Y483" i="2" s="1"/>
  <c r="C484" i="2"/>
  <c r="Y484" i="2" s="1"/>
  <c r="C485" i="2"/>
  <c r="Y485" i="2" s="1"/>
  <c r="C486" i="2"/>
  <c r="Y486" i="2" s="1"/>
  <c r="C487" i="2"/>
  <c r="Y487" i="2" s="1"/>
  <c r="C488" i="2"/>
  <c r="Y488" i="2" s="1"/>
  <c r="C489" i="2"/>
  <c r="Y489" i="2" s="1"/>
  <c r="C490" i="2"/>
  <c r="Y490" i="2" s="1"/>
  <c r="C491" i="2"/>
  <c r="Y491" i="2" s="1"/>
  <c r="C492" i="2"/>
  <c r="Y492" i="2" s="1"/>
  <c r="C493" i="2"/>
  <c r="Y493" i="2" s="1"/>
  <c r="C494" i="2"/>
  <c r="Y494" i="2" s="1"/>
  <c r="C495" i="2"/>
  <c r="Y495" i="2" s="1"/>
  <c r="C496" i="2"/>
  <c r="Y496" i="2" s="1"/>
  <c r="C497" i="2"/>
  <c r="Y497" i="2" s="1"/>
  <c r="C498" i="2"/>
  <c r="Y498" i="2" s="1"/>
  <c r="C499" i="2"/>
  <c r="Y499" i="2" s="1"/>
  <c r="C500" i="2"/>
  <c r="Y500" i="2" s="1"/>
  <c r="C501" i="2"/>
  <c r="Y501" i="2" s="1"/>
  <c r="C502" i="2"/>
  <c r="Y502" i="2" s="1"/>
  <c r="C503" i="2"/>
  <c r="Y503" i="2" s="1"/>
  <c r="C504" i="2"/>
  <c r="Y504" i="2" s="1"/>
  <c r="C505" i="2"/>
  <c r="Y505" i="2" s="1"/>
  <c r="C506" i="2"/>
  <c r="Y506" i="2" s="1"/>
  <c r="C507" i="2"/>
  <c r="Y507" i="2" s="1"/>
  <c r="C508" i="2"/>
  <c r="Y508" i="2" s="1"/>
  <c r="C509" i="2"/>
  <c r="Y509" i="2" s="1"/>
  <c r="C510" i="2"/>
  <c r="Y510" i="2" s="1"/>
  <c r="C511" i="2"/>
  <c r="Y511" i="2" s="1"/>
  <c r="C512" i="2"/>
  <c r="Y512" i="2" s="1"/>
  <c r="C513" i="2"/>
  <c r="Y513" i="2" s="1"/>
  <c r="C514" i="2"/>
  <c r="Y514" i="2" s="1"/>
  <c r="C515" i="2"/>
  <c r="Y515" i="2" s="1"/>
  <c r="C516" i="2"/>
  <c r="Y516" i="2" s="1"/>
  <c r="C517" i="2"/>
  <c r="Y517" i="2" s="1"/>
  <c r="C518" i="2"/>
  <c r="Y518" i="2" s="1"/>
  <c r="C519" i="2"/>
  <c r="Y519" i="2" s="1"/>
  <c r="C520" i="2"/>
  <c r="Y520" i="2" s="1"/>
  <c r="C521" i="2"/>
  <c r="Y521" i="2" s="1"/>
  <c r="C522" i="2"/>
  <c r="Y522" i="2" s="1"/>
  <c r="C523" i="2"/>
  <c r="Y523" i="2" s="1"/>
  <c r="C524" i="2"/>
  <c r="Y524" i="2" s="1"/>
  <c r="C525" i="2"/>
  <c r="Y525" i="2" s="1"/>
  <c r="C526" i="2"/>
  <c r="Y526" i="2" s="1"/>
  <c r="C527" i="2"/>
  <c r="Y527" i="2" s="1"/>
  <c r="C528" i="2"/>
  <c r="Y528" i="2" s="1"/>
  <c r="C529" i="2"/>
  <c r="Y529" i="2" s="1"/>
  <c r="C530" i="2"/>
  <c r="Y530" i="2" s="1"/>
  <c r="C531" i="2"/>
  <c r="Y531" i="2" s="1"/>
  <c r="C532" i="2"/>
  <c r="Y532" i="2" s="1"/>
  <c r="C533" i="2"/>
  <c r="Y533" i="2" s="1"/>
  <c r="C534" i="2"/>
  <c r="Y534" i="2" s="1"/>
  <c r="C535" i="2"/>
  <c r="Y535" i="2" s="1"/>
  <c r="C536" i="2"/>
  <c r="Y536" i="2" s="1"/>
  <c r="C537" i="2"/>
  <c r="Y537" i="2" s="1"/>
  <c r="C538" i="2"/>
  <c r="Y538" i="2" s="1"/>
  <c r="C539" i="2"/>
  <c r="Y539" i="2" s="1"/>
  <c r="C540" i="2"/>
  <c r="Y540" i="2" s="1"/>
  <c r="C541" i="2"/>
  <c r="Y541" i="2" s="1"/>
  <c r="C542" i="2"/>
  <c r="Y542" i="2" s="1"/>
  <c r="C543" i="2"/>
  <c r="Y543" i="2" s="1"/>
  <c r="C544" i="2"/>
  <c r="Y544" i="2" s="1"/>
  <c r="C545" i="2"/>
  <c r="Y545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I516" i="2" a="1"/>
  <c r="I517" i="2" a="1"/>
  <c r="I518" i="2" a="1"/>
  <c r="I519" i="2" a="1"/>
  <c r="I520" i="2" a="1"/>
  <c r="I521" i="2" a="1"/>
  <c r="I522" i="2" a="1"/>
  <c r="I523" i="2" a="1"/>
  <c r="I524" i="2" a="1"/>
  <c r="I525" i="2" a="1"/>
  <c r="I526" i="2" a="1"/>
  <c r="I527" i="2" a="1"/>
  <c r="I528" i="2" a="1"/>
  <c r="I529" i="2" a="1"/>
  <c r="I530" i="2" a="1"/>
  <c r="I531" i="2" a="1"/>
  <c r="I532" i="2" a="1"/>
  <c r="I533" i="2" a="1"/>
  <c r="I534" i="2" a="1"/>
  <c r="I535" i="2" a="1"/>
  <c r="I536" i="2" a="1"/>
  <c r="I537" i="2" a="1"/>
  <c r="I538" i="2" a="1"/>
  <c r="I539" i="2" a="1"/>
  <c r="I540" i="2" a="1"/>
  <c r="I541" i="2" a="1"/>
  <c r="I542" i="2" a="1"/>
  <c r="I543" i="2" a="1"/>
  <c r="I544" i="2" a="1"/>
  <c r="I545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J524" i="2" a="1"/>
  <c r="J525" i="2" a="1"/>
  <c r="J526" i="2" a="1"/>
  <c r="J527" i="2" a="1"/>
  <c r="J528" i="2" a="1"/>
  <c r="J529" i="2" a="1"/>
  <c r="J530" i="2" a="1"/>
  <c r="J531" i="2" a="1"/>
  <c r="J532" i="2" a="1"/>
  <c r="J533" i="2" a="1"/>
  <c r="J534" i="2" a="1"/>
  <c r="J535" i="2" a="1"/>
  <c r="J536" i="2" a="1"/>
  <c r="J537" i="2" a="1"/>
  <c r="J538" i="2" a="1"/>
  <c r="J539" i="2" a="1"/>
  <c r="J540" i="2" a="1"/>
  <c r="J541" i="2" a="1"/>
  <c r="J542" i="2" a="1"/>
  <c r="K542" i="2" s="1"/>
  <c r="M542" i="2" s="1"/>
  <c r="J543" i="2" a="1"/>
  <c r="K543" i="2" s="1"/>
  <c r="M543" i="2" s="1"/>
  <c r="J544" i="2" a="1"/>
  <c r="K544" i="2" s="1"/>
  <c r="M544" i="2" s="1"/>
  <c r="J545" i="2" a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V408" i="2"/>
  <c r="AD408" i="2" s="1"/>
  <c r="V409" i="2"/>
  <c r="AD409" i="2" s="1"/>
  <c r="V410" i="2"/>
  <c r="AD410" i="2" s="1"/>
  <c r="V411" i="2"/>
  <c r="AD411" i="2" s="1"/>
  <c r="V412" i="2"/>
  <c r="AD412" i="2" s="1"/>
  <c r="V413" i="2"/>
  <c r="AD413" i="2" s="1"/>
  <c r="V414" i="2"/>
  <c r="AD414" i="2" s="1"/>
  <c r="V415" i="2"/>
  <c r="AD415" i="2" s="1"/>
  <c r="V416" i="2"/>
  <c r="AD416" i="2" s="1"/>
  <c r="V417" i="2"/>
  <c r="AD417" i="2" s="1"/>
  <c r="V418" i="2"/>
  <c r="AD418" i="2" s="1"/>
  <c r="V419" i="2"/>
  <c r="AD419" i="2" s="1"/>
  <c r="V420" i="2"/>
  <c r="AD420" i="2" s="1"/>
  <c r="V421" i="2"/>
  <c r="AD421" i="2" s="1"/>
  <c r="V422" i="2"/>
  <c r="AD422" i="2" s="1"/>
  <c r="V423" i="2"/>
  <c r="AD423" i="2" s="1"/>
  <c r="V424" i="2"/>
  <c r="AD424" i="2" s="1"/>
  <c r="V425" i="2"/>
  <c r="AD425" i="2" s="1"/>
  <c r="V426" i="2"/>
  <c r="AD426" i="2" s="1"/>
  <c r="V427" i="2"/>
  <c r="AD427" i="2" s="1"/>
  <c r="V428" i="2"/>
  <c r="AD428" i="2" s="1"/>
  <c r="V429" i="2"/>
  <c r="AD429" i="2" s="1"/>
  <c r="V430" i="2"/>
  <c r="AD430" i="2" s="1"/>
  <c r="V431" i="2"/>
  <c r="AD431" i="2" s="1"/>
  <c r="V432" i="2"/>
  <c r="AD432" i="2" s="1"/>
  <c r="V433" i="2"/>
  <c r="AD433" i="2" s="1"/>
  <c r="V434" i="2"/>
  <c r="AD434" i="2" s="1"/>
  <c r="V435" i="2"/>
  <c r="AD435" i="2" s="1"/>
  <c r="V436" i="2"/>
  <c r="AD436" i="2" s="1"/>
  <c r="V437" i="2"/>
  <c r="AD437" i="2" s="1"/>
  <c r="V438" i="2"/>
  <c r="AD438" i="2" s="1"/>
  <c r="V439" i="2"/>
  <c r="AD439" i="2" s="1"/>
  <c r="V440" i="2"/>
  <c r="AD440" i="2" s="1"/>
  <c r="V441" i="2"/>
  <c r="AD441" i="2" s="1"/>
  <c r="V442" i="2"/>
  <c r="AD442" i="2" s="1"/>
  <c r="V443" i="2"/>
  <c r="AD443" i="2" s="1"/>
  <c r="V444" i="2"/>
  <c r="AD444" i="2" s="1"/>
  <c r="V445" i="2"/>
  <c r="AD445" i="2" s="1"/>
  <c r="V446" i="2"/>
  <c r="AD446" i="2" s="1"/>
  <c r="V447" i="2"/>
  <c r="AD447" i="2" s="1"/>
  <c r="V448" i="2"/>
  <c r="AD448" i="2" s="1"/>
  <c r="V449" i="2"/>
  <c r="AD449" i="2" s="1"/>
  <c r="V450" i="2"/>
  <c r="AD450" i="2" s="1"/>
  <c r="V451" i="2"/>
  <c r="AD451" i="2" s="1"/>
  <c r="V452" i="2"/>
  <c r="AD452" i="2" s="1"/>
  <c r="V453" i="2"/>
  <c r="AD453" i="2" s="1"/>
  <c r="V454" i="2"/>
  <c r="AD454" i="2" s="1"/>
  <c r="V455" i="2"/>
  <c r="AD455" i="2" s="1"/>
  <c r="V456" i="2"/>
  <c r="AD456" i="2" s="1"/>
  <c r="V457" i="2"/>
  <c r="AD457" i="2" s="1"/>
  <c r="V458" i="2"/>
  <c r="AD458" i="2" s="1"/>
  <c r="V459" i="2"/>
  <c r="AD459" i="2" s="1"/>
  <c r="V460" i="2"/>
  <c r="AD460" i="2" s="1"/>
  <c r="V461" i="2"/>
  <c r="AD461" i="2" s="1"/>
  <c r="V462" i="2"/>
  <c r="AD462" i="2" s="1"/>
  <c r="V463" i="2"/>
  <c r="AD463" i="2" s="1"/>
  <c r="V464" i="2"/>
  <c r="AD464" i="2" s="1"/>
  <c r="V465" i="2"/>
  <c r="AD465" i="2" s="1"/>
  <c r="V466" i="2"/>
  <c r="AD466" i="2" s="1"/>
  <c r="V467" i="2"/>
  <c r="AD467" i="2" s="1"/>
  <c r="V468" i="2"/>
  <c r="AD468" i="2" s="1"/>
  <c r="V469" i="2"/>
  <c r="AD469" i="2" s="1"/>
  <c r="V470" i="2"/>
  <c r="AD470" i="2" s="1"/>
  <c r="V471" i="2"/>
  <c r="AD471" i="2" s="1"/>
  <c r="V472" i="2"/>
  <c r="AD472" i="2" s="1"/>
  <c r="V473" i="2"/>
  <c r="AD473" i="2" s="1"/>
  <c r="V474" i="2"/>
  <c r="AD474" i="2" s="1"/>
  <c r="V475" i="2"/>
  <c r="AD475" i="2" s="1"/>
  <c r="V476" i="2"/>
  <c r="AD476" i="2" s="1"/>
  <c r="V477" i="2"/>
  <c r="AD477" i="2" s="1"/>
  <c r="V478" i="2"/>
  <c r="AD478" i="2" s="1"/>
  <c r="V479" i="2"/>
  <c r="AD479" i="2" s="1"/>
  <c r="V480" i="2"/>
  <c r="AD480" i="2" s="1"/>
  <c r="V481" i="2"/>
  <c r="AD481" i="2" s="1"/>
  <c r="V482" i="2"/>
  <c r="AD482" i="2" s="1"/>
  <c r="V483" i="2"/>
  <c r="AD483" i="2" s="1"/>
  <c r="V484" i="2"/>
  <c r="AD484" i="2" s="1"/>
  <c r="V485" i="2"/>
  <c r="AD485" i="2" s="1"/>
  <c r="V486" i="2"/>
  <c r="AD486" i="2" s="1"/>
  <c r="V487" i="2"/>
  <c r="AD487" i="2" s="1"/>
  <c r="V488" i="2"/>
  <c r="AD488" i="2" s="1"/>
  <c r="V489" i="2"/>
  <c r="AD489" i="2" s="1"/>
  <c r="V490" i="2"/>
  <c r="AD490" i="2" s="1"/>
  <c r="V491" i="2"/>
  <c r="AD491" i="2" s="1"/>
  <c r="V492" i="2"/>
  <c r="AD492" i="2" s="1"/>
  <c r="V493" i="2"/>
  <c r="AD493" i="2" s="1"/>
  <c r="V494" i="2"/>
  <c r="AD494" i="2" s="1"/>
  <c r="V495" i="2"/>
  <c r="AD495" i="2" s="1"/>
  <c r="V496" i="2"/>
  <c r="AD496" i="2" s="1"/>
  <c r="V497" i="2"/>
  <c r="AD497" i="2" s="1"/>
  <c r="V498" i="2"/>
  <c r="AD498" i="2" s="1"/>
  <c r="V499" i="2"/>
  <c r="AD499" i="2" s="1"/>
  <c r="V500" i="2"/>
  <c r="AD500" i="2" s="1"/>
  <c r="V501" i="2"/>
  <c r="AD501" i="2" s="1"/>
  <c r="V502" i="2"/>
  <c r="AD502" i="2" s="1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X516" i="2" a="1"/>
  <c r="X517" i="2" a="1"/>
  <c r="X518" i="2" a="1"/>
  <c r="X519" i="2" a="1"/>
  <c r="X520" i="2" a="1"/>
  <c r="X521" i="2" a="1"/>
  <c r="X522" i="2" a="1"/>
  <c r="X523" i="2" a="1"/>
  <c r="X524" i="2" a="1"/>
  <c r="X525" i="2" a="1"/>
  <c r="X526" i="2" a="1"/>
  <c r="X527" i="2" a="1"/>
  <c r="X528" i="2" a="1"/>
  <c r="X529" i="2" a="1"/>
  <c r="X530" i="2" a="1"/>
  <c r="X531" i="2" a="1"/>
  <c r="X532" i="2" a="1"/>
  <c r="X533" i="2" a="1"/>
  <c r="X534" i="2" a="1"/>
  <c r="X535" i="2" a="1"/>
  <c r="X536" i="2" a="1"/>
  <c r="X537" i="2" a="1"/>
  <c r="X538" i="2" a="1"/>
  <c r="X539" i="2" a="1"/>
  <c r="X540" i="2" a="1"/>
  <c r="X541" i="2" a="1"/>
  <c r="X542" i="2" a="1"/>
  <c r="X543" i="2" a="1"/>
  <c r="X544" i="2" a="1"/>
  <c r="X545" i="2" a="1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E29" i="3"/>
  <c r="D29" i="3"/>
  <c r="F29" i="3" s="1"/>
  <c r="C29" i="3"/>
  <c r="B29" i="3"/>
  <c r="E31" i="3"/>
  <c r="D31" i="3"/>
  <c r="F31" i="3" s="1"/>
  <c r="C31" i="3"/>
  <c r="B31" i="3"/>
  <c r="E36" i="3"/>
  <c r="D36" i="3"/>
  <c r="F36" i="3" s="1"/>
  <c r="C36" i="3"/>
  <c r="B36" i="3"/>
  <c r="E38" i="3"/>
  <c r="D38" i="3"/>
  <c r="F38" i="3" s="1"/>
  <c r="C38" i="3"/>
  <c r="B38" i="3"/>
  <c r="C318" i="2"/>
  <c r="Y318" i="2" s="1"/>
  <c r="Z318" i="2" s="1"/>
  <c r="C319" i="2"/>
  <c r="Y319" i="2" s="1"/>
  <c r="Z319" i="2" s="1"/>
  <c r="C320" i="2"/>
  <c r="Y320" i="2" s="1"/>
  <c r="Z320" i="2" s="1"/>
  <c r="C321" i="2"/>
  <c r="Y321" i="2" s="1"/>
  <c r="Z321" i="2" s="1"/>
  <c r="C322" i="2"/>
  <c r="Y322" i="2" s="1"/>
  <c r="Z322" i="2" s="1"/>
  <c r="C323" i="2"/>
  <c r="Y323" i="2" s="1"/>
  <c r="Z323" i="2" s="1"/>
  <c r="C324" i="2"/>
  <c r="Y324" i="2" s="1"/>
  <c r="Z324" i="2" s="1"/>
  <c r="C325" i="2"/>
  <c r="Y325" i="2" s="1"/>
  <c r="Z325" i="2" s="1"/>
  <c r="C326" i="2"/>
  <c r="Y326" i="2" s="1"/>
  <c r="Z326" i="2" s="1"/>
  <c r="C327" i="2"/>
  <c r="Y327" i="2" s="1"/>
  <c r="Z327" i="2" s="1"/>
  <c r="C328" i="2"/>
  <c r="Y328" i="2" s="1"/>
  <c r="Z328" i="2" s="1"/>
  <c r="C329" i="2"/>
  <c r="Y329" i="2" s="1"/>
  <c r="Z329" i="2" s="1"/>
  <c r="C330" i="2"/>
  <c r="Y330" i="2" s="1"/>
  <c r="Z330" i="2" s="1"/>
  <c r="C331" i="2"/>
  <c r="Y331" i="2" s="1"/>
  <c r="Z331" i="2" s="1"/>
  <c r="C332" i="2"/>
  <c r="Y332" i="2" s="1"/>
  <c r="Z332" i="2" s="1"/>
  <c r="C333" i="2"/>
  <c r="Y333" i="2" s="1"/>
  <c r="Z333" i="2" s="1"/>
  <c r="C334" i="2"/>
  <c r="Y334" i="2" s="1"/>
  <c r="Z334" i="2" s="1"/>
  <c r="C335" i="2"/>
  <c r="Y335" i="2" s="1"/>
  <c r="Z335" i="2" s="1"/>
  <c r="C336" i="2"/>
  <c r="Y336" i="2" s="1"/>
  <c r="Z336" i="2" s="1"/>
  <c r="C337" i="2"/>
  <c r="Y337" i="2" s="1"/>
  <c r="Z337" i="2" s="1"/>
  <c r="C338" i="2"/>
  <c r="Y338" i="2" s="1"/>
  <c r="Z338" i="2" s="1"/>
  <c r="C339" i="2"/>
  <c r="Y339" i="2" s="1"/>
  <c r="Z339" i="2" s="1"/>
  <c r="C340" i="2"/>
  <c r="Y340" i="2" s="1"/>
  <c r="Z340" i="2" s="1"/>
  <c r="C341" i="2"/>
  <c r="Y341" i="2" s="1"/>
  <c r="Z341" i="2" s="1"/>
  <c r="C342" i="2"/>
  <c r="Y342" i="2" s="1"/>
  <c r="Z342" i="2" s="1"/>
  <c r="C343" i="2"/>
  <c r="Y343" i="2" s="1"/>
  <c r="Z343" i="2" s="1"/>
  <c r="C344" i="2"/>
  <c r="Y344" i="2" s="1"/>
  <c r="Z344" i="2" s="1"/>
  <c r="C345" i="2"/>
  <c r="Y345" i="2" s="1"/>
  <c r="Z345" i="2" s="1"/>
  <c r="C346" i="2"/>
  <c r="Y346" i="2" s="1"/>
  <c r="Z346" i="2" s="1"/>
  <c r="C347" i="2"/>
  <c r="Y347" i="2" s="1"/>
  <c r="Z347" i="2" s="1"/>
  <c r="C348" i="2"/>
  <c r="Y348" i="2" s="1"/>
  <c r="Z348" i="2" s="1"/>
  <c r="C349" i="2"/>
  <c r="Y349" i="2" s="1"/>
  <c r="Z349" i="2" s="1"/>
  <c r="C350" i="2"/>
  <c r="Y350" i="2" s="1"/>
  <c r="Z350" i="2" s="1"/>
  <c r="C351" i="2"/>
  <c r="Y351" i="2" s="1"/>
  <c r="Z351" i="2" s="1"/>
  <c r="C352" i="2"/>
  <c r="Y352" i="2" s="1"/>
  <c r="Z352" i="2" s="1"/>
  <c r="C353" i="2"/>
  <c r="Y353" i="2" s="1"/>
  <c r="Z353" i="2" s="1"/>
  <c r="C354" i="2"/>
  <c r="Y354" i="2" s="1"/>
  <c r="Z354" i="2" s="1"/>
  <c r="C355" i="2"/>
  <c r="Y355" i="2" s="1"/>
  <c r="Z355" i="2" s="1"/>
  <c r="C356" i="2"/>
  <c r="Y356" i="2" s="1"/>
  <c r="Z356" i="2" s="1"/>
  <c r="C357" i="2"/>
  <c r="Y357" i="2" s="1"/>
  <c r="Z357" i="2" s="1"/>
  <c r="C358" i="2"/>
  <c r="Y358" i="2" s="1"/>
  <c r="Z358" i="2" s="1"/>
  <c r="C359" i="2"/>
  <c r="Y359" i="2" s="1"/>
  <c r="Z359" i="2" s="1"/>
  <c r="C360" i="2"/>
  <c r="Y360" i="2" s="1"/>
  <c r="Z360" i="2" s="1"/>
  <c r="C361" i="2"/>
  <c r="Y361" i="2" s="1"/>
  <c r="Z361" i="2" s="1"/>
  <c r="C362" i="2"/>
  <c r="Y362" i="2" s="1"/>
  <c r="Z362" i="2" s="1"/>
  <c r="C363" i="2"/>
  <c r="Y363" i="2" s="1"/>
  <c r="Z363" i="2" s="1"/>
  <c r="C364" i="2"/>
  <c r="Y364" i="2" s="1"/>
  <c r="Z364" i="2" s="1"/>
  <c r="C365" i="2"/>
  <c r="Y365" i="2" s="1"/>
  <c r="Z365" i="2" s="1"/>
  <c r="C366" i="2"/>
  <c r="Y366" i="2" s="1"/>
  <c r="Z366" i="2" s="1"/>
  <c r="C367" i="2"/>
  <c r="Y367" i="2" s="1"/>
  <c r="Z367" i="2" s="1"/>
  <c r="C368" i="2"/>
  <c r="Y368" i="2" s="1"/>
  <c r="Z368" i="2" s="1"/>
  <c r="C369" i="2"/>
  <c r="Y369" i="2" s="1"/>
  <c r="Z369" i="2" s="1"/>
  <c r="C370" i="2"/>
  <c r="Y370" i="2" s="1"/>
  <c r="Z370" i="2" s="1"/>
  <c r="C371" i="2"/>
  <c r="Y371" i="2" s="1"/>
  <c r="Z371" i="2" s="1"/>
  <c r="C372" i="2"/>
  <c r="Y372" i="2" s="1"/>
  <c r="Z372" i="2" s="1"/>
  <c r="C373" i="2"/>
  <c r="Y373" i="2" s="1"/>
  <c r="Z373" i="2" s="1"/>
  <c r="C374" i="2"/>
  <c r="Y374" i="2" s="1"/>
  <c r="Z374" i="2" s="1"/>
  <c r="C375" i="2"/>
  <c r="Y375" i="2" s="1"/>
  <c r="Z375" i="2" s="1"/>
  <c r="C376" i="2"/>
  <c r="Y376" i="2" s="1"/>
  <c r="Z376" i="2" s="1"/>
  <c r="C377" i="2"/>
  <c r="Y377" i="2" s="1"/>
  <c r="Z377" i="2" s="1"/>
  <c r="C378" i="2"/>
  <c r="Y378" i="2" s="1"/>
  <c r="Z378" i="2" s="1"/>
  <c r="C379" i="2"/>
  <c r="Y379" i="2" s="1"/>
  <c r="Z379" i="2" s="1"/>
  <c r="C380" i="2"/>
  <c r="Y380" i="2" s="1"/>
  <c r="Z380" i="2" s="1"/>
  <c r="C381" i="2"/>
  <c r="Y381" i="2" s="1"/>
  <c r="Z381" i="2" s="1"/>
  <c r="C382" i="2"/>
  <c r="Y382" i="2" s="1"/>
  <c r="Z382" i="2" s="1"/>
  <c r="C383" i="2"/>
  <c r="Y383" i="2" s="1"/>
  <c r="Z383" i="2" s="1"/>
  <c r="C384" i="2"/>
  <c r="Y384" i="2" s="1"/>
  <c r="Z384" i="2" s="1"/>
  <c r="C385" i="2"/>
  <c r="Y385" i="2" s="1"/>
  <c r="Z385" i="2" s="1"/>
  <c r="C386" i="2"/>
  <c r="Y386" i="2" s="1"/>
  <c r="Z386" i="2" s="1"/>
  <c r="C387" i="2"/>
  <c r="Y387" i="2" s="1"/>
  <c r="Z387" i="2" s="1"/>
  <c r="C388" i="2"/>
  <c r="Y388" i="2" s="1"/>
  <c r="Z388" i="2" s="1"/>
  <c r="C389" i="2"/>
  <c r="Y389" i="2" s="1"/>
  <c r="Z389" i="2" s="1"/>
  <c r="C390" i="2"/>
  <c r="Y390" i="2" s="1"/>
  <c r="Z390" i="2" s="1"/>
  <c r="C391" i="2"/>
  <c r="Y391" i="2" s="1"/>
  <c r="Z391" i="2" s="1"/>
  <c r="C392" i="2"/>
  <c r="Y392" i="2" s="1"/>
  <c r="Z392" i="2" s="1"/>
  <c r="C393" i="2"/>
  <c r="Y393" i="2" s="1"/>
  <c r="Z393" i="2" s="1"/>
  <c r="C394" i="2"/>
  <c r="Y394" i="2" s="1"/>
  <c r="Z394" i="2" s="1"/>
  <c r="C395" i="2"/>
  <c r="Y395" i="2" s="1"/>
  <c r="Z395" i="2" s="1"/>
  <c r="C396" i="2"/>
  <c r="Y396" i="2" s="1"/>
  <c r="Z396" i="2" s="1"/>
  <c r="C397" i="2"/>
  <c r="Y397" i="2" s="1"/>
  <c r="Z397" i="2" s="1"/>
  <c r="C398" i="2"/>
  <c r="Y398" i="2" s="1"/>
  <c r="Z398" i="2" s="1"/>
  <c r="C399" i="2"/>
  <c r="Y399" i="2" s="1"/>
  <c r="Z399" i="2" s="1"/>
  <c r="C400" i="2"/>
  <c r="Y400" i="2" s="1"/>
  <c r="Z400" i="2" s="1"/>
  <c r="C401" i="2"/>
  <c r="Y401" i="2" s="1"/>
  <c r="Z401" i="2" s="1"/>
  <c r="C402" i="2"/>
  <c r="Y402" i="2" s="1"/>
  <c r="Z402" i="2" s="1"/>
  <c r="C403" i="2"/>
  <c r="Y403" i="2" s="1"/>
  <c r="Z403" i="2" s="1"/>
  <c r="C404" i="2"/>
  <c r="Y404" i="2" s="1"/>
  <c r="Z404" i="2" s="1"/>
  <c r="C405" i="2"/>
  <c r="Y405" i="2" s="1"/>
  <c r="Z405" i="2" s="1"/>
  <c r="C406" i="2"/>
  <c r="Y406" i="2" s="1"/>
  <c r="Z406" i="2" s="1"/>
  <c r="C407" i="2"/>
  <c r="Y407" i="2" s="1"/>
  <c r="Z407" i="2" s="1"/>
  <c r="I318" i="2" a="1"/>
  <c r="I319" i="2" a="1"/>
  <c r="I320" i="2" a="1"/>
  <c r="I321" i="2" a="1"/>
  <c r="I322" i="2" a="1"/>
  <c r="I323" i="2" a="1"/>
  <c r="I324" i="2" a="1"/>
  <c r="I325" i="2" a="1"/>
  <c r="K325" i="2" s="1"/>
  <c r="M325" i="2" s="1"/>
  <c r="I326" i="2" a="1"/>
  <c r="K326" i="2" s="1"/>
  <c r="M326" i="2" s="1"/>
  <c r="I327" i="2" a="1"/>
  <c r="K327" i="2" s="1"/>
  <c r="M327" i="2" s="1"/>
  <c r="I328" i="2" a="1"/>
  <c r="K328" i="2" s="1"/>
  <c r="M328" i="2" s="1"/>
  <c r="I329" i="2" a="1"/>
  <c r="K329" i="2" s="1"/>
  <c r="M329" i="2" s="1"/>
  <c r="I330" i="2" a="1"/>
  <c r="K330" i="2" s="1"/>
  <c r="M330" i="2" s="1"/>
  <c r="I331" i="2" a="1"/>
  <c r="K331" i="2" s="1"/>
  <c r="M331" i="2" s="1"/>
  <c r="I332" i="2" a="1"/>
  <c r="K332" i="2" s="1"/>
  <c r="M332" i="2" s="1"/>
  <c r="I333" i="2" a="1"/>
  <c r="K333" i="2" s="1"/>
  <c r="M333" i="2" s="1"/>
  <c r="I334" i="2" a="1"/>
  <c r="K334" i="2" s="1"/>
  <c r="M334" i="2" s="1"/>
  <c r="I335" i="2" a="1"/>
  <c r="K335" i="2" s="1"/>
  <c r="M335" i="2" s="1"/>
  <c r="I336" i="2" a="1"/>
  <c r="K336" i="2" s="1"/>
  <c r="M336" i="2" s="1"/>
  <c r="I337" i="2" a="1"/>
  <c r="K337" i="2" s="1"/>
  <c r="M337" i="2" s="1"/>
  <c r="I338" i="2" a="1"/>
  <c r="K338" i="2" s="1"/>
  <c r="M338" i="2" s="1"/>
  <c r="I339" i="2" a="1"/>
  <c r="K339" i="2" s="1"/>
  <c r="M339" i="2" s="1"/>
  <c r="I340" i="2" a="1"/>
  <c r="K340" i="2" s="1"/>
  <c r="M340" i="2" s="1"/>
  <c r="I341" i="2" a="1"/>
  <c r="K341" i="2" s="1"/>
  <c r="M341" i="2" s="1"/>
  <c r="I342" i="2" a="1"/>
  <c r="K342" i="2" s="1"/>
  <c r="M342" i="2" s="1"/>
  <c r="I343" i="2" a="1"/>
  <c r="K343" i="2" s="1"/>
  <c r="M343" i="2" s="1"/>
  <c r="I344" i="2" a="1"/>
  <c r="K344" i="2" s="1"/>
  <c r="M344" i="2" s="1"/>
  <c r="I345" i="2" a="1"/>
  <c r="K345" i="2" s="1"/>
  <c r="M345" i="2" s="1"/>
  <c r="I346" i="2" a="1"/>
  <c r="K346" i="2" s="1"/>
  <c r="M346" i="2" s="1"/>
  <c r="I347" i="2" a="1"/>
  <c r="K347" i="2" s="1"/>
  <c r="M347" i="2" s="1"/>
  <c r="I348" i="2" a="1"/>
  <c r="K348" i="2" s="1"/>
  <c r="M348" i="2" s="1"/>
  <c r="I349" i="2" a="1"/>
  <c r="K349" i="2" s="1"/>
  <c r="M349" i="2" s="1"/>
  <c r="I350" i="2" a="1"/>
  <c r="K350" i="2" s="1"/>
  <c r="M350" i="2" s="1"/>
  <c r="I351" i="2" a="1"/>
  <c r="K351" i="2" s="1"/>
  <c r="M351" i="2" s="1"/>
  <c r="I352" i="2" a="1"/>
  <c r="K352" i="2" s="1"/>
  <c r="M352" i="2" s="1"/>
  <c r="I353" i="2" a="1"/>
  <c r="K353" i="2" s="1"/>
  <c r="M353" i="2" s="1"/>
  <c r="I354" i="2" a="1"/>
  <c r="K354" i="2" s="1"/>
  <c r="M354" i="2" s="1"/>
  <c r="I355" i="2" a="1"/>
  <c r="K355" i="2" s="1"/>
  <c r="M355" i="2" s="1"/>
  <c r="I356" i="2" a="1"/>
  <c r="K356" i="2" s="1"/>
  <c r="M356" i="2" s="1"/>
  <c r="I357" i="2" a="1"/>
  <c r="K357" i="2" s="1"/>
  <c r="M357" i="2" s="1"/>
  <c r="I358" i="2" a="1"/>
  <c r="K358" i="2" s="1"/>
  <c r="M358" i="2" s="1"/>
  <c r="I359" i="2" a="1"/>
  <c r="K359" i="2" s="1"/>
  <c r="M359" i="2" s="1"/>
  <c r="I360" i="2" a="1"/>
  <c r="K360" i="2" s="1"/>
  <c r="M360" i="2" s="1"/>
  <c r="I361" i="2" a="1"/>
  <c r="K361" i="2" s="1"/>
  <c r="M361" i="2" s="1"/>
  <c r="I362" i="2" a="1"/>
  <c r="K362" i="2" s="1"/>
  <c r="M362" i="2" s="1"/>
  <c r="I363" i="2" a="1"/>
  <c r="K363" i="2" s="1"/>
  <c r="M363" i="2" s="1"/>
  <c r="I364" i="2" a="1"/>
  <c r="K364" i="2" s="1"/>
  <c r="M364" i="2" s="1"/>
  <c r="I365" i="2" a="1"/>
  <c r="K365" i="2" s="1"/>
  <c r="M365" i="2" s="1"/>
  <c r="I366" i="2" a="1"/>
  <c r="K366" i="2" s="1"/>
  <c r="M366" i="2" s="1"/>
  <c r="I367" i="2" a="1"/>
  <c r="K367" i="2" s="1"/>
  <c r="M367" i="2" s="1"/>
  <c r="I368" i="2" a="1"/>
  <c r="K368" i="2" s="1"/>
  <c r="M368" i="2" s="1"/>
  <c r="I369" i="2" a="1"/>
  <c r="K369" i="2" s="1"/>
  <c r="M369" i="2" s="1"/>
  <c r="I370" i="2" a="1"/>
  <c r="K370" i="2" s="1"/>
  <c r="M370" i="2" s="1"/>
  <c r="I371" i="2" a="1"/>
  <c r="K371" i="2" s="1"/>
  <c r="M371" i="2" s="1"/>
  <c r="I372" i="2" a="1"/>
  <c r="K372" i="2" s="1"/>
  <c r="M372" i="2" s="1"/>
  <c r="I373" i="2" a="1"/>
  <c r="K373" i="2" s="1"/>
  <c r="M373" i="2" s="1"/>
  <c r="I374" i="2" a="1"/>
  <c r="K374" i="2" s="1"/>
  <c r="M374" i="2" s="1"/>
  <c r="I375" i="2" a="1"/>
  <c r="K375" i="2" s="1"/>
  <c r="M375" i="2" s="1"/>
  <c r="I376" i="2" a="1"/>
  <c r="K376" i="2" s="1"/>
  <c r="M376" i="2" s="1"/>
  <c r="I377" i="2" a="1"/>
  <c r="K377" i="2" s="1"/>
  <c r="M377" i="2" s="1"/>
  <c r="I378" i="2" a="1"/>
  <c r="K378" i="2" s="1"/>
  <c r="M378" i="2" s="1"/>
  <c r="I379" i="2" a="1"/>
  <c r="K379" i="2" s="1"/>
  <c r="M379" i="2" s="1"/>
  <c r="I380" i="2" a="1"/>
  <c r="K380" i="2" s="1"/>
  <c r="M380" i="2" s="1"/>
  <c r="I381" i="2" a="1"/>
  <c r="K381" i="2" s="1"/>
  <c r="M381" i="2" s="1"/>
  <c r="I382" i="2" a="1"/>
  <c r="K382" i="2" s="1"/>
  <c r="M382" i="2" s="1"/>
  <c r="I383" i="2" a="1"/>
  <c r="K383" i="2" s="1"/>
  <c r="M383" i="2" s="1"/>
  <c r="I384" i="2" a="1"/>
  <c r="K384" i="2" s="1"/>
  <c r="M384" i="2" s="1"/>
  <c r="I385" i="2" a="1"/>
  <c r="K385" i="2" s="1"/>
  <c r="M385" i="2" s="1"/>
  <c r="I386" i="2" a="1"/>
  <c r="K386" i="2" s="1"/>
  <c r="M386" i="2" s="1"/>
  <c r="I387" i="2" a="1"/>
  <c r="K387" i="2" s="1"/>
  <c r="M387" i="2" s="1"/>
  <c r="I388" i="2" a="1"/>
  <c r="K388" i="2" s="1"/>
  <c r="M388" i="2" s="1"/>
  <c r="I389" i="2" a="1"/>
  <c r="K389" i="2" s="1"/>
  <c r="M389" i="2" s="1"/>
  <c r="I390" i="2" a="1"/>
  <c r="K390" i="2" s="1"/>
  <c r="M390" i="2" s="1"/>
  <c r="I391" i="2" a="1"/>
  <c r="K391" i="2" s="1"/>
  <c r="M391" i="2" s="1"/>
  <c r="I392" i="2" a="1"/>
  <c r="K392" i="2" s="1"/>
  <c r="M392" i="2" s="1"/>
  <c r="I393" i="2" a="1"/>
  <c r="K393" i="2" s="1"/>
  <c r="M393" i="2" s="1"/>
  <c r="I394" i="2" a="1"/>
  <c r="K394" i="2" s="1"/>
  <c r="M394" i="2" s="1"/>
  <c r="I395" i="2" a="1"/>
  <c r="K395" i="2" s="1"/>
  <c r="M395" i="2" s="1"/>
  <c r="I396" i="2" a="1"/>
  <c r="K396" i="2" s="1"/>
  <c r="M396" i="2" s="1"/>
  <c r="I397" i="2" a="1"/>
  <c r="K397" i="2" s="1"/>
  <c r="M397" i="2" s="1"/>
  <c r="I398" i="2" a="1"/>
  <c r="K398" i="2" s="1"/>
  <c r="M398" i="2" s="1"/>
  <c r="I399" i="2" a="1"/>
  <c r="K399" i="2" s="1"/>
  <c r="M399" i="2" s="1"/>
  <c r="I400" i="2" a="1"/>
  <c r="K400" i="2" s="1"/>
  <c r="M400" i="2" s="1"/>
  <c r="I401" i="2" a="1"/>
  <c r="K401" i="2" s="1"/>
  <c r="M401" i="2" s="1"/>
  <c r="I402" i="2" a="1"/>
  <c r="K402" i="2" s="1"/>
  <c r="M402" i="2" s="1"/>
  <c r="I403" i="2" a="1"/>
  <c r="K403" i="2" s="1"/>
  <c r="M403" i="2" s="1"/>
  <c r="I404" i="2" a="1"/>
  <c r="K404" i="2" s="1"/>
  <c r="M404" i="2" s="1"/>
  <c r="I405" i="2" a="1"/>
  <c r="K405" i="2" s="1"/>
  <c r="M405" i="2" s="1"/>
  <c r="I406" i="2" a="1"/>
  <c r="I407" i="2" a="1"/>
  <c r="J318" i="2" a="1"/>
  <c r="L318" i="2" s="1"/>
  <c r="N318" i="2" s="1"/>
  <c r="J319" i="2" a="1"/>
  <c r="L319" i="2" s="1"/>
  <c r="N319" i="2" s="1"/>
  <c r="J320" i="2" a="1"/>
  <c r="L320" i="2" s="1"/>
  <c r="N320" i="2" s="1"/>
  <c r="J321" i="2" a="1"/>
  <c r="L321" i="2" s="1"/>
  <c r="N321" i="2" s="1"/>
  <c r="J322" i="2" a="1"/>
  <c r="L322" i="2" s="1"/>
  <c r="N322" i="2" s="1"/>
  <c r="J323" i="2" a="1"/>
  <c r="L323" i="2" s="1"/>
  <c r="N323" i="2" s="1"/>
  <c r="J324" i="2" a="1"/>
  <c r="L324" i="2" s="1"/>
  <c r="N324" i="2" s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L345" i="2" s="1"/>
  <c r="N345" i="2" s="1"/>
  <c r="J346" i="2" a="1"/>
  <c r="L346" i="2" s="1"/>
  <c r="N346" i="2" s="1"/>
  <c r="J347" i="2" a="1"/>
  <c r="L347" i="2" s="1"/>
  <c r="N347" i="2" s="1"/>
  <c r="J348" i="2" a="1"/>
  <c r="L348" i="2" s="1"/>
  <c r="N348" i="2" s="1"/>
  <c r="J349" i="2" a="1"/>
  <c r="L349" i="2" s="1"/>
  <c r="N349" i="2" s="1"/>
  <c r="J350" i="2" a="1"/>
  <c r="L350" i="2" s="1"/>
  <c r="N350" i="2" s="1"/>
  <c r="J351" i="2" a="1"/>
  <c r="L351" i="2" s="1"/>
  <c r="N351" i="2" s="1"/>
  <c r="J352" i="2" a="1"/>
  <c r="L352" i="2" s="1"/>
  <c r="N352" i="2" s="1"/>
  <c r="J353" i="2" a="1"/>
  <c r="L353" i="2" s="1"/>
  <c r="N353" i="2" s="1"/>
  <c r="J354" i="2" a="1"/>
  <c r="L354" i="2" s="1"/>
  <c r="N354" i="2" s="1"/>
  <c r="J355" i="2" a="1"/>
  <c r="L355" i="2" s="1"/>
  <c r="N355" i="2" s="1"/>
  <c r="J356" i="2" a="1"/>
  <c r="L356" i="2" s="1"/>
  <c r="N356" i="2" s="1"/>
  <c r="J357" i="2" a="1"/>
  <c r="L357" i="2" s="1"/>
  <c r="N357" i="2" s="1"/>
  <c r="J358" i="2" a="1"/>
  <c r="L358" i="2" s="1"/>
  <c r="N358" i="2" s="1"/>
  <c r="J359" i="2" a="1"/>
  <c r="L359" i="2" s="1"/>
  <c r="N359" i="2" s="1"/>
  <c r="J360" i="2" a="1"/>
  <c r="L360" i="2" s="1"/>
  <c r="N360" i="2" s="1"/>
  <c r="J361" i="2" a="1"/>
  <c r="L361" i="2" s="1"/>
  <c r="N361" i="2" s="1"/>
  <c r="J362" i="2" a="1"/>
  <c r="L362" i="2" s="1"/>
  <c r="N362" i="2" s="1"/>
  <c r="J363" i="2" a="1"/>
  <c r="L363" i="2" s="1"/>
  <c r="N363" i="2" s="1"/>
  <c r="J364" i="2" a="1"/>
  <c r="L364" i="2" s="1"/>
  <c r="N364" i="2" s="1"/>
  <c r="J365" i="2" a="1"/>
  <c r="L365" i="2" s="1"/>
  <c r="N365" i="2" s="1"/>
  <c r="J366" i="2" a="1"/>
  <c r="L366" i="2" s="1"/>
  <c r="N366" i="2" s="1"/>
  <c r="J367" i="2" a="1"/>
  <c r="L367" i="2" s="1"/>
  <c r="N367" i="2" s="1"/>
  <c r="J368" i="2" a="1"/>
  <c r="L368" i="2" s="1"/>
  <c r="N368" i="2" s="1"/>
  <c r="J369" i="2" a="1"/>
  <c r="L369" i="2" s="1"/>
  <c r="N369" i="2" s="1"/>
  <c r="J370" i="2" a="1"/>
  <c r="L370" i="2" s="1"/>
  <c r="N370" i="2" s="1"/>
  <c r="J371" i="2" a="1"/>
  <c r="L371" i="2" s="1"/>
  <c r="N371" i="2" s="1"/>
  <c r="J372" i="2" a="1"/>
  <c r="L372" i="2" s="1"/>
  <c r="N372" i="2" s="1"/>
  <c r="J373" i="2" a="1"/>
  <c r="L373" i="2" s="1"/>
  <c r="N373" i="2" s="1"/>
  <c r="J374" i="2" a="1"/>
  <c r="L374" i="2" s="1"/>
  <c r="N374" i="2" s="1"/>
  <c r="J375" i="2" a="1"/>
  <c r="L375" i="2" s="1"/>
  <c r="N375" i="2" s="1"/>
  <c r="J376" i="2" a="1"/>
  <c r="L376" i="2" s="1"/>
  <c r="N376" i="2" s="1"/>
  <c r="J377" i="2" a="1"/>
  <c r="L377" i="2" s="1"/>
  <c r="N377" i="2" s="1"/>
  <c r="J378" i="2" a="1"/>
  <c r="L378" i="2" s="1"/>
  <c r="N378" i="2" s="1"/>
  <c r="J379" i="2" a="1"/>
  <c r="L379" i="2" s="1"/>
  <c r="N379" i="2" s="1"/>
  <c r="J380" i="2" a="1"/>
  <c r="L380" i="2" s="1"/>
  <c r="N380" i="2" s="1"/>
  <c r="J381" i="2" a="1"/>
  <c r="L381" i="2" s="1"/>
  <c r="N381" i="2" s="1"/>
  <c r="J382" i="2" a="1"/>
  <c r="L382" i="2" s="1"/>
  <c r="N382" i="2" s="1"/>
  <c r="J383" i="2" a="1"/>
  <c r="L383" i="2" s="1"/>
  <c r="N383" i="2" s="1"/>
  <c r="J384" i="2" a="1"/>
  <c r="L384" i="2" s="1"/>
  <c r="N384" i="2" s="1"/>
  <c r="J385" i="2" a="1"/>
  <c r="L385" i="2" s="1"/>
  <c r="N385" i="2" s="1"/>
  <c r="J386" i="2" a="1"/>
  <c r="L386" i="2" s="1"/>
  <c r="N386" i="2" s="1"/>
  <c r="J387" i="2" a="1"/>
  <c r="L387" i="2" s="1"/>
  <c r="N387" i="2" s="1"/>
  <c r="J388" i="2" a="1"/>
  <c r="L388" i="2" s="1"/>
  <c r="N388" i="2" s="1"/>
  <c r="J389" i="2" a="1"/>
  <c r="L389" i="2" s="1"/>
  <c r="N389" i="2" s="1"/>
  <c r="J390" i="2" a="1"/>
  <c r="L390" i="2" s="1"/>
  <c r="N390" i="2" s="1"/>
  <c r="J391" i="2" a="1"/>
  <c r="L391" i="2" s="1"/>
  <c r="N391" i="2" s="1"/>
  <c r="J392" i="2" a="1"/>
  <c r="L392" i="2" s="1"/>
  <c r="N392" i="2" s="1"/>
  <c r="J393" i="2" a="1"/>
  <c r="L393" i="2" s="1"/>
  <c r="N393" i="2" s="1"/>
  <c r="J394" i="2" a="1"/>
  <c r="L394" i="2" s="1"/>
  <c r="N394" i="2" s="1"/>
  <c r="J395" i="2" a="1"/>
  <c r="L395" i="2" s="1"/>
  <c r="N395" i="2" s="1"/>
  <c r="J396" i="2" a="1"/>
  <c r="L396" i="2" s="1"/>
  <c r="N396" i="2" s="1"/>
  <c r="J397" i="2" a="1"/>
  <c r="L397" i="2" s="1"/>
  <c r="N397" i="2" s="1"/>
  <c r="J398" i="2" a="1"/>
  <c r="L398" i="2" s="1"/>
  <c r="N398" i="2" s="1"/>
  <c r="J399" i="2" a="1"/>
  <c r="L399" i="2" s="1"/>
  <c r="N399" i="2" s="1"/>
  <c r="J400" i="2" a="1"/>
  <c r="L400" i="2" s="1"/>
  <c r="N400" i="2" s="1"/>
  <c r="J401" i="2" a="1"/>
  <c r="L401" i="2" s="1"/>
  <c r="N401" i="2" s="1"/>
  <c r="J402" i="2" a="1"/>
  <c r="L402" i="2" s="1"/>
  <c r="N402" i="2" s="1"/>
  <c r="J403" i="2" a="1"/>
  <c r="L403" i="2" s="1"/>
  <c r="N403" i="2" s="1"/>
  <c r="J404" i="2" a="1"/>
  <c r="L404" i="2" s="1"/>
  <c r="N404" i="2" s="1"/>
  <c r="J405" i="2" a="1"/>
  <c r="L405" i="2" s="1"/>
  <c r="N405" i="2" s="1"/>
  <c r="J406" i="2" a="1"/>
  <c r="J407" i="2" a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M324" i="2" s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AE386" i="2" s="1"/>
  <c r="V387" i="2"/>
  <c r="AE387" i="2" s="1"/>
  <c r="V388" i="2"/>
  <c r="AE388" i="2" s="1"/>
  <c r="V389" i="2"/>
  <c r="AE389" i="2" s="1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34" i="3"/>
  <c r="D34" i="3"/>
  <c r="C34" i="3"/>
  <c r="B34" i="3"/>
  <c r="E27" i="3"/>
  <c r="D27" i="3"/>
  <c r="F27" i="3" s="1"/>
  <c r="C27" i="3"/>
  <c r="B27" i="3"/>
  <c r="E40" i="3"/>
  <c r="D40" i="3"/>
  <c r="F40" i="3" s="1"/>
  <c r="C40" i="3"/>
  <c r="B40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J251" i="2" a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K248" i="2"/>
  <c r="K249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L248" i="2"/>
  <c r="L249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M248" i="2"/>
  <c r="M249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N248" i="2"/>
  <c r="N249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Z408" i="2" l="1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L545" i="2"/>
  <c r="N545" i="2" s="1"/>
  <c r="K545" i="2"/>
  <c r="M545" i="2" s="1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34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P9" i="2" l="1" a="1"/>
  <c r="O8" i="2" a="1"/>
  <c r="P8" i="2" a="1"/>
  <c r="O9" i="2" a="1"/>
  <c r="AA3" i="2"/>
  <c r="AB3" i="2" s="1"/>
  <c r="P4" i="2" l="1" a="1"/>
  <c r="O5" i="2" a="1"/>
  <c r="P5" i="2" a="1"/>
  <c r="Q5" i="2" s="1"/>
  <c r="P7" i="2" a="1"/>
  <c r="P6" i="2" a="1"/>
  <c r="O7" i="2" a="1"/>
  <c r="O4" i="2" a="1"/>
  <c r="O6" i="2" a="1"/>
  <c r="W9" i="2"/>
  <c r="W8" i="2"/>
  <c r="Q8" i="2"/>
  <c r="Q9" i="2"/>
  <c r="Q6" i="2" l="1"/>
  <c r="W7" i="2"/>
  <c r="W4" i="2"/>
  <c r="Q7" i="2"/>
  <c r="AA7" i="2" s="1"/>
  <c r="AB7" i="2" s="1"/>
  <c r="W6" i="2"/>
  <c r="AA6" i="2" s="1"/>
  <c r="AB6" i="2" s="1"/>
  <c r="Q4" i="2"/>
  <c r="W5" i="2"/>
  <c r="AA5" i="2" s="1"/>
  <c r="AB5" i="2" s="1"/>
  <c r="AA8" i="2"/>
  <c r="AB8" i="2" s="1"/>
  <c r="AA9" i="2"/>
  <c r="AB9" i="2" s="1"/>
  <c r="AA4" i="2" l="1"/>
  <c r="AB4" i="2" s="1"/>
  <c r="P11" i="2" a="1"/>
  <c r="O10" i="2" a="1"/>
  <c r="O13" i="2" a="1"/>
  <c r="P10" i="2" a="1"/>
  <c r="P13" i="2" a="1"/>
  <c r="O12" i="2" a="1"/>
  <c r="O11" i="2" a="1"/>
  <c r="P12" i="2" a="1"/>
  <c r="Q10" i="2" l="1"/>
  <c r="W11" i="2"/>
  <c r="Q13" i="2"/>
  <c r="Q12" i="2"/>
  <c r="W10" i="2"/>
  <c r="W12" i="2"/>
  <c r="W13" i="2"/>
  <c r="Q11" i="2"/>
  <c r="P14" i="2" a="1"/>
  <c r="O14" i="2" a="1"/>
  <c r="P15" i="2" a="1"/>
  <c r="O15" i="2" a="1"/>
  <c r="AA10" i="2" l="1"/>
  <c r="AB10" i="2" s="1"/>
  <c r="AA11" i="2"/>
  <c r="AB11" i="2" s="1"/>
  <c r="AA13" i="2"/>
  <c r="AB13" i="2" s="1"/>
  <c r="AA12" i="2"/>
  <c r="AB12" i="2" s="1"/>
  <c r="Q15" i="2"/>
  <c r="W14" i="2"/>
  <c r="Q14" i="2"/>
  <c r="W15" i="2"/>
  <c r="AA15" i="2" l="1"/>
  <c r="AB15" i="2" s="1"/>
  <c r="AA14" i="2"/>
  <c r="AB14" i="2" s="1"/>
  <c r="P17" i="2" a="1"/>
  <c r="O17" i="2" a="1"/>
  <c r="O16" i="2" a="1"/>
  <c r="P16" i="2" a="1"/>
  <c r="Q17" i="2" l="1"/>
  <c r="W16" i="2"/>
  <c r="W17" i="2"/>
  <c r="Q16" i="2"/>
  <c r="AA17" i="2" l="1"/>
  <c r="AB17" i="2" s="1"/>
  <c r="P19" i="2" a="1"/>
  <c r="O20" i="2" a="1"/>
  <c r="P18" i="2" a="1"/>
  <c r="O21" i="2" a="1"/>
  <c r="P20" i="2" a="1"/>
  <c r="O18" i="2" a="1"/>
  <c r="O19" i="2" a="1"/>
  <c r="P21" i="2" a="1"/>
  <c r="AA16" i="2"/>
  <c r="AB16" i="2" s="1"/>
  <c r="Q18" i="2" l="1"/>
  <c r="W21" i="2"/>
  <c r="W19" i="2"/>
  <c r="W20" i="2"/>
  <c r="Q20" i="2"/>
  <c r="Q21" i="2"/>
  <c r="W18" i="2"/>
  <c r="Q19" i="2"/>
  <c r="AA18" i="2" l="1"/>
  <c r="AB18" i="2" s="1"/>
  <c r="AA20" i="2"/>
  <c r="AB20" i="2" s="1"/>
  <c r="AA21" i="2"/>
  <c r="AB21" i="2" s="1"/>
  <c r="AA19" i="2"/>
  <c r="AB19" i="2" s="1"/>
  <c r="P22" i="2" l="1" a="1"/>
  <c r="O23" i="2" a="1"/>
  <c r="O22" i="2" a="1"/>
  <c r="P23" i="2" a="1"/>
  <c r="W23" i="2" l="1"/>
  <c r="W22" i="2"/>
  <c r="Q23" i="2"/>
  <c r="Q22" i="2"/>
  <c r="AY9" i="3"/>
  <c r="AY8" i="3"/>
  <c r="AY7" i="3"/>
  <c r="AY6" i="3"/>
  <c r="AY5" i="3"/>
  <c r="AY4" i="3"/>
  <c r="AY3" i="3"/>
  <c r="AY2" i="3"/>
  <c r="AA23" i="2" l="1"/>
  <c r="AB23" i="2" s="1"/>
  <c r="AA22" i="2"/>
  <c r="AB22" i="2" s="1"/>
  <c r="O27" i="2" a="1"/>
  <c r="P26" i="2" a="1"/>
  <c r="O26" i="2" a="1"/>
  <c r="P27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O24" i="2" l="1" a="1"/>
  <c r="O25" i="2" a="1"/>
  <c r="P25" i="2" a="1"/>
  <c r="Q25" i="2" s="1"/>
  <c r="P24" i="2" a="1"/>
  <c r="W26" i="2"/>
  <c r="Q27" i="2"/>
  <c r="W27" i="2"/>
  <c r="Q26" i="2"/>
  <c r="AV7" i="3"/>
  <c r="AV8" i="3"/>
  <c r="AV5" i="3"/>
  <c r="AW7" i="3"/>
  <c r="AW5" i="3"/>
  <c r="AW9" i="3"/>
  <c r="AW8" i="3"/>
  <c r="AV9" i="3"/>
  <c r="W24" i="2" l="1"/>
  <c r="W25" i="2"/>
  <c r="AA25" i="2" s="1"/>
  <c r="AB25" i="2" s="1"/>
  <c r="Q24" i="2"/>
  <c r="AA27" i="2"/>
  <c r="AB27" i="2" s="1"/>
  <c r="AA26" i="2"/>
  <c r="AB26" i="2" s="1"/>
  <c r="P28" i="2" a="1"/>
  <c r="O28" i="2" a="1"/>
  <c r="O29" i="2" a="1"/>
  <c r="P29" i="2" a="1"/>
  <c r="AZ9" i="3"/>
  <c r="AZ7" i="3"/>
  <c r="AZ8" i="3"/>
  <c r="AZ5" i="3"/>
  <c r="AA24" i="2" l="1"/>
  <c r="AB24" i="2" s="1"/>
  <c r="Q29" i="2"/>
  <c r="W28" i="2"/>
  <c r="Q28" i="2"/>
  <c r="W29" i="2"/>
  <c r="AA28" i="2" l="1"/>
  <c r="AB28" i="2" s="1"/>
  <c r="AA29" i="2"/>
  <c r="AB29" i="2" s="1"/>
  <c r="C37" i="3"/>
  <c r="B37" i="3"/>
  <c r="C35" i="3"/>
  <c r="B35" i="3"/>
  <c r="C39" i="3"/>
  <c r="B39" i="3"/>
  <c r="C30" i="3"/>
  <c r="B30" i="3"/>
  <c r="C33" i="3"/>
  <c r="B33" i="3"/>
  <c r="C26" i="3"/>
  <c r="B26" i="3"/>
  <c r="C25" i="3"/>
  <c r="B25" i="3"/>
  <c r="C28" i="3"/>
  <c r="B28" i="3"/>
  <c r="P30" i="2" l="1" a="1"/>
  <c r="P31" i="2" a="1"/>
  <c r="O31" i="2" a="1"/>
  <c r="O30" i="2" a="1"/>
  <c r="W30" i="2" l="1"/>
  <c r="Q31" i="2"/>
  <c r="W31" i="2"/>
  <c r="Q30" i="2"/>
  <c r="P37" i="2" a="1"/>
  <c r="P36" i="2" a="1"/>
  <c r="O36" i="2" a="1"/>
  <c r="O37" i="2" a="1"/>
  <c r="E37" i="3"/>
  <c r="D37" i="3"/>
  <c r="E35" i="3"/>
  <c r="D35" i="3"/>
  <c r="E39" i="3"/>
  <c r="D39" i="3"/>
  <c r="E30" i="3"/>
  <c r="D30" i="3"/>
  <c r="E33" i="3"/>
  <c r="D33" i="3"/>
  <c r="E26" i="3"/>
  <c r="D26" i="3"/>
  <c r="E25" i="3"/>
  <c r="E28" i="3"/>
  <c r="D25" i="3"/>
  <c r="AA30" i="2" l="1"/>
  <c r="AB30" i="2" s="1"/>
  <c r="AA31" i="2"/>
  <c r="AB31" i="2" s="1"/>
  <c r="P35" i="2" a="1"/>
  <c r="O35" i="2" a="1"/>
  <c r="P34" i="2" a="1"/>
  <c r="O34" i="2" a="1"/>
  <c r="P33" i="2" a="1"/>
  <c r="P32" i="2" a="1"/>
  <c r="O32" i="2" a="1"/>
  <c r="O33" i="2" a="1"/>
  <c r="Q36" i="2"/>
  <c r="W37" i="2"/>
  <c r="W36" i="2"/>
  <c r="Q37" i="2"/>
  <c r="F30" i="3"/>
  <c r="F37" i="3"/>
  <c r="F26" i="3"/>
  <c r="F25" i="3"/>
  <c r="F35" i="3"/>
  <c r="F39" i="3"/>
  <c r="F28" i="3"/>
  <c r="F33" i="3"/>
  <c r="W33" i="2" l="1"/>
  <c r="W34" i="2"/>
  <c r="W32" i="2"/>
  <c r="W35" i="2"/>
  <c r="Q34" i="2"/>
  <c r="Q33" i="2"/>
  <c r="Q32" i="2"/>
  <c r="Q35" i="2"/>
  <c r="AA36" i="2"/>
  <c r="AB36" i="2" s="1"/>
  <c r="AA37" i="2"/>
  <c r="AB37" i="2" s="1"/>
  <c r="AA33" i="2" l="1"/>
  <c r="AB33" i="2" s="1"/>
  <c r="AA34" i="2"/>
  <c r="AB34" i="2" s="1"/>
  <c r="AA32" i="2"/>
  <c r="AB32" i="2" s="1"/>
  <c r="AA35" i="2"/>
  <c r="AB35" i="2" s="1"/>
  <c r="O38" i="2" a="1"/>
  <c r="P39" i="2" a="1"/>
  <c r="O39" i="2" a="1"/>
  <c r="P38" i="2" a="1"/>
  <c r="W39" i="2" l="1"/>
  <c r="Q38" i="2"/>
  <c r="W38" i="2"/>
  <c r="Q39" i="2"/>
  <c r="AA38" i="2" l="1"/>
  <c r="AB38" i="2" s="1"/>
  <c r="AA39" i="2"/>
  <c r="AB39" i="2" s="1"/>
  <c r="O41" i="2" l="1" a="1"/>
  <c r="P40" i="2" a="1"/>
  <c r="O40" i="2" a="1"/>
  <c r="P41" i="2" a="1"/>
  <c r="AW3" i="3"/>
  <c r="AV3" i="3"/>
  <c r="Q40" i="2" l="1"/>
  <c r="W41" i="2"/>
  <c r="Q41" i="2"/>
  <c r="AA41" i="2" s="1"/>
  <c r="AB41" i="2" s="1"/>
  <c r="W40" i="2"/>
  <c r="AZ3" i="3"/>
  <c r="P48" i="2" a="1"/>
  <c r="O47" i="2" a="1"/>
  <c r="O49" i="2" a="1"/>
  <c r="P49" i="2" a="1"/>
  <c r="P46" i="2" a="1"/>
  <c r="O46" i="2" a="1"/>
  <c r="P47" i="2" a="1"/>
  <c r="O48" i="2" a="1"/>
  <c r="AV2" i="3"/>
  <c r="AW2" i="3"/>
  <c r="AV4" i="3"/>
  <c r="AW4" i="3"/>
  <c r="AA40" i="2" l="1"/>
  <c r="AB40" i="2" s="1"/>
  <c r="P43" i="2" a="1"/>
  <c r="O43" i="2" a="1"/>
  <c r="W43" i="2" s="1"/>
  <c r="P42" i="2" a="1"/>
  <c r="O42" i="2" a="1"/>
  <c r="P44" i="2" a="1"/>
  <c r="Q44" i="2" s="1"/>
  <c r="O44" i="2" a="1"/>
  <c r="O45" i="2" a="1"/>
  <c r="W45" i="2" s="1"/>
  <c r="P45" i="2" a="1"/>
  <c r="W48" i="2"/>
  <c r="W46" i="2"/>
  <c r="W47" i="2"/>
  <c r="Q49" i="2"/>
  <c r="W49" i="2"/>
  <c r="Q46" i="2"/>
  <c r="Q47" i="2"/>
  <c r="Q48" i="2"/>
  <c r="AZ4" i="3"/>
  <c r="AZ2" i="3"/>
  <c r="AW6" i="3"/>
  <c r="AV6" i="3"/>
  <c r="W42" i="2" l="1"/>
  <c r="AA42" i="2" s="1"/>
  <c r="AB42" i="2" s="1"/>
  <c r="Q42" i="2"/>
  <c r="Q45" i="2"/>
  <c r="AA45" i="2" s="1"/>
  <c r="AB45" i="2" s="1"/>
  <c r="W44" i="2"/>
  <c r="AA44" i="2" s="1"/>
  <c r="AB44" i="2" s="1"/>
  <c r="Q43" i="2"/>
  <c r="AA43" i="2" s="1"/>
  <c r="AB43" i="2" s="1"/>
  <c r="AA49" i="2"/>
  <c r="AB49" i="2" s="1"/>
  <c r="AA47" i="2"/>
  <c r="AB47" i="2" s="1"/>
  <c r="AA46" i="2"/>
  <c r="AB46" i="2" s="1"/>
  <c r="AA48" i="2"/>
  <c r="AB48" i="2" s="1"/>
  <c r="AZ6" i="3"/>
  <c r="O50" i="2" l="1" a="1"/>
  <c r="P50" i="2" a="1"/>
  <c r="P51" i="2" a="1"/>
  <c r="O51" i="2" a="1"/>
  <c r="W51" i="2" l="1"/>
  <c r="Q50" i="2"/>
  <c r="W50" i="2"/>
  <c r="Q51" i="2"/>
  <c r="AA50" i="2" l="1"/>
  <c r="AB50" i="2" s="1"/>
  <c r="AA51" i="2"/>
  <c r="AB51" i="2" s="1"/>
  <c r="O52" i="2" l="1" a="1"/>
  <c r="P52" i="2" a="1"/>
  <c r="O53" i="2" a="1"/>
  <c r="P53" i="2" a="1"/>
  <c r="Q52" i="2" l="1"/>
  <c r="W52" i="2"/>
  <c r="W53" i="2"/>
  <c r="Q53" i="2"/>
  <c r="O54" i="2" a="1"/>
  <c r="O55" i="2" a="1"/>
  <c r="P54" i="2" a="1"/>
  <c r="P55" i="2" a="1"/>
  <c r="AA52" i="2" l="1"/>
  <c r="AB52" i="2" s="1"/>
  <c r="AA53" i="2"/>
  <c r="AB53" i="2" s="1"/>
  <c r="Q54" i="2"/>
  <c r="Q55" i="2"/>
  <c r="W54" i="2"/>
  <c r="W55" i="2"/>
  <c r="AA54" i="2" l="1"/>
  <c r="AB54" i="2" s="1"/>
  <c r="AA55" i="2"/>
  <c r="AB55" i="2" s="1"/>
  <c r="O56" i="2" a="1"/>
  <c r="P59" i="2" a="1"/>
  <c r="P58" i="2" a="1"/>
  <c r="O57" i="2" a="1"/>
  <c r="P56" i="2" a="1"/>
  <c r="O59" i="2" a="1"/>
  <c r="P57" i="2" a="1"/>
  <c r="O58" i="2" a="1"/>
  <c r="O60" i="2" l="1" a="1"/>
  <c r="P63" i="2" a="1"/>
  <c r="Q63" i="2" s="1"/>
  <c r="O63" i="2" a="1"/>
  <c r="O61" i="2" a="1"/>
  <c r="P62" i="2" a="1"/>
  <c r="P61" i="2" a="1"/>
  <c r="Q61" i="2" s="1"/>
  <c r="P60" i="2" a="1"/>
  <c r="Q60" i="2" s="1"/>
  <c r="O62" i="2" a="1"/>
  <c r="Q57" i="2"/>
  <c r="Q56" i="2"/>
  <c r="W59" i="2"/>
  <c r="W58" i="2"/>
  <c r="W56" i="2"/>
  <c r="W57" i="2"/>
  <c r="Q58" i="2"/>
  <c r="Q59" i="2"/>
  <c r="Q62" i="2" l="1"/>
  <c r="W60" i="2"/>
  <c r="AA60" i="2" s="1"/>
  <c r="AB60" i="2" s="1"/>
  <c r="W63" i="2"/>
  <c r="AA63" i="2" s="1"/>
  <c r="AB63" i="2" s="1"/>
  <c r="W61" i="2"/>
  <c r="AA61" i="2" s="1"/>
  <c r="AB61" i="2" s="1"/>
  <c r="W62" i="2"/>
  <c r="AA62" i="2" s="1"/>
  <c r="AB62" i="2" s="1"/>
  <c r="AA58" i="2"/>
  <c r="AB58" i="2" s="1"/>
  <c r="AA56" i="2"/>
  <c r="AB56" i="2" s="1"/>
  <c r="AA59" i="2"/>
  <c r="AB59" i="2" s="1"/>
  <c r="AA57" i="2"/>
  <c r="AB57" i="2" s="1"/>
  <c r="O64" i="2" l="1" a="1"/>
  <c r="W64" i="2" s="1"/>
  <c r="O65" i="2" a="1"/>
  <c r="W65" i="2" s="1"/>
  <c r="P65" i="2" a="1"/>
  <c r="P64" i="2" a="1"/>
  <c r="P69" i="2" a="1"/>
  <c r="O69" i="2" a="1"/>
  <c r="O68" i="2" a="1"/>
  <c r="P68" i="2" a="1"/>
  <c r="Q65" i="2" l="1"/>
  <c r="AA65" i="2" s="1"/>
  <c r="AB65" i="2" s="1"/>
  <c r="Q64" i="2"/>
  <c r="AA64" i="2" s="1"/>
  <c r="AB64" i="2" s="1"/>
  <c r="O67" i="2" a="1"/>
  <c r="P66" i="2" a="1"/>
  <c r="O66" i="2" a="1"/>
  <c r="P67" i="2" a="1"/>
  <c r="Q68" i="2"/>
  <c r="W69" i="2"/>
  <c r="W68" i="2"/>
  <c r="Q69" i="2"/>
  <c r="AA69" i="2" l="1"/>
  <c r="AB69" i="2" s="1"/>
  <c r="Q66" i="2"/>
  <c r="W67" i="2"/>
  <c r="W66" i="2"/>
  <c r="Q67" i="2"/>
  <c r="AA68" i="2"/>
  <c r="AB68" i="2" s="1"/>
  <c r="O73" i="2" l="1" a="1"/>
  <c r="O72" i="2" a="1"/>
  <c r="P72" i="2" a="1"/>
  <c r="P70" i="2" a="1"/>
  <c r="O71" i="2" a="1"/>
  <c r="P71" i="2" a="1"/>
  <c r="O70" i="2" a="1"/>
  <c r="P73" i="2" a="1"/>
  <c r="AA66" i="2"/>
  <c r="AB66" i="2" s="1"/>
  <c r="AA67" i="2"/>
  <c r="AB67" i="2" s="1"/>
  <c r="O75" i="2" a="1"/>
  <c r="P74" i="2" a="1"/>
  <c r="P75" i="2" a="1"/>
  <c r="O74" i="2" a="1"/>
  <c r="W70" i="2" l="1"/>
  <c r="W73" i="2"/>
  <c r="W72" i="2"/>
  <c r="Q71" i="2"/>
  <c r="Q72" i="2"/>
  <c r="Q70" i="2"/>
  <c r="W71" i="2"/>
  <c r="Q73" i="2"/>
  <c r="Q75" i="2"/>
  <c r="W74" i="2"/>
  <c r="Q74" i="2"/>
  <c r="W75" i="2"/>
  <c r="AA72" i="2" l="1"/>
  <c r="AB72" i="2" s="1"/>
  <c r="AA70" i="2"/>
  <c r="AB70" i="2" s="1"/>
  <c r="AA71" i="2"/>
  <c r="AB71" i="2" s="1"/>
  <c r="AA73" i="2"/>
  <c r="AB73" i="2" s="1"/>
  <c r="AA75" i="2"/>
  <c r="AB75" i="2" s="1"/>
  <c r="AA74" i="2"/>
  <c r="AB74" i="2" s="1"/>
  <c r="P76" i="2" a="1"/>
  <c r="O77" i="2" a="1"/>
  <c r="O76" i="2" a="1"/>
  <c r="P77" i="2" a="1"/>
  <c r="W76" i="2" l="1"/>
  <c r="W77" i="2"/>
  <c r="Q76" i="2"/>
  <c r="Q77" i="2"/>
  <c r="AA76" i="2" l="1"/>
  <c r="AB76" i="2" s="1"/>
  <c r="AA77" i="2"/>
  <c r="AB77" i="2" s="1"/>
  <c r="P78" i="2" l="1" a="1"/>
  <c r="O79" i="2" a="1"/>
  <c r="O81" i="2" a="1"/>
  <c r="P81" i="2" a="1"/>
  <c r="P79" i="2" a="1"/>
  <c r="P80" i="2" a="1"/>
  <c r="O80" i="2" a="1"/>
  <c r="O78" i="2" a="1"/>
  <c r="O84" i="2" a="1"/>
  <c r="O85" i="2" a="1"/>
  <c r="P85" i="2" a="1"/>
  <c r="P84" i="2" a="1"/>
  <c r="O83" i="2" a="1"/>
  <c r="P82" i="2" a="1"/>
  <c r="O82" i="2" a="1"/>
  <c r="P83" i="2" a="1"/>
  <c r="W79" i="2" l="1"/>
  <c r="Q80" i="2"/>
  <c r="Q78" i="2"/>
  <c r="W81" i="2"/>
  <c r="Q81" i="2"/>
  <c r="Q79" i="2"/>
  <c r="W80" i="2"/>
  <c r="W78" i="2"/>
  <c r="W85" i="2"/>
  <c r="Q84" i="2"/>
  <c r="W84" i="2"/>
  <c r="Q85" i="2"/>
  <c r="W82" i="2"/>
  <c r="Q82" i="2"/>
  <c r="W83" i="2"/>
  <c r="Q83" i="2"/>
  <c r="AA80" i="2" l="1"/>
  <c r="AB80" i="2" s="1"/>
  <c r="AA79" i="2"/>
  <c r="AB79" i="2" s="1"/>
  <c r="AA78" i="2"/>
  <c r="AB78" i="2" s="1"/>
  <c r="AA81" i="2"/>
  <c r="AB81" i="2" s="1"/>
  <c r="AA84" i="2"/>
  <c r="AB84" i="2" s="1"/>
  <c r="AA85" i="2"/>
  <c r="AB85" i="2" s="1"/>
  <c r="AA82" i="2"/>
  <c r="AB82" i="2" s="1"/>
  <c r="AA83" i="2"/>
  <c r="AB83" i="2" s="1"/>
  <c r="O87" i="2" l="1" a="1"/>
  <c r="P87" i="2" a="1"/>
  <c r="O86" i="2" a="1"/>
  <c r="P86" i="2" a="1"/>
  <c r="W86" i="2" l="1"/>
  <c r="Q87" i="2"/>
  <c r="Q86" i="2"/>
  <c r="W87" i="2"/>
  <c r="AA86" i="2" l="1"/>
  <c r="AB86" i="2" s="1"/>
  <c r="AA87" i="2"/>
  <c r="AB87" i="2" s="1"/>
  <c r="P89" i="2" a="1"/>
  <c r="P88" i="2" a="1"/>
  <c r="O88" i="2" a="1"/>
  <c r="O89" i="2" a="1"/>
  <c r="W89" i="2" l="1"/>
  <c r="W88" i="2"/>
  <c r="Q89" i="2"/>
  <c r="Q88" i="2"/>
  <c r="AA89" i="2" l="1"/>
  <c r="AB89" i="2" s="1"/>
  <c r="AA88" i="2"/>
  <c r="AB88" i="2" s="1"/>
  <c r="P92" i="2" l="1" a="1"/>
  <c r="O91" i="2" a="1"/>
  <c r="W91" i="2" s="1"/>
  <c r="O93" i="2" a="1"/>
  <c r="P90" i="2" a="1"/>
  <c r="P93" i="2" a="1"/>
  <c r="O92" i="2" a="1"/>
  <c r="W92" i="2" s="1"/>
  <c r="O90" i="2" a="1"/>
  <c r="P91" i="2" a="1"/>
  <c r="P95" i="2" a="1"/>
  <c r="O94" i="2" a="1"/>
  <c r="O95" i="2" a="1"/>
  <c r="P94" i="2" a="1"/>
  <c r="Q93" i="2" l="1"/>
  <c r="Q90" i="2"/>
  <c r="W95" i="2"/>
  <c r="Q94" i="2"/>
  <c r="Q92" i="2"/>
  <c r="AA92" i="2" s="1"/>
  <c r="AB92" i="2" s="1"/>
  <c r="W93" i="2"/>
  <c r="W90" i="2"/>
  <c r="Q91" i="2"/>
  <c r="AA91" i="2" s="1"/>
  <c r="AB91" i="2" s="1"/>
  <c r="Q95" i="2"/>
  <c r="W94" i="2"/>
  <c r="O97" i="2" a="1"/>
  <c r="O96" i="2" a="1"/>
  <c r="P97" i="2" a="1"/>
  <c r="P96" i="2" a="1"/>
  <c r="AA93" i="2" l="1"/>
  <c r="AB93" i="2" s="1"/>
  <c r="AA90" i="2"/>
  <c r="AB90" i="2" s="1"/>
  <c r="AA95" i="2"/>
  <c r="AB95" i="2" s="1"/>
  <c r="AA94" i="2"/>
  <c r="AB94" i="2" s="1"/>
  <c r="Q96" i="2"/>
  <c r="Q97" i="2"/>
  <c r="W97" i="2"/>
  <c r="W96" i="2"/>
  <c r="AA96" i="2" l="1"/>
  <c r="AB96" i="2" s="1"/>
  <c r="AA97" i="2"/>
  <c r="AB97" i="2" s="1"/>
  <c r="P99" i="2" a="1"/>
  <c r="O98" i="2" a="1"/>
  <c r="P98" i="2" a="1"/>
  <c r="O99" i="2" a="1"/>
  <c r="O100" i="2" a="1"/>
  <c r="O101" i="2" a="1"/>
  <c r="P100" i="2" a="1"/>
  <c r="P101" i="2" a="1"/>
  <c r="Q100" i="2" l="1"/>
  <c r="Q101" i="2"/>
  <c r="Q98" i="2"/>
  <c r="Q99" i="2"/>
  <c r="W100" i="2"/>
  <c r="W99" i="2"/>
  <c r="W101" i="2"/>
  <c r="W98" i="2"/>
  <c r="O105" i="2" a="1"/>
  <c r="P105" i="2" a="1"/>
  <c r="O104" i="2" a="1"/>
  <c r="P104" i="2" a="1"/>
  <c r="AA100" i="2" l="1"/>
  <c r="AB100" i="2" s="1"/>
  <c r="AA99" i="2"/>
  <c r="AB99" i="2" s="1"/>
  <c r="AA101" i="2"/>
  <c r="AB101" i="2" s="1"/>
  <c r="AA98" i="2"/>
  <c r="AB98" i="2" s="1"/>
  <c r="P103" i="2" a="1"/>
  <c r="P102" i="2" a="1"/>
  <c r="O102" i="2" a="1"/>
  <c r="O103" i="2" a="1"/>
  <c r="W105" i="2"/>
  <c r="W104" i="2"/>
  <c r="Q105" i="2"/>
  <c r="Q104" i="2"/>
  <c r="Q102" i="2" l="1"/>
  <c r="W103" i="2"/>
  <c r="W102" i="2"/>
  <c r="Q103" i="2"/>
  <c r="AA105" i="2"/>
  <c r="AB105" i="2" s="1"/>
  <c r="AA104" i="2"/>
  <c r="AB104" i="2" s="1"/>
  <c r="O106" i="2" l="1" a="1"/>
  <c r="O107" i="2" a="1"/>
  <c r="P107" i="2" a="1"/>
  <c r="P106" i="2" a="1"/>
  <c r="AA102" i="2"/>
  <c r="AB102" i="2" s="1"/>
  <c r="AA103" i="2"/>
  <c r="AB103" i="2" s="1"/>
  <c r="Q106" i="2" l="1"/>
  <c r="W107" i="2"/>
  <c r="W106" i="2"/>
  <c r="AA106" i="2" s="1"/>
  <c r="AB106" i="2" s="1"/>
  <c r="Q107" i="2"/>
  <c r="AA107" i="2" l="1"/>
  <c r="AB107" i="2" s="1"/>
  <c r="P110" i="2" a="1"/>
  <c r="O111" i="2" a="1"/>
  <c r="W111" i="2" s="1"/>
  <c r="P111" i="2" a="1"/>
  <c r="O108" i="2" a="1"/>
  <c r="W108" i="2" s="1"/>
  <c r="O109" i="2" a="1"/>
  <c r="O110" i="2" a="1"/>
  <c r="W110" i="2" s="1"/>
  <c r="P109" i="2" a="1"/>
  <c r="P108" i="2" a="1"/>
  <c r="O112" i="2" a="1"/>
  <c r="P113" i="2" a="1"/>
  <c r="O113" i="2" a="1"/>
  <c r="P112" i="2" a="1"/>
  <c r="Q109" i="2" l="1"/>
  <c r="Q110" i="2"/>
  <c r="AA110" i="2" s="1"/>
  <c r="AB110" i="2" s="1"/>
  <c r="Q111" i="2"/>
  <c r="AA111" i="2" s="1"/>
  <c r="AB111" i="2" s="1"/>
  <c r="W109" i="2"/>
  <c r="Q108" i="2"/>
  <c r="AA108" i="2" s="1"/>
  <c r="AB108" i="2" s="1"/>
  <c r="W113" i="2"/>
  <c r="Q113" i="2"/>
  <c r="W112" i="2"/>
  <c r="Q112" i="2"/>
  <c r="AA109" i="2" l="1"/>
  <c r="AB109" i="2" s="1"/>
  <c r="AA113" i="2"/>
  <c r="AB113" i="2" s="1"/>
  <c r="P114" i="2" a="1"/>
  <c r="O114" i="2" a="1"/>
  <c r="P115" i="2" a="1"/>
  <c r="O115" i="2" a="1"/>
  <c r="AA112" i="2"/>
  <c r="AB112" i="2" s="1"/>
  <c r="Q114" i="2" l="1"/>
  <c r="Q115" i="2"/>
  <c r="W114" i="2"/>
  <c r="W115" i="2"/>
  <c r="AA114" i="2" l="1"/>
  <c r="AB114" i="2" s="1"/>
  <c r="AA115" i="2"/>
  <c r="AB115" i="2" s="1"/>
  <c r="P116" i="2" l="1" a="1"/>
  <c r="P117" i="2" a="1"/>
  <c r="Q117" i="2" s="1"/>
  <c r="O116" i="2" a="1"/>
  <c r="O117" i="2" a="1"/>
  <c r="W117" i="2" l="1"/>
  <c r="AA117" i="2" s="1"/>
  <c r="AB117" i="2" s="1"/>
  <c r="Q116" i="2"/>
  <c r="O119" i="2" a="1"/>
  <c r="P119" i="2" a="1"/>
  <c r="Q119" i="2" s="1"/>
  <c r="P118" i="2" a="1"/>
  <c r="O118" i="2" a="1"/>
  <c r="W118" i="2" s="1"/>
  <c r="W116" i="2"/>
  <c r="AA116" i="2" s="1"/>
  <c r="AB116" i="2" s="1"/>
  <c r="O120" i="2" a="1"/>
  <c r="O121" i="2" a="1"/>
  <c r="P121" i="2" a="1"/>
  <c r="Q121" i="2" s="1"/>
  <c r="P120" i="2" a="1"/>
  <c r="Q120" i="2" s="1"/>
  <c r="W121" i="2" l="1"/>
  <c r="AA121" i="2" s="1"/>
  <c r="AB121" i="2" s="1"/>
  <c r="W120" i="2"/>
  <c r="AA120" i="2" s="1"/>
  <c r="AB120" i="2" s="1"/>
  <c r="W119" i="2"/>
  <c r="AA119" i="2" s="1"/>
  <c r="AB119" i="2" s="1"/>
  <c r="Q118" i="2"/>
  <c r="AA118" i="2" s="1"/>
  <c r="AB118" i="2" s="1"/>
  <c r="O123" i="2" a="1"/>
  <c r="O122" i="2" a="1"/>
  <c r="P123" i="2" a="1"/>
  <c r="P122" i="2" a="1"/>
  <c r="Q123" i="2" l="1"/>
  <c r="Q122" i="2"/>
  <c r="W122" i="2"/>
  <c r="W123" i="2"/>
  <c r="O124" i="2" a="1"/>
  <c r="P124" i="2" a="1"/>
  <c r="P125" i="2" a="1"/>
  <c r="O125" i="2" a="1"/>
  <c r="AA123" i="2" l="1"/>
  <c r="AB123" i="2" s="1"/>
  <c r="AA122" i="2"/>
  <c r="AB122" i="2" s="1"/>
  <c r="Q125" i="2"/>
  <c r="Q124" i="2"/>
  <c r="W125" i="2"/>
  <c r="W124" i="2"/>
  <c r="AA124" i="2" l="1"/>
  <c r="AB124" i="2" s="1"/>
  <c r="AA125" i="2"/>
  <c r="AB125" i="2" s="1"/>
  <c r="O127" i="2" a="1"/>
  <c r="P126" i="2" a="1"/>
  <c r="P127" i="2" a="1"/>
  <c r="O126" i="2" a="1"/>
  <c r="W126" i="2" l="1"/>
  <c r="Q126" i="2"/>
  <c r="Q127" i="2"/>
  <c r="W127" i="2"/>
  <c r="AA126" i="2" l="1"/>
  <c r="AB126" i="2" s="1"/>
  <c r="AA127" i="2"/>
  <c r="AB127" i="2" s="1"/>
  <c r="P129" i="2" a="1"/>
  <c r="O128" i="2" a="1"/>
  <c r="P128" i="2" a="1"/>
  <c r="O129" i="2" a="1"/>
  <c r="Q128" i="2" l="1"/>
  <c r="Q129" i="2"/>
  <c r="W128" i="2"/>
  <c r="W129" i="2"/>
  <c r="AA128" i="2" l="1"/>
  <c r="AB128" i="2" s="1"/>
  <c r="AA129" i="2"/>
  <c r="AB129" i="2" s="1"/>
  <c r="P135" i="2" a="1"/>
  <c r="P134" i="2" a="1"/>
  <c r="O134" i="2" a="1"/>
  <c r="O135" i="2" a="1"/>
  <c r="O131" i="2" l="1" a="1"/>
  <c r="P131" i="2" a="1"/>
  <c r="O130" i="2" a="1"/>
  <c r="P130" i="2" a="1"/>
  <c r="O132" i="2" a="1"/>
  <c r="O133" i="2" a="1"/>
  <c r="P133" i="2" a="1"/>
  <c r="P132" i="2" a="1"/>
  <c r="Q134" i="2"/>
  <c r="Q135" i="2"/>
  <c r="W134" i="2"/>
  <c r="W135" i="2"/>
  <c r="Q130" i="2" l="1"/>
  <c r="Q131" i="2"/>
  <c r="W131" i="2"/>
  <c r="W130" i="2"/>
  <c r="Q132" i="2"/>
  <c r="W133" i="2"/>
  <c r="Q133" i="2"/>
  <c r="W132" i="2"/>
  <c r="AA134" i="2"/>
  <c r="AB134" i="2" s="1"/>
  <c r="AA135" i="2"/>
  <c r="AB135" i="2" s="1"/>
  <c r="O136" i="2" a="1"/>
  <c r="P136" i="2" a="1"/>
  <c r="P137" i="2" a="1"/>
  <c r="O137" i="2" a="1"/>
  <c r="AA131" i="2" l="1"/>
  <c r="AB131" i="2" s="1"/>
  <c r="AA130" i="2"/>
  <c r="AB130" i="2" s="1"/>
  <c r="AA133" i="2"/>
  <c r="AB133" i="2" s="1"/>
  <c r="AA132" i="2"/>
  <c r="AB132" i="2" s="1"/>
  <c r="Q136" i="2"/>
  <c r="W137" i="2"/>
  <c r="W136" i="2"/>
  <c r="Q137" i="2"/>
  <c r="P139" i="2" l="1" a="1"/>
  <c r="O138" i="2" a="1"/>
  <c r="AA136" i="2"/>
  <c r="AB136" i="2" s="1"/>
  <c r="AA137" i="2"/>
  <c r="AB137" i="2" s="1"/>
  <c r="O139" i="2" l="1" a="1"/>
  <c r="P138" i="2" a="1"/>
  <c r="W139" i="2" l="1"/>
  <c r="Q139" i="2"/>
  <c r="Q138" i="2"/>
  <c r="W138" i="2"/>
  <c r="AA138" i="2" l="1"/>
  <c r="AB138" i="2" s="1"/>
  <c r="AA139" i="2"/>
  <c r="AB139" i="2" s="1"/>
  <c r="O140" i="2" l="1" a="1"/>
  <c r="P140" i="2" a="1"/>
  <c r="O141" i="2" a="1"/>
  <c r="P141" i="2" a="1"/>
  <c r="O142" i="2" a="1"/>
  <c r="P143" i="2" a="1"/>
  <c r="P142" i="2" a="1"/>
  <c r="O143" i="2" a="1"/>
  <c r="Q141" i="2" l="1"/>
  <c r="W140" i="2"/>
  <c r="W141" i="2"/>
  <c r="AA141" i="2" s="1"/>
  <c r="AB141" i="2" s="1"/>
  <c r="Q140" i="2"/>
  <c r="Q143" i="2"/>
  <c r="Q142" i="2"/>
  <c r="W142" i="2"/>
  <c r="W143" i="2"/>
  <c r="AA140" i="2" l="1"/>
  <c r="AB140" i="2" s="1"/>
  <c r="AA143" i="2"/>
  <c r="AB143" i="2" s="1"/>
  <c r="AA142" i="2"/>
  <c r="AB142" i="2" s="1"/>
  <c r="P144" i="2" a="1"/>
  <c r="O145" i="2" a="1"/>
  <c r="P145" i="2" a="1"/>
  <c r="O144" i="2" a="1"/>
  <c r="O147" i="2" a="1"/>
  <c r="O146" i="2" a="1"/>
  <c r="P146" i="2" a="1"/>
  <c r="P147" i="2" a="1"/>
  <c r="P148" i="2" a="1"/>
  <c r="O148" i="2" a="1"/>
  <c r="P149" i="2" a="1"/>
  <c r="O149" i="2" a="1"/>
  <c r="W146" i="2" l="1"/>
  <c r="Q147" i="2"/>
  <c r="W144" i="2"/>
  <c r="W145" i="2"/>
  <c r="Q144" i="2"/>
  <c r="Q145" i="2"/>
  <c r="W147" i="2"/>
  <c r="Q146" i="2"/>
  <c r="W149" i="2"/>
  <c r="W148" i="2"/>
  <c r="Q148" i="2"/>
  <c r="Q149" i="2"/>
  <c r="AA144" i="2" l="1"/>
  <c r="AB144" i="2" s="1"/>
  <c r="AA146" i="2"/>
  <c r="AB146" i="2" s="1"/>
  <c r="AA147" i="2"/>
  <c r="AB147" i="2" s="1"/>
  <c r="AA145" i="2"/>
  <c r="AB145" i="2" s="1"/>
  <c r="AA148" i="2"/>
  <c r="AB148" i="2" s="1"/>
  <c r="AA149" i="2"/>
  <c r="AB149" i="2" s="1"/>
  <c r="P150" i="2" l="1" a="1"/>
  <c r="O151" i="2" a="1"/>
  <c r="P151" i="2" a="1"/>
  <c r="O150" i="2" a="1"/>
  <c r="W151" i="2" l="1"/>
  <c r="W150" i="2"/>
  <c r="Q151" i="2"/>
  <c r="Q150" i="2"/>
  <c r="AA151" i="2" l="1"/>
  <c r="AB151" i="2" s="1"/>
  <c r="AA150" i="2"/>
  <c r="AB150" i="2" s="1"/>
  <c r="O152" i="2" l="1" a="1"/>
  <c r="W152" i="2" s="1"/>
  <c r="P152" i="2" a="1"/>
  <c r="P155" i="2" a="1"/>
  <c r="Q155" i="2" s="1"/>
  <c r="P153" i="2" a="1"/>
  <c r="O154" i="2" a="1"/>
  <c r="P154" i="2" a="1"/>
  <c r="O155" i="2" a="1"/>
  <c r="O153" i="2" a="1"/>
  <c r="W153" i="2" s="1"/>
  <c r="W154" i="2" l="1"/>
  <c r="Q154" i="2"/>
  <c r="AA154" i="2" s="1"/>
  <c r="AB154" i="2" s="1"/>
  <c r="Q153" i="2"/>
  <c r="AA153" i="2" s="1"/>
  <c r="AB153" i="2" s="1"/>
  <c r="W155" i="2"/>
  <c r="AA155" i="2" s="1"/>
  <c r="AB155" i="2" s="1"/>
  <c r="Q152" i="2"/>
  <c r="AA152" i="2" s="1"/>
  <c r="AB152" i="2" s="1"/>
  <c r="O157" i="2" a="1"/>
  <c r="P156" i="2" a="1"/>
  <c r="P157" i="2" a="1"/>
  <c r="O156" i="2" a="1"/>
  <c r="Q156" i="2" l="1"/>
  <c r="Q157" i="2"/>
  <c r="W156" i="2"/>
  <c r="W157" i="2"/>
  <c r="AA156" i="2" l="1"/>
  <c r="AB156" i="2" s="1"/>
  <c r="AA157" i="2"/>
  <c r="AB157" i="2" s="1"/>
  <c r="P161" i="2" l="1" a="1"/>
  <c r="P158" i="2" a="1"/>
  <c r="P159" i="2" a="1"/>
  <c r="O160" i="2" a="1"/>
  <c r="O158" i="2" a="1"/>
  <c r="O159" i="2" a="1"/>
  <c r="W159" i="2" s="1"/>
  <c r="O161" i="2" a="1"/>
  <c r="W161" i="2" s="1"/>
  <c r="P160" i="2" a="1"/>
  <c r="Q158" i="2" l="1"/>
  <c r="W160" i="2"/>
  <c r="Q161" i="2"/>
  <c r="AA161" i="2" s="1"/>
  <c r="AB161" i="2" s="1"/>
  <c r="Q159" i="2"/>
  <c r="AA159" i="2" s="1"/>
  <c r="AB159" i="2" s="1"/>
  <c r="W158" i="2"/>
  <c r="Q160" i="2"/>
  <c r="O162" i="2" a="1"/>
  <c r="O163" i="2" a="1"/>
  <c r="P162" i="2" a="1"/>
  <c r="P163" i="2" a="1"/>
  <c r="AA158" i="2" l="1"/>
  <c r="AB158" i="2" s="1"/>
  <c r="AA160" i="2"/>
  <c r="AB160" i="2" s="1"/>
  <c r="W163" i="2"/>
  <c r="W162" i="2"/>
  <c r="Q162" i="2"/>
  <c r="Q163" i="2"/>
  <c r="AA162" i="2" l="1"/>
  <c r="AB162" i="2" s="1"/>
  <c r="AA163" i="2"/>
  <c r="AB163" i="2" s="1"/>
  <c r="P169" i="2" a="1"/>
  <c r="O169" i="2" a="1"/>
  <c r="P168" i="2" a="1"/>
  <c r="O168" i="2" a="1"/>
  <c r="O167" i="2" l="1" a="1"/>
  <c r="W167" i="2" s="1"/>
  <c r="P167" i="2" a="1"/>
  <c r="P166" i="2" a="1"/>
  <c r="Q166" i="2" s="1"/>
  <c r="O166" i="2" a="1"/>
  <c r="P165" i="2" a="1"/>
  <c r="Q165" i="2" s="1"/>
  <c r="P164" i="2" a="1"/>
  <c r="O164" i="2" a="1"/>
  <c r="W164" i="2" s="1"/>
  <c r="O165" i="2" a="1"/>
  <c r="W169" i="2"/>
  <c r="W168" i="2"/>
  <c r="Q169" i="2"/>
  <c r="Q168" i="2"/>
  <c r="Q167" i="2" l="1"/>
  <c r="AA167" i="2" s="1"/>
  <c r="AB167" i="2" s="1"/>
  <c r="W166" i="2"/>
  <c r="AA166" i="2" s="1"/>
  <c r="AB166" i="2" s="1"/>
  <c r="Q164" i="2"/>
  <c r="AA164" i="2" s="1"/>
  <c r="AB164" i="2" s="1"/>
  <c r="W165" i="2"/>
  <c r="AA165" i="2" s="1"/>
  <c r="AB165" i="2" s="1"/>
  <c r="AA169" i="2"/>
  <c r="AB169" i="2" s="1"/>
  <c r="AA168" i="2"/>
  <c r="AB168" i="2" s="1"/>
  <c r="O171" i="2" a="1"/>
  <c r="P171" i="2" a="1"/>
  <c r="O170" i="2" a="1"/>
  <c r="P170" i="2" a="1"/>
  <c r="O172" i="2" l="1" a="1"/>
  <c r="P173" i="2" a="1"/>
  <c r="Q171" i="2"/>
  <c r="P172" i="2" a="1"/>
  <c r="O173" i="2" a="1"/>
  <c r="W170" i="2"/>
  <c r="W171" i="2"/>
  <c r="Q170" i="2"/>
  <c r="AA171" i="2" l="1"/>
  <c r="AB171" i="2" s="1"/>
  <c r="Q172" i="2"/>
  <c r="W172" i="2"/>
  <c r="Q173" i="2"/>
  <c r="W173" i="2"/>
  <c r="AA170" i="2"/>
  <c r="AB170" i="2" s="1"/>
  <c r="AA173" i="2" l="1"/>
  <c r="AB173" i="2" s="1"/>
  <c r="AA172" i="2"/>
  <c r="AB172" i="2" s="1"/>
  <c r="O174" i="2" l="1" a="1"/>
  <c r="P175" i="2" a="1"/>
  <c r="O175" i="2" a="1"/>
  <c r="P176" i="2" a="1"/>
  <c r="P174" i="2" a="1"/>
  <c r="Q174" i="2" s="1"/>
  <c r="P177" i="2" a="1"/>
  <c r="O177" i="2" a="1"/>
  <c r="P179" i="2" a="1"/>
  <c r="O179" i="2" a="1"/>
  <c r="P178" i="2" a="1"/>
  <c r="O178" i="2" a="1"/>
  <c r="O180" i="2" a="1"/>
  <c r="P181" i="2" a="1"/>
  <c r="W177" i="2" l="1"/>
  <c r="W175" i="2"/>
  <c r="W174" i="2"/>
  <c r="AA174" i="2" s="1"/>
  <c r="AB174" i="2" s="1"/>
  <c r="Q175" i="2"/>
  <c r="AA175" i="2" s="1"/>
  <c r="AB175" i="2" s="1"/>
  <c r="O176" i="2" s="1" a="1"/>
  <c r="Q177" i="2"/>
  <c r="AA177" i="2" s="1"/>
  <c r="AB177" i="2" s="1"/>
  <c r="Q178" i="2"/>
  <c r="W179" i="2"/>
  <c r="Q179" i="2"/>
  <c r="W178" i="2"/>
  <c r="Q176" i="2" l="1"/>
  <c r="W176" i="2"/>
  <c r="AA178" i="2"/>
  <c r="AB178" i="2" s="1"/>
  <c r="P180" i="2" a="1"/>
  <c r="O181" i="2" a="1"/>
  <c r="AA179" i="2"/>
  <c r="AB179" i="2" s="1"/>
  <c r="O183" i="2" a="1"/>
  <c r="P183" i="2" a="1"/>
  <c r="O182" i="2" a="1"/>
  <c r="P182" i="2" a="1"/>
  <c r="AA176" i="2" l="1"/>
  <c r="AB176" i="2" s="1"/>
  <c r="W180" i="2"/>
  <c r="Q180" i="2"/>
  <c r="W181" i="2"/>
  <c r="Q181" i="2"/>
  <c r="W182" i="2"/>
  <c r="W183" i="2"/>
  <c r="Q183" i="2"/>
  <c r="Q182" i="2"/>
  <c r="AA180" i="2" l="1"/>
  <c r="AB180" i="2" s="1"/>
  <c r="AA181" i="2"/>
  <c r="AB181" i="2" s="1"/>
  <c r="AA182" i="2"/>
  <c r="AB182" i="2" s="1"/>
  <c r="AA183" i="2"/>
  <c r="AB183" i="2" s="1"/>
  <c r="O184" i="2" a="1"/>
  <c r="P184" i="2" a="1"/>
  <c r="P185" i="2" a="1"/>
  <c r="O185" i="2" a="1"/>
  <c r="P187" i="2" a="1"/>
  <c r="P186" i="2" a="1"/>
  <c r="O186" i="2" a="1"/>
  <c r="O187" i="2" a="1"/>
  <c r="Q184" i="2" l="1"/>
  <c r="W187" i="2"/>
  <c r="Q185" i="2"/>
  <c r="Q186" i="2"/>
  <c r="W184" i="2"/>
  <c r="W185" i="2"/>
  <c r="Q187" i="2"/>
  <c r="W186" i="2"/>
  <c r="AA184" i="2" l="1"/>
  <c r="AB184" i="2" s="1"/>
  <c r="AA187" i="2"/>
  <c r="AB187" i="2" s="1"/>
  <c r="AA185" i="2"/>
  <c r="AB185" i="2" s="1"/>
  <c r="AA186" i="2"/>
  <c r="AB186" i="2" s="1"/>
  <c r="O189" i="2" l="1" a="1"/>
  <c r="O188" i="2" a="1"/>
  <c r="P188" i="2" a="1"/>
  <c r="P189" i="2" a="1"/>
  <c r="O190" i="2" a="1"/>
  <c r="O191" i="2" a="1"/>
  <c r="P190" i="2" a="1"/>
  <c r="P191" i="2" a="1"/>
  <c r="Q189" i="2" l="1"/>
  <c r="W188" i="2"/>
  <c r="Q188" i="2"/>
  <c r="W191" i="2"/>
  <c r="W189" i="2"/>
  <c r="W190" i="2"/>
  <c r="Q190" i="2"/>
  <c r="Q191" i="2"/>
  <c r="AA190" i="2" l="1"/>
  <c r="AB190" i="2" s="1"/>
  <c r="AA188" i="2"/>
  <c r="AB188" i="2" s="1"/>
  <c r="AA191" i="2"/>
  <c r="AB191" i="2" s="1"/>
  <c r="AA189" i="2"/>
  <c r="AB189" i="2" s="1"/>
  <c r="P192" i="2" a="1"/>
  <c r="O193" i="2" a="1"/>
  <c r="P193" i="2" a="1"/>
  <c r="O192" i="2" a="1"/>
  <c r="Q192" i="2" l="1"/>
  <c r="W193" i="2"/>
  <c r="Q193" i="2"/>
  <c r="W192" i="2"/>
  <c r="P195" i="2" a="1"/>
  <c r="O197" i="2" a="1"/>
  <c r="P194" i="2" a="1"/>
  <c r="O194" i="2" a="1"/>
  <c r="O195" i="2" a="1"/>
  <c r="O196" i="2" a="1"/>
  <c r="P196" i="2" a="1"/>
  <c r="P197" i="2" a="1"/>
  <c r="AA193" i="2" l="1"/>
  <c r="AB193" i="2" s="1"/>
  <c r="AA192" i="2"/>
  <c r="AB192" i="2" s="1"/>
  <c r="W196" i="2"/>
  <c r="W195" i="2"/>
  <c r="W197" i="2"/>
  <c r="Q194" i="2"/>
  <c r="Q195" i="2"/>
  <c r="W194" i="2"/>
  <c r="Q196" i="2"/>
  <c r="Q197" i="2"/>
  <c r="AA196" i="2" l="1"/>
  <c r="AB196" i="2" s="1"/>
  <c r="AA195" i="2"/>
  <c r="AB195" i="2" s="1"/>
  <c r="AA194" i="2"/>
  <c r="AB194" i="2" s="1"/>
  <c r="AA197" i="2"/>
  <c r="AB197" i="2" s="1"/>
  <c r="P198" i="2" l="1" a="1"/>
  <c r="O198" i="2" a="1"/>
  <c r="P199" i="2" a="1"/>
  <c r="O199" i="2" a="1"/>
  <c r="P201" i="2" a="1"/>
  <c r="O200" i="2" a="1"/>
  <c r="O201" i="2" a="1"/>
  <c r="W201" i="2" s="1"/>
  <c r="P200" i="2" a="1"/>
  <c r="P205" i="2" a="1"/>
  <c r="P204" i="2" a="1"/>
  <c r="O205" i="2" a="1"/>
  <c r="O204" i="2" a="1"/>
  <c r="W198" i="2" l="1"/>
  <c r="Q199" i="2"/>
  <c r="Q200" i="2"/>
  <c r="Q198" i="2"/>
  <c r="AA198" i="2" s="1"/>
  <c r="AB198" i="2" s="1"/>
  <c r="W199" i="2"/>
  <c r="AA199" i="2" s="1"/>
  <c r="AB199" i="2" s="1"/>
  <c r="Q201" i="2"/>
  <c r="AA201" i="2" s="1"/>
  <c r="AB201" i="2" s="1"/>
  <c r="W200" i="2"/>
  <c r="P203" i="2" a="1"/>
  <c r="P202" i="2" a="1"/>
  <c r="O202" i="2" a="1"/>
  <c r="O203" i="2" a="1"/>
  <c r="W205" i="2"/>
  <c r="Q205" i="2"/>
  <c r="Q204" i="2"/>
  <c r="W204" i="2"/>
  <c r="AA200" i="2" l="1"/>
  <c r="AB200" i="2" s="1"/>
  <c r="W202" i="2"/>
  <c r="Q203" i="2"/>
  <c r="Q202" i="2"/>
  <c r="W203" i="2"/>
  <c r="AA204" i="2"/>
  <c r="AB204" i="2" s="1"/>
  <c r="AA205" i="2"/>
  <c r="AB205" i="2" s="1"/>
  <c r="AA203" i="2" l="1"/>
  <c r="AB203" i="2" s="1"/>
  <c r="AA202" i="2"/>
  <c r="AB202" i="2" s="1"/>
  <c r="O206" i="2" a="1"/>
  <c r="O207" i="2" a="1"/>
  <c r="P207" i="2" a="1"/>
  <c r="P206" i="2" a="1"/>
  <c r="O209" i="2" a="1"/>
  <c r="O208" i="2" a="1"/>
  <c r="P208" i="2" a="1"/>
  <c r="P209" i="2" a="1"/>
  <c r="W207" i="2" l="1"/>
  <c r="W206" i="2"/>
  <c r="Q206" i="2"/>
  <c r="Q207" i="2"/>
  <c r="Q208" i="2"/>
  <c r="W209" i="2"/>
  <c r="W208" i="2"/>
  <c r="Q209" i="2"/>
  <c r="AA206" i="2" l="1"/>
  <c r="AB206" i="2" s="1"/>
  <c r="AA207" i="2"/>
  <c r="AB207" i="2" s="1"/>
  <c r="AA208" i="2"/>
  <c r="AB208" i="2" s="1"/>
  <c r="AA209" i="2"/>
  <c r="AB209" i="2" s="1"/>
  <c r="O211" i="2" l="1" a="1"/>
  <c r="P210" i="2" a="1"/>
  <c r="P211" i="2" a="1"/>
  <c r="O210" i="2" a="1"/>
  <c r="W211" i="2" l="1"/>
  <c r="Q210" i="2"/>
  <c r="Q211" i="2"/>
  <c r="W210" i="2"/>
  <c r="AA211" i="2" l="1"/>
  <c r="AB211" i="2" s="1"/>
  <c r="AA210" i="2"/>
  <c r="AB210" i="2" s="1"/>
  <c r="O216" i="2" a="1"/>
  <c r="O217" i="2" a="1"/>
  <c r="P217" i="2" a="1"/>
  <c r="P216" i="2" a="1"/>
  <c r="P213" i="2" l="1" a="1"/>
  <c r="O213" i="2" a="1"/>
  <c r="P212" i="2" a="1"/>
  <c r="O212" i="2" a="1"/>
  <c r="P215" i="2" a="1"/>
  <c r="O214" i="2" a="1"/>
  <c r="P214" i="2" a="1"/>
  <c r="O215" i="2" a="1"/>
  <c r="Q217" i="2"/>
  <c r="Q216" i="2"/>
  <c r="W216" i="2"/>
  <c r="W217" i="2"/>
  <c r="W212" i="2" l="1"/>
  <c r="Q213" i="2"/>
  <c r="Q212" i="2"/>
  <c r="W213" i="2"/>
  <c r="W215" i="2"/>
  <c r="Q215" i="2"/>
  <c r="W214" i="2"/>
  <c r="Q214" i="2"/>
  <c r="AA216" i="2"/>
  <c r="AB216" i="2" s="1"/>
  <c r="AA217" i="2"/>
  <c r="AB217" i="2" s="1"/>
  <c r="P218" i="2" a="1"/>
  <c r="O219" i="2" a="1"/>
  <c r="P219" i="2" a="1"/>
  <c r="O218" i="2" a="1"/>
  <c r="AA212" i="2" l="1"/>
  <c r="AB212" i="2" s="1"/>
  <c r="AA215" i="2"/>
  <c r="AB215" i="2" s="1"/>
  <c r="AA213" i="2"/>
  <c r="AB213" i="2" s="1"/>
  <c r="AA214" i="2"/>
  <c r="AB214" i="2" s="1"/>
  <c r="W218" i="2"/>
  <c r="Q219" i="2"/>
  <c r="Q218" i="2"/>
  <c r="W219" i="2"/>
  <c r="AA219" i="2" l="1"/>
  <c r="AB219" i="2" s="1"/>
  <c r="AA218" i="2"/>
  <c r="AB218" i="2" s="1"/>
  <c r="P223" i="2" l="1" a="1"/>
  <c r="O222" i="2" a="1"/>
  <c r="O221" i="2" a="1"/>
  <c r="O220" i="2" a="1"/>
  <c r="P220" i="2" a="1"/>
  <c r="P221" i="2" a="1"/>
  <c r="O223" i="2" a="1"/>
  <c r="P222" i="2" a="1"/>
  <c r="Q220" i="2" l="1"/>
  <c r="Q221" i="2"/>
  <c r="W223" i="2"/>
  <c r="Q222" i="2"/>
  <c r="Q223" i="2"/>
  <c r="W222" i="2"/>
  <c r="W221" i="2"/>
  <c r="W220" i="2"/>
  <c r="AA220" i="2" l="1"/>
  <c r="AB220" i="2" s="1"/>
  <c r="AA223" i="2"/>
  <c r="AB223" i="2" s="1"/>
  <c r="AA222" i="2"/>
  <c r="AB222" i="2" s="1"/>
  <c r="AA221" i="2"/>
  <c r="AB221" i="2" s="1"/>
  <c r="P225" i="2" l="1" a="1"/>
  <c r="O224" i="2" a="1"/>
  <c r="P224" i="2" a="1"/>
  <c r="O225" i="2" a="1"/>
  <c r="Q224" i="2" l="1"/>
  <c r="W224" i="2"/>
  <c r="W225" i="2"/>
  <c r="Q225" i="2"/>
  <c r="AA224" i="2" l="1"/>
  <c r="AB224" i="2" s="1"/>
  <c r="AA225" i="2"/>
  <c r="AB225" i="2" s="1"/>
  <c r="O226" i="2" l="1" a="1"/>
  <c r="P227" i="2" a="1"/>
  <c r="O227" i="2" a="1"/>
  <c r="P226" i="2" a="1"/>
  <c r="P231" i="2" a="1"/>
  <c r="O230" i="2" a="1"/>
  <c r="O231" i="2" a="1"/>
  <c r="P230" i="2" a="1"/>
  <c r="O229" i="2" a="1"/>
  <c r="O228" i="2" a="1"/>
  <c r="P228" i="2" a="1"/>
  <c r="Q228" i="2" s="1"/>
  <c r="P229" i="2" a="1"/>
  <c r="Q227" i="2" l="1"/>
  <c r="Q230" i="2"/>
  <c r="Q226" i="2"/>
  <c r="Q231" i="2"/>
  <c r="W231" i="2"/>
  <c r="AA231" i="2" s="1"/>
  <c r="AB231" i="2" s="1"/>
  <c r="Q229" i="2"/>
  <c r="O235" i="2" a="1"/>
  <c r="P234" i="2" a="1"/>
  <c r="O232" i="2" a="1"/>
  <c r="P232" i="2" a="1"/>
  <c r="O233" i="2" a="1"/>
  <c r="W226" i="2"/>
  <c r="AA226" i="2" s="1"/>
  <c r="AB226" i="2" s="1"/>
  <c r="P233" i="2" s="1" a="1"/>
  <c r="W227" i="2"/>
  <c r="W230" i="2"/>
  <c r="W229" i="2"/>
  <c r="W228" i="2"/>
  <c r="AA228" i="2" s="1"/>
  <c r="AB228" i="2" s="1"/>
  <c r="AA227" i="2" l="1"/>
  <c r="AB227" i="2" s="1"/>
  <c r="AA230" i="2"/>
  <c r="AB230" i="2" s="1"/>
  <c r="Q233" i="2"/>
  <c r="Q232" i="2"/>
  <c r="AA229" i="2"/>
  <c r="AB229" i="2" s="1"/>
  <c r="W232" i="2"/>
  <c r="W233" i="2"/>
  <c r="AA233" i="2" l="1"/>
  <c r="AB233" i="2" s="1"/>
  <c r="AA232" i="2"/>
  <c r="AB232" i="2" s="1"/>
  <c r="O234" i="2" a="1"/>
  <c r="P235" i="2" a="1"/>
  <c r="W234" i="2" l="1"/>
  <c r="Q234" i="2"/>
  <c r="W235" i="2"/>
  <c r="Q235" i="2"/>
  <c r="AA234" i="2" l="1"/>
  <c r="AB234" i="2" s="1"/>
  <c r="AA235" i="2"/>
  <c r="AB235" i="2" s="1"/>
  <c r="P238" i="2" l="1" a="1"/>
  <c r="P239" i="2" a="1"/>
  <c r="O241" i="2" a="1"/>
  <c r="O238" i="2" a="1"/>
  <c r="P237" i="2" a="1"/>
  <c r="Q237" i="2" s="1"/>
  <c r="P240" i="2" a="1"/>
  <c r="O239" i="2" a="1"/>
  <c r="P236" i="2" a="1"/>
  <c r="O236" i="2" a="1"/>
  <c r="W236" i="2" s="1"/>
  <c r="O237" i="2" a="1"/>
  <c r="O240" i="2" a="1"/>
  <c r="P241" i="2" a="1"/>
  <c r="Q239" i="2" l="1"/>
  <c r="W238" i="2"/>
  <c r="Q238" i="2"/>
  <c r="AA238" i="2" s="1"/>
  <c r="AB238" i="2" s="1"/>
  <c r="W239" i="2"/>
  <c r="AA239" i="2" s="1"/>
  <c r="AB239" i="2" s="1"/>
  <c r="Q236" i="2"/>
  <c r="AA236" i="2" s="1"/>
  <c r="AB236" i="2" s="1"/>
  <c r="W237" i="2"/>
  <c r="AA237" i="2" s="1"/>
  <c r="AB237" i="2" s="1"/>
  <c r="W240" i="2"/>
  <c r="Q240" i="2"/>
  <c r="Q241" i="2"/>
  <c r="W241" i="2"/>
  <c r="AA241" i="2" l="1"/>
  <c r="AB241" i="2" s="1"/>
  <c r="AA240" i="2"/>
  <c r="AB240" i="2" s="1"/>
  <c r="P243" i="2" l="1" a="1"/>
  <c r="O243" i="2" a="1"/>
  <c r="W243" i="2" s="1"/>
  <c r="P242" i="2" a="1"/>
  <c r="O242" i="2" a="1"/>
  <c r="W242" i="2" s="1"/>
  <c r="O245" i="2" a="1"/>
  <c r="W245" i="2" s="1"/>
  <c r="O244" i="2" a="1"/>
  <c r="P245" i="2" a="1"/>
  <c r="P244" i="2" a="1"/>
  <c r="Q244" i="2" s="1"/>
  <c r="O246" i="2" a="1"/>
  <c r="W246" i="2" s="1"/>
  <c r="P247" i="2" a="1"/>
  <c r="P246" i="2" a="1"/>
  <c r="O247" i="2" a="1"/>
  <c r="W247" i="2" s="1"/>
  <c r="Q243" i="2" l="1"/>
  <c r="AA243" i="2" s="1"/>
  <c r="AB243" i="2" s="1"/>
  <c r="Q242" i="2"/>
  <c r="AA242" i="2" s="1"/>
  <c r="AB242" i="2" s="1"/>
  <c r="W244" i="2"/>
  <c r="AA244" i="2" s="1"/>
  <c r="AB244" i="2" s="1"/>
  <c r="Q245" i="2"/>
  <c r="AA245" i="2" s="1"/>
  <c r="AB245" i="2" s="1"/>
  <c r="Q247" i="2"/>
  <c r="AA247" i="2" s="1"/>
  <c r="AB247" i="2" s="1"/>
  <c r="Q246" i="2"/>
  <c r="AA246" i="2" s="1"/>
  <c r="AB246" i="2" s="1"/>
  <c r="O251" i="2" a="1"/>
  <c r="P250" i="2" a="1"/>
  <c r="P252" i="2" a="1"/>
  <c r="P253" i="2" a="1"/>
  <c r="P248" i="2" a="1"/>
  <c r="P251" i="2" a="1"/>
  <c r="P249" i="2" a="1"/>
  <c r="Q249" i="2" s="1"/>
  <c r="O250" i="2" a="1"/>
  <c r="O248" i="2" a="1"/>
  <c r="W248" i="2" s="1"/>
  <c r="O252" i="2" a="1"/>
  <c r="W252" i="2" s="1"/>
  <c r="O253" i="2" a="1"/>
  <c r="O249" i="2" a="1"/>
  <c r="P255" i="2" a="1"/>
  <c r="Q255" i="2" s="1"/>
  <c r="P254" i="2" a="1"/>
  <c r="O255" i="2" a="1"/>
  <c r="O254" i="2" a="1"/>
  <c r="Q254" i="2" l="1"/>
  <c r="Q251" i="2"/>
  <c r="W251" i="2"/>
  <c r="AA251" i="2" s="1"/>
  <c r="AB251" i="2" s="1"/>
  <c r="Q253" i="2"/>
  <c r="W255" i="2"/>
  <c r="AA255" i="2" s="1"/>
  <c r="AB255" i="2" s="1"/>
  <c r="W254" i="2"/>
  <c r="AA254" i="2" s="1"/>
  <c r="AB254" i="2" s="1"/>
  <c r="Q252" i="2"/>
  <c r="AA252" i="2" s="1"/>
  <c r="AB252" i="2" s="1"/>
  <c r="Q248" i="2"/>
  <c r="AA248" i="2" s="1"/>
  <c r="AB248" i="2" s="1"/>
  <c r="W253" i="2"/>
  <c r="W249" i="2"/>
  <c r="AA249" i="2" s="1"/>
  <c r="AB249" i="2" s="1"/>
  <c r="W250" i="2"/>
  <c r="AA250" i="2" s="1"/>
  <c r="AB250" i="2" s="1"/>
  <c r="Q250" i="2"/>
  <c r="P263" i="2" a="1"/>
  <c r="O261" i="2" a="1"/>
  <c r="O263" i="2" a="1"/>
  <c r="P260" i="2" a="1"/>
  <c r="O260" i="2" a="1"/>
  <c r="P261" i="2" a="1"/>
  <c r="O262" i="2" a="1"/>
  <c r="AA253" i="2" l="1"/>
  <c r="AB253" i="2" s="1"/>
  <c r="O257" i="2" a="1"/>
  <c r="P256" i="2" a="1"/>
  <c r="O256" i="2" a="1"/>
  <c r="P257" i="2" a="1"/>
  <c r="Q257" i="2" s="1"/>
  <c r="Q260" i="2"/>
  <c r="Q261" i="2"/>
  <c r="P259" i="2" a="1"/>
  <c r="O259" i="2" a="1"/>
  <c r="P258" i="2" a="1"/>
  <c r="O258" i="2" a="1"/>
  <c r="W261" i="2"/>
  <c r="W263" i="2"/>
  <c r="W260" i="2"/>
  <c r="Q263" i="2"/>
  <c r="Q256" i="2" l="1"/>
  <c r="W257" i="2"/>
  <c r="AA257" i="2" s="1"/>
  <c r="AB257" i="2" s="1"/>
  <c r="P262" i="2" s="1" a="1"/>
  <c r="W256" i="2"/>
  <c r="AA261" i="2"/>
  <c r="AB261" i="2" s="1"/>
  <c r="Q258" i="2"/>
  <c r="AA260" i="2"/>
  <c r="AB260" i="2" s="1"/>
  <c r="W259" i="2"/>
  <c r="W258" i="2"/>
  <c r="Q259" i="2"/>
  <c r="AA263" i="2"/>
  <c r="AB263" i="2" s="1"/>
  <c r="O265" i="2" a="1"/>
  <c r="P267" i="2" a="1"/>
  <c r="P266" i="2" a="1"/>
  <c r="P264" i="2" a="1"/>
  <c r="O267" i="2" a="1"/>
  <c r="O264" i="2" a="1"/>
  <c r="P265" i="2" a="1"/>
  <c r="O266" i="2" a="1"/>
  <c r="AA256" i="2" l="1"/>
  <c r="AB256" i="2" s="1"/>
  <c r="W262" i="2"/>
  <c r="Q262" i="2"/>
  <c r="AA259" i="2"/>
  <c r="AB259" i="2" s="1"/>
  <c r="AA258" i="2"/>
  <c r="AB258" i="2" s="1"/>
  <c r="Q267" i="2"/>
  <c r="W265" i="2"/>
  <c r="W267" i="2"/>
  <c r="W264" i="2"/>
  <c r="W266" i="2"/>
  <c r="Q266" i="2"/>
  <c r="Q264" i="2"/>
  <c r="Q265" i="2"/>
  <c r="AA262" i="2" l="1"/>
  <c r="AB262" i="2" s="1"/>
  <c r="AA265" i="2"/>
  <c r="AB265" i="2" s="1"/>
  <c r="AA267" i="2"/>
  <c r="AB267" i="2" s="1"/>
  <c r="AA264" i="2"/>
  <c r="AB264" i="2" s="1"/>
  <c r="AA266" i="2"/>
  <c r="AB266" i="2" s="1"/>
  <c r="P268" i="2" l="1" a="1"/>
  <c r="O269" i="2" a="1"/>
  <c r="O268" i="2" a="1"/>
  <c r="P269" i="2" a="1"/>
  <c r="W269" i="2" l="1"/>
  <c r="W268" i="2"/>
  <c r="Q268" i="2"/>
  <c r="Q269" i="2"/>
  <c r="AA269" i="2" l="1"/>
  <c r="AB269" i="2" s="1"/>
  <c r="AA268" i="2"/>
  <c r="AB268" i="2" s="1"/>
  <c r="O271" i="2" a="1"/>
  <c r="P271" i="2" a="1"/>
  <c r="P270" i="2" a="1"/>
  <c r="O270" i="2" a="1"/>
  <c r="O273" i="2" a="1"/>
  <c r="P273" i="2" a="1"/>
  <c r="O272" i="2" a="1"/>
  <c r="P272" i="2" a="1"/>
  <c r="W271" i="2" l="1"/>
  <c r="W270" i="2"/>
  <c r="Q271" i="2"/>
  <c r="Q270" i="2"/>
  <c r="Q273" i="2"/>
  <c r="Q272" i="2"/>
  <c r="W273" i="2"/>
  <c r="W272" i="2"/>
  <c r="AA270" i="2" l="1"/>
  <c r="AB270" i="2" s="1"/>
  <c r="AA271" i="2"/>
  <c r="AB271" i="2" s="1"/>
  <c r="AA273" i="2"/>
  <c r="AB273" i="2" s="1"/>
  <c r="AA272" i="2"/>
  <c r="AB272" i="2" s="1"/>
  <c r="O278" i="2" a="1"/>
  <c r="P279" i="2" a="1"/>
  <c r="P278" i="2" a="1"/>
  <c r="O279" i="2" a="1"/>
  <c r="O277" i="2" l="1" a="1"/>
  <c r="O275" i="2" a="1"/>
  <c r="W275" i="2" s="1"/>
  <c r="P274" i="2" a="1"/>
  <c r="P277" i="2" a="1"/>
  <c r="P276" i="2" a="1"/>
  <c r="O276" i="2" a="1"/>
  <c r="P275" i="2" a="1"/>
  <c r="O274" i="2" a="1"/>
  <c r="W274" i="2" s="1"/>
  <c r="W278" i="2"/>
  <c r="W279" i="2"/>
  <c r="Q279" i="2"/>
  <c r="Q278" i="2"/>
  <c r="Q277" i="2" l="1"/>
  <c r="Q276" i="2"/>
  <c r="W277" i="2"/>
  <c r="Q274" i="2"/>
  <c r="AA274" i="2" s="1"/>
  <c r="AB274" i="2" s="1"/>
  <c r="W276" i="2"/>
  <c r="Q275" i="2"/>
  <c r="AA275" i="2" s="1"/>
  <c r="AB275" i="2" s="1"/>
  <c r="AA278" i="2"/>
  <c r="AB278" i="2" s="1"/>
  <c r="AA279" i="2"/>
  <c r="AB279" i="2" s="1"/>
  <c r="AA277" i="2" l="1"/>
  <c r="AB277" i="2" s="1"/>
  <c r="AA276" i="2"/>
  <c r="AB276" i="2" s="1"/>
  <c r="O281" i="2" a="1"/>
  <c r="P281" i="2" a="1"/>
  <c r="P282" i="2" a="1"/>
  <c r="O282" i="2" a="1"/>
  <c r="P280" i="2" a="1"/>
  <c r="O280" i="2" a="1"/>
  <c r="P283" i="2" a="1"/>
  <c r="O283" i="2" a="1"/>
  <c r="W281" i="2" l="1"/>
  <c r="W282" i="2"/>
  <c r="W280" i="2"/>
  <c r="W283" i="2"/>
  <c r="Q282" i="2"/>
  <c r="Q281" i="2"/>
  <c r="Q280" i="2"/>
  <c r="Q283" i="2"/>
  <c r="AA282" i="2" l="1"/>
  <c r="AB282" i="2" s="1"/>
  <c r="AA281" i="2"/>
  <c r="AB281" i="2" s="1"/>
  <c r="AA280" i="2"/>
  <c r="AB280" i="2" s="1"/>
  <c r="O288" i="2" a="1"/>
  <c r="P289" i="2" a="1"/>
  <c r="AA283" i="2"/>
  <c r="AB283" i="2" s="1"/>
  <c r="O287" i="2" a="1"/>
  <c r="P286" i="2" a="1"/>
  <c r="O286" i="2" a="1"/>
  <c r="P287" i="2" a="1"/>
  <c r="O285" i="2" l="1" a="1"/>
  <c r="O284" i="2" a="1"/>
  <c r="P285" i="2" a="1"/>
  <c r="Q285" i="2" s="1"/>
  <c r="P284" i="2" a="1"/>
  <c r="Q284" i="2" s="1"/>
  <c r="O289" i="2" a="1"/>
  <c r="P288" i="2" a="1"/>
  <c r="W286" i="2"/>
  <c r="W287" i="2"/>
  <c r="Q287" i="2"/>
  <c r="Q286" i="2"/>
  <c r="W285" i="2" l="1"/>
  <c r="AA285" i="2" s="1"/>
  <c r="AB285" i="2" s="1"/>
  <c r="W284" i="2"/>
  <c r="AA284" i="2" s="1"/>
  <c r="AB284" i="2" s="1"/>
  <c r="Q289" i="2"/>
  <c r="W289" i="2"/>
  <c r="AA289" i="2" s="1"/>
  <c r="AB289" i="2" s="1"/>
  <c r="W288" i="2"/>
  <c r="Q288" i="2"/>
  <c r="AA288" i="2" s="1"/>
  <c r="AB288" i="2" s="1"/>
  <c r="AA286" i="2"/>
  <c r="AB286" i="2" s="1"/>
  <c r="AA287" i="2"/>
  <c r="AB287" i="2" s="1"/>
  <c r="P290" i="2" a="1"/>
  <c r="O291" i="2" a="1"/>
  <c r="P291" i="2" a="1"/>
  <c r="O290" i="2" a="1"/>
  <c r="W290" i="2" s="1"/>
  <c r="W291" i="2" l="1"/>
  <c r="Q290" i="2"/>
  <c r="AA290" i="2" s="1"/>
  <c r="AB290" i="2" s="1"/>
  <c r="Q291" i="2"/>
  <c r="AA291" i="2" l="1"/>
  <c r="AB291" i="2" s="1"/>
  <c r="P295" i="2" l="1" a="1"/>
  <c r="O295" i="2" a="1"/>
  <c r="O294" i="2" a="1"/>
  <c r="P294" i="2" a="1"/>
  <c r="P292" i="2" a="1"/>
  <c r="O293" i="2" a="1"/>
  <c r="O292" i="2" a="1"/>
  <c r="P293" i="2" a="1"/>
  <c r="W294" i="2" l="1"/>
  <c r="W295" i="2"/>
  <c r="Q294" i="2"/>
  <c r="AA294" i="2" s="1"/>
  <c r="AB294" i="2" s="1"/>
  <c r="Q292" i="2"/>
  <c r="W293" i="2"/>
  <c r="Q295" i="2"/>
  <c r="W292" i="2"/>
  <c r="AA292" i="2" s="1"/>
  <c r="AB292" i="2" s="1"/>
  <c r="Q293" i="2"/>
  <c r="AA293" i="2" s="1"/>
  <c r="AB293" i="2" s="1"/>
  <c r="AA295" i="2" l="1"/>
  <c r="AB295" i="2" s="1"/>
  <c r="P298" i="2" a="1"/>
  <c r="O296" i="2" a="1"/>
  <c r="P297" i="2" a="1"/>
  <c r="P296" i="2" a="1"/>
  <c r="Q296" i="2" s="1"/>
  <c r="O297" i="2" a="1"/>
  <c r="O298" i="2" a="1"/>
  <c r="P299" i="2" a="1"/>
  <c r="O299" i="2" a="1"/>
  <c r="Q298" i="2" l="1"/>
  <c r="W299" i="2"/>
  <c r="W297" i="2"/>
  <c r="W296" i="2"/>
  <c r="AA296" i="2" s="1"/>
  <c r="AB296" i="2" s="1"/>
  <c r="Q297" i="2"/>
  <c r="AA297" i="2" s="1"/>
  <c r="AB297" i="2" s="1"/>
  <c r="W298" i="2"/>
  <c r="Q299" i="2"/>
  <c r="P311" i="2" a="1"/>
  <c r="P310" i="2" a="1"/>
  <c r="O311" i="2" a="1"/>
  <c r="O310" i="2" a="1"/>
  <c r="AA298" i="2" l="1"/>
  <c r="AB298" i="2" s="1"/>
  <c r="AA299" i="2"/>
  <c r="AB299" i="2" s="1"/>
  <c r="O308" i="2" a="1"/>
  <c r="O309" i="2" a="1"/>
  <c r="P307" i="2" a="1"/>
  <c r="P306" i="2" a="1"/>
  <c r="P309" i="2" a="1"/>
  <c r="Q309" i="2" s="1"/>
  <c r="O306" i="2" a="1"/>
  <c r="P302" i="2" a="1"/>
  <c r="Q302" i="2" s="1"/>
  <c r="P300" i="2" a="1"/>
  <c r="P304" i="2" a="1"/>
  <c r="P301" i="2" a="1"/>
  <c r="Q301" i="2" s="1"/>
  <c r="O300" i="2" a="1"/>
  <c r="O301" i="2" a="1"/>
  <c r="O305" i="2" a="1"/>
  <c r="P305" i="2" a="1"/>
  <c r="Q305" i="2" s="1"/>
  <c r="O303" i="2" a="1"/>
  <c r="P303" i="2" a="1"/>
  <c r="Q303" i="2" s="1"/>
  <c r="O302" i="2" a="1"/>
  <c r="O304" i="2" a="1"/>
  <c r="O307" i="2" a="1"/>
  <c r="W307" i="2" s="1"/>
  <c r="P308" i="2" a="1"/>
  <c r="Q308" i="2" s="1"/>
  <c r="Q310" i="2"/>
  <c r="Q311" i="2"/>
  <c r="W311" i="2"/>
  <c r="W310" i="2"/>
  <c r="Q300" i="2" l="1"/>
  <c r="Q304" i="2"/>
  <c r="W306" i="2"/>
  <c r="W308" i="2"/>
  <c r="AA308" i="2" s="1"/>
  <c r="AB308" i="2" s="1"/>
  <c r="W309" i="2"/>
  <c r="AA309" i="2" s="1"/>
  <c r="AB309" i="2" s="1"/>
  <c r="Q307" i="2"/>
  <c r="AA307" i="2" s="1"/>
  <c r="AB307" i="2" s="1"/>
  <c r="Q306" i="2"/>
  <c r="W300" i="2"/>
  <c r="AA300" i="2" s="1"/>
  <c r="AB300" i="2" s="1"/>
  <c r="W301" i="2"/>
  <c r="AA301" i="2" s="1"/>
  <c r="AB301" i="2" s="1"/>
  <c r="W305" i="2"/>
  <c r="AA305" i="2" s="1"/>
  <c r="AB305" i="2" s="1"/>
  <c r="W303" i="2"/>
  <c r="AA303" i="2" s="1"/>
  <c r="AB303" i="2" s="1"/>
  <c r="W302" i="2"/>
  <c r="AA302" i="2" s="1"/>
  <c r="AB302" i="2" s="1"/>
  <c r="W304" i="2"/>
  <c r="AA310" i="2"/>
  <c r="AB310" i="2" s="1"/>
  <c r="AA311" i="2"/>
  <c r="AB311" i="2" s="1"/>
  <c r="O313" i="2" a="1"/>
  <c r="P312" i="2" a="1"/>
  <c r="O312" i="2" a="1"/>
  <c r="P313" i="2" a="1"/>
  <c r="AA306" i="2" l="1"/>
  <c r="AB306" i="2" s="1"/>
  <c r="AA304" i="2"/>
  <c r="AB304" i="2" s="1"/>
  <c r="Q312" i="2"/>
  <c r="W313" i="2"/>
  <c r="W312" i="2"/>
  <c r="Q313" i="2"/>
  <c r="AA312" i="2" l="1"/>
  <c r="AB312" i="2" s="1"/>
  <c r="AA313" i="2"/>
  <c r="AB313" i="2" s="1"/>
  <c r="P315" i="2" a="1"/>
  <c r="P314" i="2" a="1"/>
  <c r="O315" i="2" a="1"/>
  <c r="O314" i="2" a="1"/>
  <c r="Q315" i="2" l="1"/>
  <c r="W315" i="2"/>
  <c r="W314" i="2"/>
  <c r="Q314" i="2"/>
  <c r="AA315" i="2" l="1"/>
  <c r="AB315" i="2" s="1"/>
  <c r="O317" i="2" a="1"/>
  <c r="P316" i="2" a="1"/>
  <c r="O316" i="2" a="1"/>
  <c r="P317" i="2" a="1"/>
  <c r="AA314" i="2"/>
  <c r="AB314" i="2" s="1"/>
  <c r="Q317" i="2" l="1"/>
  <c r="Q316" i="2"/>
  <c r="W317" i="2"/>
  <c r="W316" i="2"/>
  <c r="AA316" i="2" l="1"/>
  <c r="AB316" i="2" s="1"/>
  <c r="AA317" i="2"/>
  <c r="AB317" i="2" s="1"/>
  <c r="O319" i="2" l="1" a="1"/>
  <c r="P318" i="2" a="1"/>
  <c r="O318" i="2" a="1"/>
  <c r="P319" i="2" a="1"/>
  <c r="Q319" i="2" l="1"/>
  <c r="W319" i="2"/>
  <c r="W318" i="2"/>
  <c r="Q318" i="2"/>
  <c r="AA319" i="2" l="1"/>
  <c r="AB319" i="2" s="1"/>
  <c r="AA318" i="2"/>
  <c r="AB318" i="2" s="1"/>
  <c r="P320" i="2" a="1"/>
  <c r="O325" i="2" a="1"/>
  <c r="O323" i="2" a="1"/>
  <c r="O321" i="2" a="1"/>
  <c r="O324" i="2" a="1"/>
  <c r="O322" i="2" a="1"/>
  <c r="O320" i="2" a="1"/>
  <c r="P322" i="2" a="1"/>
  <c r="P321" i="2" a="1"/>
  <c r="P323" i="2" a="1"/>
  <c r="P325" i="2" a="1"/>
  <c r="P324" i="2" a="1"/>
  <c r="Q325" i="2" l="1"/>
  <c r="Q322" i="2"/>
  <c r="W325" i="2"/>
  <c r="W323" i="2"/>
  <c r="W321" i="2"/>
  <c r="W324" i="2"/>
  <c r="W322" i="2"/>
  <c r="W320" i="2"/>
  <c r="Q320" i="2"/>
  <c r="Q321" i="2"/>
  <c r="Q323" i="2"/>
  <c r="Q324" i="2"/>
  <c r="AA325" i="2" l="1"/>
  <c r="AB325" i="2" s="1"/>
  <c r="AA323" i="2"/>
  <c r="AB323" i="2" s="1"/>
  <c r="AA324" i="2"/>
  <c r="AB324" i="2" s="1"/>
  <c r="AA321" i="2"/>
  <c r="AB321" i="2" s="1"/>
  <c r="AA322" i="2"/>
  <c r="AB322" i="2" s="1"/>
  <c r="AA320" i="2"/>
  <c r="AB320" i="2" s="1"/>
  <c r="O327" i="2" a="1"/>
  <c r="P327" i="2" a="1"/>
  <c r="O326" i="2" a="1"/>
  <c r="P326" i="2" a="1"/>
  <c r="Q327" i="2" l="1"/>
  <c r="W327" i="2"/>
  <c r="W326" i="2"/>
  <c r="Q326" i="2"/>
  <c r="AA327" i="2" l="1"/>
  <c r="AB327" i="2" s="1"/>
  <c r="P335" i="2" a="1"/>
  <c r="O335" i="2" a="1"/>
  <c r="O333" i="2" a="1"/>
  <c r="O331" i="2" a="1"/>
  <c r="P334" i="2" a="1"/>
  <c r="O334" i="2" a="1"/>
  <c r="O332" i="2" a="1"/>
  <c r="O330" i="2" a="1"/>
  <c r="P333" i="2" a="1"/>
  <c r="P330" i="2" a="1"/>
  <c r="P332" i="2" a="1"/>
  <c r="P331" i="2" a="1"/>
  <c r="AA326" i="2"/>
  <c r="AB326" i="2" s="1"/>
  <c r="P329" i="2" l="1" a="1"/>
  <c r="P328" i="2" a="1"/>
  <c r="O329" i="2" a="1"/>
  <c r="O328" i="2" a="1"/>
  <c r="W328" i="2" s="1"/>
  <c r="Q332" i="2"/>
  <c r="Q334" i="2"/>
  <c r="W335" i="2"/>
  <c r="W333" i="2"/>
  <c r="W331" i="2"/>
  <c r="W334" i="2"/>
  <c r="W332" i="2"/>
  <c r="W330" i="2"/>
  <c r="Q335" i="2"/>
  <c r="Q333" i="2"/>
  <c r="Q330" i="2"/>
  <c r="Q331" i="2"/>
  <c r="W329" i="2" l="1"/>
  <c r="Q328" i="2"/>
  <c r="AA328" i="2" s="1"/>
  <c r="AB328" i="2" s="1"/>
  <c r="Q329" i="2"/>
  <c r="AA332" i="2"/>
  <c r="AB332" i="2" s="1"/>
  <c r="AA334" i="2"/>
  <c r="AB334" i="2" s="1"/>
  <c r="AA333" i="2"/>
  <c r="AB333" i="2" s="1"/>
  <c r="AA335" i="2"/>
  <c r="AB335" i="2" s="1"/>
  <c r="AA331" i="2"/>
  <c r="AB331" i="2" s="1"/>
  <c r="AA330" i="2"/>
  <c r="AB330" i="2" s="1"/>
  <c r="AA329" i="2" l="1"/>
  <c r="AB329" i="2" s="1"/>
  <c r="P339" i="2" a="1"/>
  <c r="P340" i="2" a="1"/>
  <c r="P338" i="2" a="1"/>
  <c r="P337" i="2" a="1"/>
  <c r="P343" i="2" a="1"/>
  <c r="P336" i="2" a="1"/>
  <c r="O336" i="2" a="1"/>
  <c r="O338" i="2" a="1"/>
  <c r="O340" i="2" a="1"/>
  <c r="O342" i="2" a="1"/>
  <c r="P341" i="2" a="1"/>
  <c r="O337" i="2" a="1"/>
  <c r="O339" i="2" a="1"/>
  <c r="O341" i="2" a="1"/>
  <c r="O343" i="2" a="1"/>
  <c r="P342" i="2" a="1"/>
  <c r="Q342" i="2" l="1"/>
  <c r="Q343" i="2"/>
  <c r="Q340" i="2"/>
  <c r="W336" i="2"/>
  <c r="W338" i="2"/>
  <c r="W340" i="2"/>
  <c r="W342" i="2"/>
  <c r="W337" i="2"/>
  <c r="W339" i="2"/>
  <c r="W341" i="2"/>
  <c r="W343" i="2"/>
  <c r="Q339" i="2"/>
  <c r="Q338" i="2"/>
  <c r="Q337" i="2"/>
  <c r="Q336" i="2"/>
  <c r="Q341" i="2"/>
  <c r="AA342" i="2" l="1"/>
  <c r="AB342" i="2" s="1"/>
  <c r="AA336" i="2"/>
  <c r="AB336" i="2" s="1"/>
  <c r="AA343" i="2"/>
  <c r="AB343" i="2" s="1"/>
  <c r="AA338" i="2"/>
  <c r="AB338" i="2" s="1"/>
  <c r="AA340" i="2"/>
  <c r="AB340" i="2" s="1"/>
  <c r="AA339" i="2"/>
  <c r="AB339" i="2" s="1"/>
  <c r="AA341" i="2"/>
  <c r="AB341" i="2" s="1"/>
  <c r="O349" i="2" a="1"/>
  <c r="O347" i="2" a="1"/>
  <c r="O345" i="2" a="1"/>
  <c r="P349" i="2" a="1"/>
  <c r="O348" i="2" a="1"/>
  <c r="O346" i="2" a="1"/>
  <c r="O344" i="2" a="1"/>
  <c r="P344" i="2" a="1"/>
  <c r="P348" i="2" a="1"/>
  <c r="P345" i="2" a="1"/>
  <c r="P347" i="2" a="1"/>
  <c r="P346" i="2" a="1"/>
  <c r="AA337" i="2"/>
  <c r="AB337" i="2" s="1"/>
  <c r="Q344" i="2" l="1"/>
  <c r="Q349" i="2"/>
  <c r="Q346" i="2"/>
  <c r="Q347" i="2"/>
  <c r="W349" i="2"/>
  <c r="W347" i="2"/>
  <c r="W345" i="2"/>
  <c r="W348" i="2"/>
  <c r="W346" i="2"/>
  <c r="W344" i="2"/>
  <c r="Q348" i="2"/>
  <c r="Q345" i="2"/>
  <c r="AA344" i="2" l="1"/>
  <c r="AB344" i="2" s="1"/>
  <c r="AA349" i="2"/>
  <c r="AB349" i="2" s="1"/>
  <c r="AA347" i="2"/>
  <c r="AB347" i="2" s="1"/>
  <c r="AA346" i="2"/>
  <c r="AB346" i="2" s="1"/>
  <c r="AA348" i="2"/>
  <c r="AB348" i="2" s="1"/>
  <c r="AA345" i="2"/>
  <c r="AB345" i="2" s="1"/>
  <c r="P350" i="2" a="1"/>
  <c r="O351" i="2" a="1"/>
  <c r="O350" i="2" a="1"/>
  <c r="P351" i="2" a="1"/>
  <c r="Q351" i="2" l="1"/>
  <c r="W351" i="2"/>
  <c r="W350" i="2"/>
  <c r="Q350" i="2"/>
  <c r="AA351" i="2" l="1"/>
  <c r="AB351" i="2" s="1"/>
  <c r="AA350" i="2"/>
  <c r="AB350" i="2" s="1"/>
  <c r="P357" i="2" a="1"/>
  <c r="O359" i="2" a="1"/>
  <c r="O357" i="2" a="1"/>
  <c r="P356" i="2" a="1"/>
  <c r="O358" i="2" a="1"/>
  <c r="O356" i="2" a="1"/>
  <c r="P358" i="2" a="1"/>
  <c r="P359" i="2" a="1"/>
  <c r="P354" i="2" l="1" a="1"/>
  <c r="O352" i="2" a="1"/>
  <c r="O355" i="2" a="1"/>
  <c r="O353" i="2" a="1"/>
  <c r="W353" i="2" s="1"/>
  <c r="P353" i="2" a="1"/>
  <c r="O354" i="2" a="1"/>
  <c r="W354" i="2" s="1"/>
  <c r="P352" i="2" a="1"/>
  <c r="P355" i="2" a="1"/>
  <c r="Q358" i="2"/>
  <c r="W359" i="2"/>
  <c r="W357" i="2"/>
  <c r="W358" i="2"/>
  <c r="W356" i="2"/>
  <c r="Q357" i="2"/>
  <c r="Q356" i="2"/>
  <c r="Q359" i="2"/>
  <c r="W352" i="2" l="1"/>
  <c r="Q355" i="2"/>
  <c r="Q354" i="2"/>
  <c r="AA354" i="2" s="1"/>
  <c r="AB354" i="2" s="1"/>
  <c r="W355" i="2"/>
  <c r="Q353" i="2"/>
  <c r="AA353" i="2" s="1"/>
  <c r="AB353" i="2" s="1"/>
  <c r="Q352" i="2"/>
  <c r="AA359" i="2"/>
  <c r="AB359" i="2" s="1"/>
  <c r="AA356" i="2"/>
  <c r="AB356" i="2" s="1"/>
  <c r="AA358" i="2"/>
  <c r="AB358" i="2" s="1"/>
  <c r="O363" i="2" a="1"/>
  <c r="O361" i="2" a="1"/>
  <c r="O362" i="2" a="1"/>
  <c r="O360" i="2" a="1"/>
  <c r="P363" i="2" a="1"/>
  <c r="P360" i="2" a="1"/>
  <c r="P362" i="2" a="1"/>
  <c r="P361" i="2" a="1"/>
  <c r="AA357" i="2"/>
  <c r="AB357" i="2" s="1"/>
  <c r="AA355" i="2" l="1"/>
  <c r="AB355" i="2" s="1"/>
  <c r="AA352" i="2"/>
  <c r="AB352" i="2" s="1"/>
  <c r="Q362" i="2"/>
  <c r="Q360" i="2"/>
  <c r="W363" i="2"/>
  <c r="W361" i="2"/>
  <c r="W362" i="2"/>
  <c r="W360" i="2"/>
  <c r="Q363" i="2"/>
  <c r="Q361" i="2"/>
  <c r="AA362" i="2" l="1"/>
  <c r="AB362" i="2" s="1"/>
  <c r="AA360" i="2"/>
  <c r="AB360" i="2" s="1"/>
  <c r="O367" i="2" a="1"/>
  <c r="O366" i="2" a="1"/>
  <c r="P366" i="2" a="1"/>
  <c r="P367" i="2" a="1"/>
  <c r="AA363" i="2"/>
  <c r="AB363" i="2" s="1"/>
  <c r="AA361" i="2"/>
  <c r="AB361" i="2" s="1"/>
  <c r="O364" i="2" l="1" a="1"/>
  <c r="W364" i="2" s="1"/>
  <c r="P364" i="2" a="1"/>
  <c r="O365" i="2" a="1"/>
  <c r="P365" i="2" a="1"/>
  <c r="Q365" i="2" s="1"/>
  <c r="Q367" i="2"/>
  <c r="Q366" i="2"/>
  <c r="W367" i="2"/>
  <c r="W366" i="2"/>
  <c r="W365" i="2" l="1"/>
  <c r="AA365" i="2" s="1"/>
  <c r="AB365" i="2" s="1"/>
  <c r="Q364" i="2"/>
  <c r="AA364" i="2" s="1"/>
  <c r="AB364" i="2" s="1"/>
  <c r="AA367" i="2"/>
  <c r="AB367" i="2" s="1"/>
  <c r="AA366" i="2"/>
  <c r="AB366" i="2" s="1"/>
  <c r="O369" i="2" a="1"/>
  <c r="O368" i="2" a="1"/>
  <c r="P369" i="2" a="1"/>
  <c r="P368" i="2" a="1"/>
  <c r="Q369" i="2" l="1"/>
  <c r="W369" i="2"/>
  <c r="W368" i="2"/>
  <c r="Q368" i="2"/>
  <c r="AA369" i="2" l="1"/>
  <c r="AB369" i="2" s="1"/>
  <c r="O377" i="2" a="1"/>
  <c r="O376" i="2" a="1"/>
  <c r="P376" i="2" a="1"/>
  <c r="P377" i="2" a="1"/>
  <c r="AA368" i="2"/>
  <c r="AB368" i="2" s="1"/>
  <c r="O373" i="2" l="1" a="1"/>
  <c r="O370" i="2" a="1"/>
  <c r="O375" i="2" a="1"/>
  <c r="P375" i="2" a="1"/>
  <c r="P372" i="2" a="1"/>
  <c r="P370" i="2" a="1"/>
  <c r="Q370" i="2" s="1"/>
  <c r="O371" i="2" a="1"/>
  <c r="P371" i="2" a="1"/>
  <c r="Q371" i="2" s="1"/>
  <c r="O374" i="2" a="1"/>
  <c r="O372" i="2" a="1"/>
  <c r="P373" i="2" a="1"/>
  <c r="Q373" i="2" s="1"/>
  <c r="P374" i="2" a="1"/>
  <c r="Q377" i="2"/>
  <c r="W377" i="2"/>
  <c r="W376" i="2"/>
  <c r="Q376" i="2"/>
  <c r="W375" i="2" l="1"/>
  <c r="Q375" i="2"/>
  <c r="AA375" i="2" s="1"/>
  <c r="AB375" i="2" s="1"/>
  <c r="Q372" i="2"/>
  <c r="W374" i="2"/>
  <c r="W373" i="2"/>
  <c r="AA373" i="2" s="1"/>
  <c r="AB373" i="2" s="1"/>
  <c r="W371" i="2"/>
  <c r="AA371" i="2" s="1"/>
  <c r="AB371" i="2" s="1"/>
  <c r="W372" i="2"/>
  <c r="AA372" i="2" s="1"/>
  <c r="AB372" i="2" s="1"/>
  <c r="Q374" i="2"/>
  <c r="AA374" i="2" s="1"/>
  <c r="AB374" i="2" s="1"/>
  <c r="W370" i="2"/>
  <c r="AA370" i="2" s="1"/>
  <c r="AB370" i="2" s="1"/>
  <c r="AA377" i="2"/>
  <c r="AB377" i="2" s="1"/>
  <c r="AA376" i="2"/>
  <c r="AB376" i="2" s="1"/>
  <c r="O379" i="2" l="1" a="1"/>
  <c r="P379" i="2" a="1"/>
  <c r="Q379" i="2" s="1"/>
  <c r="P383" i="2" a="1"/>
  <c r="O381" i="2" a="1"/>
  <c r="P380" i="2" a="1"/>
  <c r="O378" i="2" a="1"/>
  <c r="P384" i="2" a="1"/>
  <c r="O385" i="2" a="1"/>
  <c r="P378" i="2" a="1"/>
  <c r="O382" i="2" a="1"/>
  <c r="O383" i="2" a="1"/>
  <c r="W383" i="2" s="1"/>
  <c r="P382" i="2" a="1"/>
  <c r="P381" i="2" a="1"/>
  <c r="O380" i="2" a="1"/>
  <c r="O384" i="2" a="1"/>
  <c r="W384" i="2" s="1"/>
  <c r="P385" i="2" a="1"/>
  <c r="G39" i="3" a="1"/>
  <c r="W381" i="2" l="1"/>
  <c r="Q380" i="2"/>
  <c r="W378" i="2"/>
  <c r="Q382" i="2"/>
  <c r="Q385" i="2"/>
  <c r="W379" i="2"/>
  <c r="AA379" i="2" s="1"/>
  <c r="AB379" i="2" s="1"/>
  <c r="Q384" i="2"/>
  <c r="AA384" i="2" s="1"/>
  <c r="AB384" i="2" s="1"/>
  <c r="W385" i="2"/>
  <c r="Q378" i="2"/>
  <c r="W382" i="2"/>
  <c r="AA382" i="2" s="1"/>
  <c r="AB382" i="2" s="1"/>
  <c r="Q381" i="2"/>
  <c r="AA381" i="2" s="1"/>
  <c r="AB381" i="2" s="1"/>
  <c r="W380" i="2"/>
  <c r="AA380" i="2" s="1"/>
  <c r="AB380" i="2" s="1"/>
  <c r="Q383" i="2"/>
  <c r="AA383" i="2" s="1"/>
  <c r="AB383" i="2" s="1"/>
  <c r="O389" i="2" a="1"/>
  <c r="P388" i="2" a="1"/>
  <c r="AA378" i="2" l="1"/>
  <c r="AB378" i="2" s="1"/>
  <c r="AA385" i="2"/>
  <c r="AB385" i="2" s="1"/>
  <c r="O388" i="2" a="1"/>
  <c r="P389" i="2" a="1"/>
  <c r="P386" i="2" a="1"/>
  <c r="Q386" i="2" s="1"/>
  <c r="P387" i="2" a="1"/>
  <c r="Q387" i="2" s="1"/>
  <c r="O386" i="2" a="1"/>
  <c r="O387" i="2" a="1"/>
  <c r="G40" i="3" a="1"/>
  <c r="W386" i="2" l="1"/>
  <c r="AA386" i="2" s="1"/>
  <c r="AB386" i="2" s="1"/>
  <c r="W387" i="2"/>
  <c r="AA387" i="2" s="1"/>
  <c r="AB387" i="2" s="1"/>
  <c r="W388" i="2"/>
  <c r="AA388" i="2" s="1"/>
  <c r="AB388" i="2" s="1"/>
  <c r="Q388" i="2"/>
  <c r="W389" i="2"/>
  <c r="Q389" i="2"/>
  <c r="AA389" i="2"/>
  <c r="AB389" i="2" s="1"/>
  <c r="P390" i="2" a="1"/>
  <c r="O391" i="2" a="1"/>
  <c r="P391" i="2" l="1" a="1"/>
  <c r="O390" i="2" a="1"/>
  <c r="G37" i="3" a="1"/>
  <c r="P392" i="2" a="1"/>
  <c r="O393" i="2" a="1"/>
  <c r="P393" i="2" a="1"/>
  <c r="O392" i="2" a="1"/>
  <c r="Q391" i="2" l="1"/>
  <c r="W391" i="2"/>
  <c r="Q390" i="2"/>
  <c r="W390" i="2"/>
  <c r="AA390" i="2" s="1"/>
  <c r="AB390" i="2" s="1"/>
  <c r="Q392" i="2"/>
  <c r="W393" i="2"/>
  <c r="W392" i="2"/>
  <c r="Q393" i="2"/>
  <c r="AA391" i="2" l="1"/>
  <c r="AB391" i="2" s="1"/>
  <c r="AA392" i="2"/>
  <c r="AB392" i="2" s="1"/>
  <c r="AA393" i="2"/>
  <c r="AB393" i="2" s="1"/>
  <c r="O395" i="2" l="1" a="1"/>
  <c r="P397" i="2" a="1"/>
  <c r="O397" i="2" a="1"/>
  <c r="P396" i="2" a="1"/>
  <c r="O394" i="2" a="1"/>
  <c r="O396" i="2" a="1"/>
  <c r="P395" i="2" a="1"/>
  <c r="P394" i="2" a="1"/>
  <c r="Q395" i="2" l="1"/>
  <c r="W395" i="2"/>
  <c r="W397" i="2"/>
  <c r="W394" i="2"/>
  <c r="W396" i="2"/>
  <c r="Q397" i="2"/>
  <c r="Q396" i="2"/>
  <c r="Q394" i="2"/>
  <c r="AA396" i="2" l="1"/>
  <c r="AB396" i="2" s="1"/>
  <c r="AA395" i="2"/>
  <c r="AB395" i="2" s="1"/>
  <c r="AA397" i="2"/>
  <c r="AB397" i="2" s="1"/>
  <c r="AA394" i="2"/>
  <c r="AB394" i="2" s="1"/>
  <c r="P399" i="2" l="1" a="1"/>
  <c r="O398" i="2" a="1"/>
  <c r="P398" i="2" a="1"/>
  <c r="O399" i="2" a="1"/>
  <c r="W398" i="2" l="1"/>
  <c r="W399" i="2"/>
  <c r="Q399" i="2"/>
  <c r="Q398" i="2"/>
  <c r="AA398" i="2" l="1"/>
  <c r="AB398" i="2" s="1"/>
  <c r="P402" i="2" a="1"/>
  <c r="O402" i="2" a="1"/>
  <c r="P403" i="2" a="1"/>
  <c r="O403" i="2" a="1"/>
  <c r="AA399" i="2"/>
  <c r="AB399" i="2" s="1"/>
  <c r="O401" i="2" l="1" a="1"/>
  <c r="P400" i="2" a="1"/>
  <c r="Q400" i="2" s="1"/>
  <c r="O400" i="2" a="1"/>
  <c r="P401" i="2" a="1"/>
  <c r="W402" i="2"/>
  <c r="W403" i="2"/>
  <c r="Q403" i="2"/>
  <c r="Q402" i="2"/>
  <c r="W401" i="2" l="1"/>
  <c r="W400" i="2"/>
  <c r="AA400" i="2"/>
  <c r="AB400" i="2" s="1"/>
  <c r="Q401" i="2"/>
  <c r="AA403" i="2"/>
  <c r="AB403" i="2" s="1"/>
  <c r="AA402" i="2"/>
  <c r="AB402" i="2" s="1"/>
  <c r="P404" i="2" a="1"/>
  <c r="O405" i="2" a="1"/>
  <c r="O404" i="2" a="1"/>
  <c r="P405" i="2" a="1"/>
  <c r="AA401" i="2" l="1"/>
  <c r="AB401" i="2" s="1"/>
  <c r="P412" i="2" a="1"/>
  <c r="P413" i="2" a="1"/>
  <c r="P409" i="2" a="1"/>
  <c r="P411" i="2" a="1"/>
  <c r="P408" i="2" a="1"/>
  <c r="O408" i="2" a="1"/>
  <c r="O410" i="2" a="1"/>
  <c r="O412" i="2" a="1"/>
  <c r="P410" i="2" a="1"/>
  <c r="O409" i="2" a="1"/>
  <c r="O411" i="2" a="1"/>
  <c r="O413" i="2" a="1"/>
  <c r="Q404" i="2"/>
  <c r="W405" i="2"/>
  <c r="W404" i="2"/>
  <c r="Q405" i="2"/>
  <c r="Q410" i="2" l="1"/>
  <c r="W408" i="2"/>
  <c r="AA408" i="2" s="1"/>
  <c r="AB408" i="2" s="1"/>
  <c r="W410" i="2"/>
  <c r="AA410" i="2" s="1"/>
  <c r="AB410" i="2" s="1"/>
  <c r="W412" i="2"/>
  <c r="W409" i="2"/>
  <c r="W411" i="2"/>
  <c r="W413" i="2"/>
  <c r="Q412" i="2"/>
  <c r="Q413" i="2"/>
  <c r="Q411" i="2"/>
  <c r="Q408" i="2"/>
  <c r="Q409" i="2"/>
  <c r="AA404" i="2"/>
  <c r="AB404" i="2" s="1"/>
  <c r="AA405" i="2"/>
  <c r="AB405" i="2" s="1"/>
  <c r="O406" i="2" a="1"/>
  <c r="O407" i="2" a="1"/>
  <c r="P407" i="2" a="1"/>
  <c r="P406" i="2" a="1"/>
  <c r="AA413" i="2" l="1"/>
  <c r="AB413" i="2" s="1"/>
  <c r="AA411" i="2"/>
  <c r="AB411" i="2" s="1"/>
  <c r="P421" i="2" a="1"/>
  <c r="O423" i="2" a="1"/>
  <c r="O419" i="2" a="1"/>
  <c r="O417" i="2" a="1"/>
  <c r="P417" i="2" a="1"/>
  <c r="O422" i="2" a="1"/>
  <c r="O421" i="2" a="1"/>
  <c r="O420" i="2" a="1"/>
  <c r="O416" i="2" a="1"/>
  <c r="O414" i="2" a="1"/>
  <c r="P422" i="2" a="1"/>
  <c r="P415" i="2" a="1"/>
  <c r="P416" i="2" a="1"/>
  <c r="P423" i="2" a="1"/>
  <c r="P418" i="2" a="1"/>
  <c r="P420" i="2" a="1"/>
  <c r="AA412" i="2"/>
  <c r="AB412" i="2" s="1"/>
  <c r="AA409" i="2"/>
  <c r="AB409" i="2" s="1"/>
  <c r="Q406" i="2"/>
  <c r="Q407" i="2"/>
  <c r="W406" i="2"/>
  <c r="W407" i="2"/>
  <c r="Q417" i="2" l="1"/>
  <c r="Q422" i="2"/>
  <c r="W423" i="2"/>
  <c r="AA423" i="2" s="1"/>
  <c r="AB423" i="2" s="1"/>
  <c r="W417" i="2"/>
  <c r="AA417" i="2" s="1"/>
  <c r="AB417" i="2" s="1"/>
  <c r="W422" i="2"/>
  <c r="AA422" i="2" s="1"/>
  <c r="AB422" i="2" s="1"/>
  <c r="W421" i="2"/>
  <c r="W420" i="2"/>
  <c r="W416" i="2"/>
  <c r="Q421" i="2"/>
  <c r="Q416" i="2"/>
  <c r="Q423" i="2"/>
  <c r="Q420" i="2"/>
  <c r="AA406" i="2"/>
  <c r="AB406" i="2" s="1"/>
  <c r="AA407" i="2"/>
  <c r="AB407" i="2" s="1"/>
  <c r="AA421" i="2" l="1"/>
  <c r="AB421" i="2" s="1"/>
  <c r="AA420" i="2"/>
  <c r="AB420" i="2" s="1"/>
  <c r="AA416" i="2"/>
  <c r="AB416" i="2" s="1"/>
  <c r="O415" i="2" a="1"/>
  <c r="P414" i="2" a="1"/>
  <c r="O418" i="2" a="1"/>
  <c r="P419" i="2" a="1"/>
  <c r="P428" i="2" a="1"/>
  <c r="O429" i="2" a="1"/>
  <c r="O427" i="2" a="1"/>
  <c r="O425" i="2" a="1"/>
  <c r="P425" i="2" a="1"/>
  <c r="O428" i="2" a="1"/>
  <c r="O426" i="2" a="1"/>
  <c r="O424" i="2" a="1"/>
  <c r="P426" i="2" a="1"/>
  <c r="P424" i="2" a="1"/>
  <c r="P429" i="2" a="1"/>
  <c r="P427" i="2" a="1"/>
  <c r="W415" i="2" l="1"/>
  <c r="Q415" i="2"/>
  <c r="Q414" i="2"/>
  <c r="W414" i="2"/>
  <c r="Q418" i="2"/>
  <c r="W418" i="2"/>
  <c r="AA418" i="2" s="1"/>
  <c r="AB418" i="2" s="1"/>
  <c r="W419" i="2"/>
  <c r="Q419" i="2"/>
  <c r="Q426" i="2"/>
  <c r="Q427" i="2"/>
  <c r="W429" i="2"/>
  <c r="W427" i="2"/>
  <c r="AA427" i="2" s="1"/>
  <c r="AB427" i="2" s="1"/>
  <c r="W425" i="2"/>
  <c r="W428" i="2"/>
  <c r="W426" i="2"/>
  <c r="W424" i="2"/>
  <c r="Q428" i="2"/>
  <c r="Q425" i="2"/>
  <c r="Q424" i="2"/>
  <c r="Q429" i="2"/>
  <c r="AA414" i="2" l="1"/>
  <c r="AB414" i="2" s="1"/>
  <c r="AA415" i="2"/>
  <c r="AB415" i="2" s="1"/>
  <c r="AA419" i="2"/>
  <c r="AB419" i="2" s="1"/>
  <c r="AA426" i="2"/>
  <c r="AB426" i="2" s="1"/>
  <c r="AA429" i="2"/>
  <c r="AB429" i="2" s="1"/>
  <c r="AA425" i="2"/>
  <c r="AB425" i="2" s="1"/>
  <c r="AA428" i="2"/>
  <c r="AB428" i="2" s="1"/>
  <c r="AA424" i="2"/>
  <c r="AB424" i="2" s="1"/>
  <c r="P434" i="2" l="1" a="1"/>
  <c r="P435" i="2" a="1"/>
  <c r="P431" i="2" a="1"/>
  <c r="P433" i="2" a="1"/>
  <c r="P430" i="2" a="1"/>
  <c r="Q430" i="2" s="1"/>
  <c r="O430" i="2" a="1"/>
  <c r="O432" i="2" a="1"/>
  <c r="O434" i="2" a="1"/>
  <c r="P432" i="2" a="1"/>
  <c r="Q432" i="2" s="1"/>
  <c r="O431" i="2" a="1"/>
  <c r="O433" i="2" a="1"/>
  <c r="O435" i="2" a="1"/>
  <c r="W430" i="2" l="1"/>
  <c r="AA430" i="2" s="1"/>
  <c r="AB430" i="2" s="1"/>
  <c r="W432" i="2"/>
  <c r="AA432" i="2" s="1"/>
  <c r="AB432" i="2" s="1"/>
  <c r="W434" i="2"/>
  <c r="W431" i="2"/>
  <c r="W433" i="2"/>
  <c r="AA433" i="2" s="1"/>
  <c r="AB433" i="2" s="1"/>
  <c r="W435" i="2"/>
  <c r="Q434" i="2"/>
  <c r="Q435" i="2"/>
  <c r="Q431" i="2"/>
  <c r="Q433" i="2"/>
  <c r="AA435" i="2" l="1"/>
  <c r="AB435" i="2" s="1"/>
  <c r="AA434" i="2"/>
  <c r="AB434" i="2" s="1"/>
  <c r="AA431" i="2"/>
  <c r="AB431" i="2" s="1"/>
  <c r="P443" i="2" a="1"/>
  <c r="P436" i="2" a="1"/>
  <c r="O443" i="2" a="1"/>
  <c r="O441" i="2" a="1"/>
  <c r="O439" i="2" a="1"/>
  <c r="O437" i="2" a="1"/>
  <c r="P439" i="2" a="1"/>
  <c r="Q439" i="2" s="1"/>
  <c r="O442" i="2" a="1"/>
  <c r="O440" i="2" a="1"/>
  <c r="O438" i="2" a="1"/>
  <c r="O436" i="2" a="1"/>
  <c r="P437" i="2" a="1"/>
  <c r="Q437" i="2" s="1"/>
  <c r="P441" i="2" a="1"/>
  <c r="P438" i="2" a="1"/>
  <c r="Q438" i="2" s="1"/>
  <c r="P440" i="2" a="1"/>
  <c r="P442" i="2" a="1"/>
  <c r="Q442" i="2" s="1"/>
  <c r="Q436" i="2" l="1"/>
  <c r="W443" i="2"/>
  <c r="W441" i="2"/>
  <c r="W439" i="2"/>
  <c r="AA439" i="2" s="1"/>
  <c r="AB439" i="2" s="1"/>
  <c r="W437" i="2"/>
  <c r="AA437" i="2" s="1"/>
  <c r="AB437" i="2" s="1"/>
  <c r="W442" i="2"/>
  <c r="AA442" i="2" s="1"/>
  <c r="AB442" i="2" s="1"/>
  <c r="W440" i="2"/>
  <c r="W438" i="2"/>
  <c r="AA438" i="2" s="1"/>
  <c r="AB438" i="2" s="1"/>
  <c r="W436" i="2"/>
  <c r="Q443" i="2"/>
  <c r="Q441" i="2"/>
  <c r="Q440" i="2"/>
  <c r="AA443" i="2" l="1"/>
  <c r="AB443" i="2" s="1"/>
  <c r="AA436" i="2"/>
  <c r="AB436" i="2" s="1"/>
  <c r="O449" i="2" a="1"/>
  <c r="O447" i="2" a="1"/>
  <c r="O445" i="2" a="1"/>
  <c r="P447" i="2" a="1"/>
  <c r="O448" i="2" a="1"/>
  <c r="O446" i="2" a="1"/>
  <c r="O444" i="2" a="1"/>
  <c r="P444" i="2" a="1"/>
  <c r="P448" i="2" a="1"/>
  <c r="Q448" i="2" s="1"/>
  <c r="P446" i="2" a="1"/>
  <c r="P445" i="2" a="1"/>
  <c r="Q445" i="2" s="1"/>
  <c r="P449" i="2" a="1"/>
  <c r="AA441" i="2"/>
  <c r="AB441" i="2" s="1"/>
  <c r="AA440" i="2"/>
  <c r="AB440" i="2" s="1"/>
  <c r="Q447" i="2" l="1"/>
  <c r="W449" i="2"/>
  <c r="W447" i="2"/>
  <c r="W445" i="2"/>
  <c r="AA445" i="2" s="1"/>
  <c r="AB445" i="2" s="1"/>
  <c r="W448" i="2"/>
  <c r="AA448" i="2" s="1"/>
  <c r="AB448" i="2" s="1"/>
  <c r="W446" i="2"/>
  <c r="W444" i="2"/>
  <c r="Q444" i="2"/>
  <c r="Q446" i="2"/>
  <c r="Q449" i="2"/>
  <c r="AA447" i="2" l="1"/>
  <c r="AB447" i="2" s="1"/>
  <c r="AA449" i="2"/>
  <c r="AB449" i="2" s="1"/>
  <c r="AA446" i="2"/>
  <c r="AB446" i="2" s="1"/>
  <c r="AA444" i="2"/>
  <c r="AB444" i="2" s="1"/>
  <c r="P450" i="2" a="1"/>
  <c r="O455" i="2" a="1"/>
  <c r="O453" i="2" a="1"/>
  <c r="O451" i="2" a="1"/>
  <c r="P454" i="2" a="1"/>
  <c r="O454" i="2" a="1"/>
  <c r="O452" i="2" a="1"/>
  <c r="O450" i="2" a="1"/>
  <c r="P452" i="2" a="1"/>
  <c r="Q452" i="2" s="1"/>
  <c r="P455" i="2" a="1"/>
  <c r="P453" i="2" a="1"/>
  <c r="P451" i="2" a="1"/>
  <c r="Q451" i="2" s="1"/>
  <c r="Q455" i="2" l="1"/>
  <c r="Q454" i="2"/>
  <c r="W455" i="2"/>
  <c r="AA455" i="2" s="1"/>
  <c r="AB455" i="2" s="1"/>
  <c r="W453" i="2"/>
  <c r="AA453" i="2" s="1"/>
  <c r="AB453" i="2" s="1"/>
  <c r="W451" i="2"/>
  <c r="AA451" i="2" s="1"/>
  <c r="AB451" i="2" s="1"/>
  <c r="W454" i="2"/>
  <c r="AA454" i="2" s="1"/>
  <c r="AB454" i="2" s="1"/>
  <c r="W452" i="2"/>
  <c r="AA452" i="2" s="1"/>
  <c r="AB452" i="2" s="1"/>
  <c r="W450" i="2"/>
  <c r="Q450" i="2"/>
  <c r="Q453" i="2"/>
  <c r="P465" i="2" l="1" a="1"/>
  <c r="P458" i="2" a="1"/>
  <c r="Q458" i="2" s="1"/>
  <c r="O465" i="2" a="1"/>
  <c r="O457" i="2" a="1"/>
  <c r="P461" i="2" a="1"/>
  <c r="Q461" i="2" s="1"/>
  <c r="O463" i="2" a="1"/>
  <c r="O456" i="2" a="1"/>
  <c r="P466" i="2" a="1"/>
  <c r="Q466" i="2" s="1"/>
  <c r="P459" i="2" a="1"/>
  <c r="Q459" i="2" s="1"/>
  <c r="O466" i="2" a="1"/>
  <c r="O462" i="2" a="1"/>
  <c r="P463" i="2" a="1"/>
  <c r="O467" i="2" a="1"/>
  <c r="O460" i="2" a="1"/>
  <c r="P467" i="2" a="1"/>
  <c r="P460" i="2" a="1"/>
  <c r="Q460" i="2" s="1"/>
  <c r="O461" i="2" a="1"/>
  <c r="P462" i="2" a="1"/>
  <c r="P457" i="2" a="1"/>
  <c r="Q457" i="2" s="1"/>
  <c r="O464" i="2" a="1"/>
  <c r="O459" i="2" a="1"/>
  <c r="P464" i="2" a="1"/>
  <c r="Q464" i="2" s="1"/>
  <c r="P456" i="2" a="1"/>
  <c r="O458" i="2" a="1"/>
  <c r="AA450" i="2"/>
  <c r="AB450" i="2" s="1"/>
  <c r="Q465" i="2" l="1"/>
  <c r="Q456" i="2"/>
  <c r="W465" i="2"/>
  <c r="AA465" i="2" s="1"/>
  <c r="AB465" i="2" s="1"/>
  <c r="W457" i="2"/>
  <c r="AA457" i="2" s="1"/>
  <c r="AB457" i="2" s="1"/>
  <c r="W463" i="2"/>
  <c r="W456" i="2"/>
  <c r="AA456" i="2" s="1"/>
  <c r="AB456" i="2" s="1"/>
  <c r="W466" i="2"/>
  <c r="AA466" i="2" s="1"/>
  <c r="AB466" i="2" s="1"/>
  <c r="W462" i="2"/>
  <c r="W467" i="2"/>
  <c r="W460" i="2"/>
  <c r="AA460" i="2" s="1"/>
  <c r="AB460" i="2" s="1"/>
  <c r="W461" i="2"/>
  <c r="AA461" i="2" s="1"/>
  <c r="AB461" i="2" s="1"/>
  <c r="W464" i="2"/>
  <c r="AA464" i="2" s="1"/>
  <c r="AB464" i="2" s="1"/>
  <c r="W459" i="2"/>
  <c r="AA459" i="2" s="1"/>
  <c r="AB459" i="2" s="1"/>
  <c r="W458" i="2"/>
  <c r="AA458" i="2" s="1"/>
  <c r="AB458" i="2" s="1"/>
  <c r="Q463" i="2"/>
  <c r="Q467" i="2"/>
  <c r="Q462" i="2"/>
  <c r="AA463" i="2" l="1"/>
  <c r="AB463" i="2" s="1"/>
  <c r="AA462" i="2"/>
  <c r="AB462" i="2" s="1"/>
  <c r="AA467" i="2"/>
  <c r="AB467" i="2" s="1"/>
  <c r="O469" i="2" l="1" a="1"/>
  <c r="P471" i="2" a="1"/>
  <c r="P468" i="2" a="1"/>
  <c r="Q468" i="2" s="1"/>
  <c r="O468" i="2" a="1"/>
  <c r="P470" i="2" a="1"/>
  <c r="Q470" i="2" s="1"/>
  <c r="O470" i="2" a="1"/>
  <c r="P469" i="2" a="1"/>
  <c r="Q469" i="2" s="1"/>
  <c r="O471" i="2" a="1"/>
  <c r="Q471" i="2" l="1"/>
  <c r="W469" i="2"/>
  <c r="AA469" i="2" s="1"/>
  <c r="AB469" i="2" s="1"/>
  <c r="W468" i="2"/>
  <c r="AA468" i="2" s="1"/>
  <c r="AB468" i="2" s="1"/>
  <c r="W470" i="2"/>
  <c r="AA470" i="2" s="1"/>
  <c r="AB470" i="2" s="1"/>
  <c r="W471" i="2"/>
  <c r="AA471" i="2" l="1"/>
  <c r="AB471" i="2" s="1"/>
  <c r="P480" i="2" a="1"/>
  <c r="P472" i="2" a="1"/>
  <c r="O479" i="2" a="1"/>
  <c r="P483" i="2" a="1"/>
  <c r="P476" i="2" a="1"/>
  <c r="O482" i="2" a="1"/>
  <c r="O475" i="2" a="1"/>
  <c r="P481" i="2" a="1"/>
  <c r="P474" i="2" a="1"/>
  <c r="O480" i="2" a="1"/>
  <c r="O472" i="2" a="1"/>
  <c r="P477" i="2" a="1"/>
  <c r="O483" i="2" a="1"/>
  <c r="O476" i="2" a="1"/>
  <c r="P482" i="2" a="1"/>
  <c r="P475" i="2" a="1"/>
  <c r="O481" i="2" a="1"/>
  <c r="O474" i="2" a="1"/>
  <c r="P479" i="2" a="1"/>
  <c r="P473" i="2" a="1"/>
  <c r="O478" i="2" a="1"/>
  <c r="O473" i="2" a="1"/>
  <c r="P478" i="2" a="1"/>
  <c r="O477" i="2" a="1"/>
  <c r="Q479" i="2" l="1"/>
  <c r="Q481" i="2"/>
  <c r="Q482" i="2"/>
  <c r="Q478" i="2"/>
  <c r="W479" i="2"/>
  <c r="AA479" i="2" s="1"/>
  <c r="AB479" i="2" s="1"/>
  <c r="W482" i="2"/>
  <c r="AA482" i="2" s="1"/>
  <c r="AB482" i="2" s="1"/>
  <c r="W475" i="2"/>
  <c r="W480" i="2"/>
  <c r="W472" i="2"/>
  <c r="W483" i="2"/>
  <c r="W476" i="2"/>
  <c r="W481" i="2"/>
  <c r="W474" i="2"/>
  <c r="W478" i="2"/>
  <c r="W473" i="2"/>
  <c r="W477" i="2"/>
  <c r="Q480" i="2"/>
  <c r="Q472" i="2"/>
  <c r="Q477" i="2"/>
  <c r="Q483" i="2"/>
  <c r="Q476" i="2"/>
  <c r="Q474" i="2"/>
  <c r="Q475" i="2"/>
  <c r="Q473" i="2"/>
  <c r="AA481" i="2" l="1"/>
  <c r="AB481" i="2" s="1"/>
  <c r="AA478" i="2"/>
  <c r="AB478" i="2" s="1"/>
  <c r="AA476" i="2"/>
  <c r="AB476" i="2" s="1"/>
  <c r="AA473" i="2"/>
  <c r="AB473" i="2" s="1"/>
  <c r="AA475" i="2"/>
  <c r="AB475" i="2" s="1"/>
  <c r="AA480" i="2"/>
  <c r="AB480" i="2" s="1"/>
  <c r="AA472" i="2"/>
  <c r="AB472" i="2" s="1"/>
  <c r="AA483" i="2"/>
  <c r="AB483" i="2" s="1"/>
  <c r="AA477" i="2"/>
  <c r="AB477" i="2" s="1"/>
  <c r="AA474" i="2"/>
  <c r="AB474" i="2" s="1"/>
  <c r="O485" i="2" l="1" a="1"/>
  <c r="P486" i="2" a="1"/>
  <c r="Q486" i="2" s="1"/>
  <c r="O484" i="2" a="1"/>
  <c r="O490" i="2" a="1"/>
  <c r="P484" i="2" a="1"/>
  <c r="P490" i="2" a="1"/>
  <c r="O488" i="2" a="1"/>
  <c r="P489" i="2" a="1"/>
  <c r="O491" i="2" a="1"/>
  <c r="P485" i="2" a="1"/>
  <c r="O487" i="2" a="1"/>
  <c r="P488" i="2" a="1"/>
  <c r="Q488" i="2" s="1"/>
  <c r="O489" i="2" a="1"/>
  <c r="P491" i="2" a="1"/>
  <c r="O486" i="2" a="1"/>
  <c r="P487" i="2" a="1"/>
  <c r="Q487" i="2" s="1"/>
  <c r="Q489" i="2" l="1"/>
  <c r="Q485" i="2"/>
  <c r="Q491" i="2"/>
  <c r="Q484" i="2"/>
  <c r="W485" i="2"/>
  <c r="AA485" i="2" s="1"/>
  <c r="AB485" i="2" s="1"/>
  <c r="W484" i="2"/>
  <c r="AA484" i="2" s="1"/>
  <c r="AB484" i="2" s="1"/>
  <c r="W490" i="2"/>
  <c r="W488" i="2"/>
  <c r="AA488" i="2" s="1"/>
  <c r="AB488" i="2" s="1"/>
  <c r="W491" i="2"/>
  <c r="W487" i="2"/>
  <c r="AA487" i="2" s="1"/>
  <c r="AB487" i="2" s="1"/>
  <c r="W489" i="2"/>
  <c r="AA489" i="2" s="1"/>
  <c r="AB489" i="2" s="1"/>
  <c r="W486" i="2"/>
  <c r="AA486" i="2" s="1"/>
  <c r="AB486" i="2" s="1"/>
  <c r="Q490" i="2"/>
  <c r="AA491" i="2" l="1"/>
  <c r="AB491" i="2" s="1"/>
  <c r="P494" i="2" a="1"/>
  <c r="O493" i="2" a="1"/>
  <c r="O497" i="2" a="1"/>
  <c r="P495" i="2" a="1"/>
  <c r="Q495" i="2" s="1"/>
  <c r="O494" i="2" a="1"/>
  <c r="P492" i="2" a="1"/>
  <c r="Q492" i="2" s="1"/>
  <c r="P497" i="2" a="1"/>
  <c r="O496" i="2" a="1"/>
  <c r="P496" i="2" a="1"/>
  <c r="Q496" i="2" s="1"/>
  <c r="O495" i="2" a="1"/>
  <c r="P493" i="2" a="1"/>
  <c r="O492" i="2" a="1"/>
  <c r="AA490" i="2"/>
  <c r="AB490" i="2" s="1"/>
  <c r="Q497" i="2" l="1"/>
  <c r="Q493" i="2"/>
  <c r="W493" i="2"/>
  <c r="W497" i="2"/>
  <c r="W494" i="2"/>
  <c r="W496" i="2"/>
  <c r="AA496" i="2" s="1"/>
  <c r="AB496" i="2" s="1"/>
  <c r="W495" i="2"/>
  <c r="AA495" i="2" s="1"/>
  <c r="AB495" i="2" s="1"/>
  <c r="W492" i="2"/>
  <c r="AA492" i="2" s="1"/>
  <c r="AB492" i="2" s="1"/>
  <c r="Q494" i="2"/>
  <c r="AA493" i="2" l="1"/>
  <c r="AB493" i="2" s="1"/>
  <c r="AA497" i="2"/>
  <c r="AB497" i="2" s="1"/>
  <c r="P509" i="2" a="1"/>
  <c r="P502" i="2" a="1"/>
  <c r="O508" i="2" a="1"/>
  <c r="O500" i="2" a="1"/>
  <c r="P505" i="2" a="1"/>
  <c r="Q505" i="2" s="1"/>
  <c r="P498" i="2" a="1"/>
  <c r="O511" i="2" a="1"/>
  <c r="O504" i="2" a="1"/>
  <c r="P510" i="2" a="1"/>
  <c r="Q510" i="2" s="1"/>
  <c r="P503" i="2" a="1"/>
  <c r="O509" i="2" a="1"/>
  <c r="O502" i="2" a="1"/>
  <c r="P507" i="2" a="1"/>
  <c r="P499" i="2" a="1"/>
  <c r="Q499" i="2" s="1"/>
  <c r="O513" i="2" a="1"/>
  <c r="O505" i="2" a="1"/>
  <c r="O498" i="2" a="1"/>
  <c r="P511" i="2" a="1"/>
  <c r="Q511" i="2" s="1"/>
  <c r="P504" i="2" a="1"/>
  <c r="O510" i="2" a="1"/>
  <c r="O503" i="2" a="1"/>
  <c r="P512" i="2" a="1"/>
  <c r="P506" i="2" a="1"/>
  <c r="P501" i="2" a="1"/>
  <c r="O507" i="2" a="1"/>
  <c r="O501" i="2" a="1"/>
  <c r="P508" i="2" a="1"/>
  <c r="P500" i="2" a="1"/>
  <c r="O506" i="2" a="1"/>
  <c r="O499" i="2" a="1"/>
  <c r="AA494" i="2"/>
  <c r="AB494" i="2" s="1"/>
  <c r="Q509" i="2" l="1"/>
  <c r="Q502" i="2"/>
  <c r="Q498" i="2"/>
  <c r="Q503" i="2"/>
  <c r="Q504" i="2"/>
  <c r="Q506" i="2"/>
  <c r="Q508" i="2"/>
  <c r="P513" i="2" a="1"/>
  <c r="O512" i="2" a="1"/>
  <c r="W508" i="2"/>
  <c r="AA508" i="2" s="1"/>
  <c r="AB508" i="2" s="1"/>
  <c r="W500" i="2"/>
  <c r="W511" i="2"/>
  <c r="AA511" i="2" s="1"/>
  <c r="AB511" i="2" s="1"/>
  <c r="AX9" i="3" s="1" a="1"/>
  <c r="W504" i="2"/>
  <c r="W509" i="2"/>
  <c r="W502" i="2"/>
  <c r="W505" i="2"/>
  <c r="AA505" i="2" s="1"/>
  <c r="AB505" i="2" s="1"/>
  <c r="G31" i="3" s="1" a="1"/>
  <c r="W498" i="2"/>
  <c r="W510" i="2"/>
  <c r="AA510" i="2" s="1"/>
  <c r="AB510" i="2" s="1"/>
  <c r="W503" i="2"/>
  <c r="W507" i="2"/>
  <c r="W501" i="2"/>
  <c r="W506" i="2"/>
  <c r="W499" i="2"/>
  <c r="AA499" i="2" s="1"/>
  <c r="AB499" i="2" s="1"/>
  <c r="G27" i="3" s="1" a="1"/>
  <c r="Q507" i="2"/>
  <c r="Q501" i="2"/>
  <c r="Q500" i="2"/>
  <c r="AA500" i="2" l="1"/>
  <c r="AB500" i="2" s="1"/>
  <c r="G32" i="3" s="1" a="1"/>
  <c r="AA498" i="2"/>
  <c r="AB498" i="2" s="1"/>
  <c r="AA504" i="2"/>
  <c r="AB504" i="2" s="1"/>
  <c r="AA509" i="2"/>
  <c r="AB509" i="2" s="1"/>
  <c r="AA502" i="2"/>
  <c r="AB502" i="2" s="1"/>
  <c r="AA503" i="2"/>
  <c r="AB503" i="2" s="1"/>
  <c r="G29" i="3" s="1" a="1"/>
  <c r="AA507" i="2"/>
  <c r="AB507" i="2" s="1"/>
  <c r="G36" i="3" s="1" a="1"/>
  <c r="AA506" i="2"/>
  <c r="AB506" i="2" s="1"/>
  <c r="W513" i="2"/>
  <c r="Q513" i="2"/>
  <c r="Q512" i="2"/>
  <c r="W512" i="2"/>
  <c r="P516" i="2" a="1"/>
  <c r="O515" i="2" a="1"/>
  <c r="P517" i="2" a="1"/>
  <c r="O516" i="2" a="1"/>
  <c r="P514" i="2" a="1"/>
  <c r="O517" i="2" a="1"/>
  <c r="AA501" i="2"/>
  <c r="AB501" i="2" s="1"/>
  <c r="AA513" i="2" l="1"/>
  <c r="AB513" i="2" s="1"/>
  <c r="AA512" i="2"/>
  <c r="AB512" i="2" s="1"/>
  <c r="AX4" i="3" a="1"/>
  <c r="G25" i="3" a="1"/>
  <c r="Q517" i="2"/>
  <c r="W516" i="2"/>
  <c r="W517" i="2"/>
  <c r="Q516" i="2"/>
  <c r="P515" i="2" l="1" a="1"/>
  <c r="O514" i="2" a="1"/>
  <c r="AA517" i="2"/>
  <c r="AB517" i="2" s="1"/>
  <c r="P520" i="2" a="1"/>
  <c r="O519" i="2" a="1"/>
  <c r="P521" i="2" a="1"/>
  <c r="O520" i="2" a="1"/>
  <c r="P519" i="2" a="1"/>
  <c r="Q519" i="2" s="1"/>
  <c r="O518" i="2" a="1"/>
  <c r="P518" i="2" a="1"/>
  <c r="O521" i="2" a="1"/>
  <c r="AA516" i="2"/>
  <c r="AB516" i="2" s="1"/>
  <c r="W515" i="2" l="1"/>
  <c r="AA515" i="2" s="1"/>
  <c r="AB515" i="2" s="1"/>
  <c r="Q515" i="2"/>
  <c r="W514" i="2"/>
  <c r="Q514" i="2"/>
  <c r="Q520" i="2"/>
  <c r="Q521" i="2"/>
  <c r="Q518" i="2"/>
  <c r="W519" i="2"/>
  <c r="AA519" i="2" s="1"/>
  <c r="AB519" i="2" s="1"/>
  <c r="W520" i="2"/>
  <c r="W518" i="2"/>
  <c r="W521" i="2"/>
  <c r="AA521" i="2" s="1"/>
  <c r="AB521" i="2" s="1"/>
  <c r="AA514" i="2" l="1"/>
  <c r="AB514" i="2" s="1"/>
  <c r="AA520" i="2"/>
  <c r="AB520" i="2" s="1"/>
  <c r="AA518" i="2"/>
  <c r="AB518" i="2" s="1"/>
  <c r="P524" i="2" a="1"/>
  <c r="O522" i="2" a="1"/>
  <c r="P525" i="2" a="1"/>
  <c r="O524" i="2" a="1"/>
  <c r="O525" i="2" a="1"/>
  <c r="P523" i="2" a="1"/>
  <c r="O523" i="2" a="1"/>
  <c r="P522" i="2" a="1"/>
  <c r="Q523" i="2" l="1"/>
  <c r="Q524" i="2"/>
  <c r="Q522" i="2"/>
  <c r="W522" i="2"/>
  <c r="AA522" i="2" s="1"/>
  <c r="AB522" i="2"/>
  <c r="W524" i="2"/>
  <c r="AA524" i="2" s="1"/>
  <c r="AB524" i="2" s="1"/>
  <c r="W525" i="2"/>
  <c r="AA525" i="2" s="1"/>
  <c r="AB525" i="2" s="1"/>
  <c r="W523" i="2"/>
  <c r="Q525" i="2"/>
  <c r="AA523" i="2" l="1"/>
  <c r="AB523" i="2" s="1"/>
  <c r="G35" i="3" a="1"/>
  <c r="AX6" i="3" a="1"/>
  <c r="P527" i="2" a="1"/>
  <c r="O526" i="2" a="1"/>
  <c r="P529" i="2" a="1"/>
  <c r="O527" i="2" a="1"/>
  <c r="P526" i="2" a="1"/>
  <c r="P528" i="2" a="1"/>
  <c r="O529" i="2" a="1"/>
  <c r="O528" i="2" a="1"/>
  <c r="Q526" i="2" l="1"/>
  <c r="W526" i="2"/>
  <c r="AA526" i="2" s="1"/>
  <c r="AB526" i="2" s="1"/>
  <c r="AX8" i="3" s="1" a="1"/>
  <c r="W527" i="2"/>
  <c r="W529" i="2"/>
  <c r="W528" i="2"/>
  <c r="Q527" i="2"/>
  <c r="Q529" i="2"/>
  <c r="Q528" i="2"/>
  <c r="AA529" i="2" l="1"/>
  <c r="AB529" i="2" s="1"/>
  <c r="AA528" i="2"/>
  <c r="AB528" i="2" s="1"/>
  <c r="P531" i="2" a="1"/>
  <c r="O530" i="2" a="1"/>
  <c r="O531" i="2" a="1"/>
  <c r="P530" i="2" a="1"/>
  <c r="Q530" i="2" s="1"/>
  <c r="AA527" i="2"/>
  <c r="AB527" i="2" s="1"/>
  <c r="W530" i="2" l="1"/>
  <c r="AA530" i="2" s="1"/>
  <c r="AB530" i="2" s="1"/>
  <c r="G34" i="3" s="1" a="1"/>
  <c r="W531" i="2"/>
  <c r="Q531" i="2"/>
  <c r="AA531" i="2" l="1"/>
  <c r="AB531" i="2" s="1"/>
  <c r="O534" i="2" l="1" a="1"/>
  <c r="P534" i="2" a="1"/>
  <c r="O532" i="2" a="1"/>
  <c r="P533" i="2" a="1"/>
  <c r="O535" i="2" a="1"/>
  <c r="P532" i="2" a="1"/>
  <c r="O533" i="2" a="1"/>
  <c r="P535" i="2" a="1"/>
  <c r="Q535" i="2" l="1"/>
  <c r="Q534" i="2"/>
  <c r="Q533" i="2"/>
  <c r="W534" i="2"/>
  <c r="W532" i="2"/>
  <c r="W535" i="2"/>
  <c r="W533" i="2"/>
  <c r="Q532" i="2"/>
  <c r="AA534" i="2" l="1"/>
  <c r="AB534" i="2" s="1"/>
  <c r="AA532" i="2"/>
  <c r="AB532" i="2" s="1"/>
  <c r="AA535" i="2"/>
  <c r="AB535" i="2" s="1"/>
  <c r="AA533" i="2"/>
  <c r="AB533" i="2" s="1"/>
  <c r="P538" i="2" a="1"/>
  <c r="O537" i="2" a="1"/>
  <c r="P539" i="2" a="1"/>
  <c r="O538" i="2" a="1"/>
  <c r="P536" i="2" a="1"/>
  <c r="O539" i="2" a="1"/>
  <c r="P537" i="2" a="1"/>
  <c r="O536" i="2" a="1"/>
  <c r="W537" i="2" l="1"/>
  <c r="AA537" i="2" s="1"/>
  <c r="AB537" i="2" s="1"/>
  <c r="W538" i="2"/>
  <c r="W539" i="2"/>
  <c r="W536" i="2"/>
  <c r="Q538" i="2"/>
  <c r="Q539" i="2"/>
  <c r="Q536" i="2"/>
  <c r="Q537" i="2"/>
  <c r="G30" i="3" l="1" a="1"/>
  <c r="AX7" i="3" a="1"/>
  <c r="AA538" i="2"/>
  <c r="AB538" i="2" s="1"/>
  <c r="AA539" i="2"/>
  <c r="AB539" i="2" s="1"/>
  <c r="AA536" i="2"/>
  <c r="AB536" i="2" s="1"/>
  <c r="P540" i="2" l="1" a="1"/>
  <c r="O540" i="2" a="1"/>
  <c r="P541" i="2" a="1"/>
  <c r="Q541" i="2" s="1"/>
  <c r="O541" i="2" a="1"/>
  <c r="W540" i="2" l="1"/>
  <c r="AA540" i="2" s="1"/>
  <c r="AB540" i="2" s="1"/>
  <c r="W541" i="2"/>
  <c r="AA541" i="2" s="1"/>
  <c r="AB541" i="2" s="1"/>
  <c r="Q540" i="2"/>
  <c r="G26" i="3" l="1" a="1"/>
  <c r="AX5" i="3" a="1"/>
  <c r="P542" i="2" a="1"/>
  <c r="Q542" i="2" s="1"/>
  <c r="P543" i="2" a="1"/>
  <c r="O542" i="2" a="1"/>
  <c r="O543" i="2" a="1"/>
  <c r="W542" i="2" l="1"/>
  <c r="AA542" i="2" s="1"/>
  <c r="AB542" i="2" s="1"/>
  <c r="W543" i="2"/>
  <c r="AA543" i="2" s="1"/>
  <c r="AB543" i="2" s="1"/>
  <c r="Q543" i="2"/>
  <c r="O544" i="2" l="1" a="1"/>
  <c r="P545" i="2" a="1"/>
  <c r="O545" i="2" a="1"/>
  <c r="P544" i="2" a="1"/>
  <c r="Q544" i="2" s="1"/>
  <c r="Q545" i="2" l="1"/>
  <c r="W544" i="2"/>
  <c r="AA544" i="2" s="1"/>
  <c r="AB544" i="2" s="1"/>
  <c r="W545" i="2"/>
  <c r="AA545" i="2" l="1"/>
  <c r="AB545" i="2" s="1"/>
  <c r="G33" i="3" a="1"/>
  <c r="AX3" i="3" a="1"/>
  <c r="G28" i="3" l="1" a="1"/>
  <c r="A2" i="3" s="1" a="1"/>
  <c r="AX2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<sst xmlns="http://schemas.openxmlformats.org/spreadsheetml/2006/main" count="2828" uniqueCount="91">
  <si>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</si>
  <si>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</si>
  <si>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</si>
  <si>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</si>
  <si>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</si>
  <si>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</si>
  <si>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</si>
  <si>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</si>
  <si>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</si>
  <si>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</si>
  <si>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</si>
  <si>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</si>
  <si>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</si>
  <si>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</si>
  <si>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</si>
  <si>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</si>
  <si>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</si>
  <si>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</si>
  <si>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</si>
  <si>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</si>
  <si>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</si>
  <si>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</si>
  <si>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</si>
  <si>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</si>
  <si>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</si>
  <si>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</si>
  <si>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</si>
  <si>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</si>
  <si>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</si>
  <si>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</si>
  <si>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</si>
  <si>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</si>
  <si>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</si>
  <si>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</si>
  <si>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</si>
  <si>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</si>
  <si>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</si>
  <si>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</si>
  <si>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</si>
  <si>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</si>
  <si>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</si>
  <si>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</si>
  <si>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</si>
  <si>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</si>
  <si>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</si>
  <si>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</si>
  <si>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</si>
  <si>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</si>
  <si>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</si>
  <si>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</si>
  <si>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</si>
  <si>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</si>
  <si>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</si>
  <si>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</si>
  <si>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</si>
  <si>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</si>
  <si>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</si>
  <si>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</si>
  <si>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</si>
  <si>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</si>
  <si>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</si>
  <si>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</si>
  <si>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</si>
  <si>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</si>
  <si>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</si>
  <si>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</si>
  <si>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</si>
  <si>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</si>
  <si>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</si>
  <si>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Cleveland Rockers</t>
  </si>
  <si>
    <t>Phoenix Mercury</t>
  </si>
  <si>
    <t>LAS</t>
  </si>
  <si>
    <t>Los Angeles Sparks</t>
  </si>
  <si>
    <t>Sacramento Monarchs</t>
  </si>
  <si>
    <t>Utah Starzz</t>
  </si>
  <si>
    <t>WAS</t>
  </si>
  <si>
    <t>Washington Mystics</t>
  </si>
  <si>
    <t>DET</t>
  </si>
  <si>
    <t>Detroit Shock</t>
  </si>
  <si>
    <t>ORL</t>
  </si>
  <si>
    <t>MIN</t>
  </si>
  <si>
    <t>Orlando Miracle</t>
  </si>
  <si>
    <t>Minnesota Lynx</t>
  </si>
  <si>
    <t>MIA</t>
  </si>
  <si>
    <t>Miami Sol</t>
  </si>
  <si>
    <t>IND</t>
  </si>
  <si>
    <t>Indiana Fever</t>
  </si>
  <si>
    <t>SEA</t>
  </si>
  <si>
    <t>Seattle Storm</t>
  </si>
  <si>
    <t>POR</t>
  </si>
  <si>
    <t>Portland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</si>
</sst>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5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109125" createdVersion="8" refreshedVersion="8" minRefreshableVersion="3" recordCount="406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1999-06-10T00:00:00" maxDate="1999-09-06T00:00:00"/>
    </cacheField>
    <cacheField name="Season" numFmtId="1">
      <sharedItems containsSemiMixedTypes="0" containsString="0" containsNumber="1" containsInteger="1" minValue="1999" maxValue="1999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5">
        <s v="SAC"/>
        <s v="LAS"/>
        <s v="CLE"/>
        <s v="NYL"/>
        <s v="HOU"/>
        <s v="ORL"/>
        <s v="CHA"/>
        <s v="WAS"/>
        <s v="DET"/>
        <s v="MIN"/>
        <s v="PHX"/>
        <s v="UTA"/>
        <s v="NO" u="1"/>
        <s v="TOR" u="1"/>
        <s v="LAL" u="1"/>
        <s v="LAC" u="1"/>
        <s v="CHI" u="1"/>
        <s v="IND" u="1"/>
        <s v="BRK" u="1"/>
        <s v="MEM" u="1"/>
        <s v="MIA" u="1"/>
        <s v="BOS" u="1"/>
        <s v="PHI" u="1"/>
        <s v="DAL" u="1"/>
        <s v="NY" u="1"/>
        <s v="SA" u="1"/>
        <s v="OKC" u="1"/>
        <s v="DEN" u="1"/>
        <s v="POR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EA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6"/>
    </cacheField>
    <cacheField name="OppDaysOff" numFmtId="1">
      <sharedItems containsSemiMixedTypes="0" containsString="0" containsNumber="1" containsInteger="1" minValue="0" maxValue="6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17.9657553194506" maxValue="1730.7104945400768"/>
    </cacheField>
    <cacheField name="OppPreGmRate" numFmtId="165">
      <sharedItems containsSemiMixedTypes="0" containsString="0" containsNumber="1" minValue="1317.9657553194506" maxValue="1730.7104945400768"/>
    </cacheField>
    <cacheField name="ExpectedWin%" numFmtId="165">
      <sharedItems containsSemiMixedTypes="0" containsString="0" containsNumber="1" minValue="0.11497167473201161" maxValue="0.88502832526798836"/>
    </cacheField>
    <cacheField name="PointsFor" numFmtId="0">
      <sharedItems containsSemiMixedTypes="0" containsString="0" containsNumber="1" containsInteger="1" minValue="45" maxValue="107"/>
    </cacheField>
    <cacheField name="PointsAgainst" numFmtId="0">
      <sharedItems containsSemiMixedTypes="0" containsString="0" containsNumber="1" containsInteger="1" minValue="45" maxValue="107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9" maxValue="39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714360201214346" maxValue="0.76356882946024485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70.3" maxValue="75.849999999999994"/>
    </cacheField>
    <cacheField name="Keff" numFmtId="165">
      <sharedItems containsSemiMixedTypes="0" containsString="0" containsNumber="1" minValue="71.2" maxValue="95.31"/>
    </cacheField>
    <cacheField name="RatingChange" numFmtId="165">
      <sharedItems containsSemiMixedTypes="0" containsString="0" containsNumber="1" minValue="-32.831717859357546" maxValue="32.763555123317353"/>
    </cacheField>
    <cacheField name="PostGmRate" numFmtId="165">
      <sharedItems containsSemiMixedTypes="0" containsString="0" containsNumber="1" minValue="1317.9657553194506" maxValue="1730.7104945400768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d v="1999-06-10T00:00:00"/>
    <n v="1999"/>
    <x v="0"/>
    <s v="R"/>
    <s v="RS"/>
    <x v="0"/>
    <s v="LAS"/>
    <s v="A"/>
    <n v="0"/>
    <n v="0"/>
    <n v="0"/>
    <n v="0"/>
    <n v="0"/>
    <n v="0"/>
    <n v="1432.5030025691412"/>
    <n v="1487.4737604845641"/>
    <n v="0.31002979946868042"/>
    <n v="78"/>
    <n v="100"/>
    <n v="0"/>
    <n v="-22"/>
    <n v="0"/>
    <n v="0.57568465322990214"/>
    <n v="1"/>
    <n v="75.849999999999994"/>
    <n v="75.849999999999994"/>
    <n v="-13.537662307813108"/>
    <n v="1418.965340261328"/>
    <n v="0"/>
    <n v="1"/>
    <n v="0"/>
    <n v="0"/>
    <n v="0"/>
    <n v="0"/>
    <n v="0"/>
    <n v="0"/>
    <n v="0"/>
    <n v="0"/>
  </r>
  <r>
    <d v="1999-06-10T00:00:00"/>
    <n v="1999"/>
    <x v="0"/>
    <s v="R"/>
    <s v="RS"/>
    <x v="1"/>
    <s v="SAC"/>
    <s v="H"/>
    <n v="0"/>
    <n v="0"/>
    <n v="0"/>
    <n v="0"/>
    <n v="0"/>
    <n v="0"/>
    <n v="1487.4737604845641"/>
    <n v="1432.5030025691412"/>
    <n v="0.68997020053131952"/>
    <n v="100"/>
    <n v="78"/>
    <n v="0"/>
    <n v="22"/>
    <n v="1"/>
    <n v="0.57568465322990214"/>
    <n v="1"/>
    <n v="75.849999999999994"/>
    <n v="75.849999999999994"/>
    <n v="13.537662307813111"/>
    <n v="1501.0114227923773"/>
    <n v="1"/>
    <n v="0"/>
    <n v="0"/>
    <n v="0"/>
    <n v="0"/>
    <n v="0"/>
    <n v="0"/>
    <n v="0"/>
    <n v="0"/>
    <n v="0"/>
  </r>
  <r>
    <d v="1999-06-10T00:00:00"/>
    <n v="1999"/>
    <x v="0"/>
    <s v="R"/>
    <s v="RS"/>
    <x v="2"/>
    <s v="NYL"/>
    <s v="A"/>
    <n v="0"/>
    <n v="0"/>
    <n v="0"/>
    <n v="0"/>
    <n v="0"/>
    <n v="0"/>
    <n v="1536.4153329077631"/>
    <n v="1535.3339902434957"/>
    <n v="0.38288560216959733"/>
    <n v="60"/>
    <n v="87"/>
    <n v="0"/>
    <n v="-27"/>
    <n v="0"/>
    <n v="0.66606646159819671"/>
    <n v="1"/>
    <n v="75.849999999999994"/>
    <n v="75.849999999999994"/>
    <n v="-19.343817537048789"/>
    <n v="1517.0715153707142"/>
    <n v="0"/>
    <n v="1"/>
    <n v="0"/>
    <n v="0"/>
    <n v="0"/>
    <n v="0"/>
    <n v="0"/>
    <n v="0"/>
    <n v="0"/>
    <n v="0"/>
  </r>
  <r>
    <d v="1999-06-10T00:00:00"/>
    <n v="1999"/>
    <x v="0"/>
    <s v="R"/>
    <s v="RS"/>
    <x v="3"/>
    <s v="CLE"/>
    <s v="H"/>
    <n v="0"/>
    <n v="0"/>
    <n v="0"/>
    <n v="0"/>
    <n v="0"/>
    <n v="0"/>
    <n v="1535.3339902434957"/>
    <n v="1536.4153329077631"/>
    <n v="0.61711439783040267"/>
    <n v="87"/>
    <n v="60"/>
    <n v="0"/>
    <n v="27"/>
    <n v="1"/>
    <n v="0.66606646159819671"/>
    <n v="1"/>
    <n v="75.849999999999994"/>
    <n v="75.849999999999994"/>
    <n v="19.343817537048789"/>
    <n v="1554.6778077805445"/>
    <n v="1"/>
    <n v="0"/>
    <n v="0"/>
    <n v="0"/>
    <n v="0"/>
    <n v="0"/>
    <n v="0"/>
    <n v="0"/>
    <n v="0"/>
    <n v="0"/>
  </r>
  <r>
    <d v="1999-06-10T00:00:00"/>
    <n v="1999"/>
    <x v="0"/>
    <s v="R"/>
    <s v="RS"/>
    <x v="4"/>
    <s v="ORL"/>
    <s v="A"/>
    <n v="0"/>
    <n v="0"/>
    <n v="0"/>
    <n v="0"/>
    <n v="0"/>
    <n v="0"/>
    <n v="1623.7143487978092"/>
    <n v="1500"/>
    <n v="0.55690591153276225"/>
    <n v="77"/>
    <n v="63"/>
    <n v="0"/>
    <n v="14"/>
    <n v="1"/>
    <n v="0.4420362480563374"/>
    <n v="1"/>
    <n v="75.849999999999994"/>
    <n v="75.849999999999994"/>
    <n v="14.856257731291747"/>
    <n v="1638.5706065291008"/>
    <n v="1"/>
    <n v="0"/>
    <n v="0"/>
    <n v="0"/>
    <n v="0"/>
    <n v="0"/>
    <n v="0"/>
    <n v="0"/>
    <n v="0"/>
    <n v="0"/>
  </r>
  <r>
    <d v="1999-06-10T00:00:00"/>
    <n v="1999"/>
    <x v="0"/>
    <s v="R"/>
    <s v="RS"/>
    <x v="5"/>
    <s v="HOU"/>
    <s v="H"/>
    <n v="0"/>
    <n v="0"/>
    <n v="0"/>
    <n v="0"/>
    <n v="0"/>
    <n v="0"/>
    <n v="1500"/>
    <n v="1623.7143487978092"/>
    <n v="0.44309408846723763"/>
    <n v="63"/>
    <n v="77"/>
    <n v="0"/>
    <n v="-14"/>
    <n v="0"/>
    <n v="0.4420362480563374"/>
    <n v="1"/>
    <n v="75.849999999999994"/>
    <n v="75.849999999999994"/>
    <n v="-14.856257731291741"/>
    <n v="1485.1437422687084"/>
    <n v="0"/>
    <n v="1"/>
    <n v="0"/>
    <n v="0"/>
    <n v="0"/>
    <n v="0"/>
    <n v="0"/>
    <n v="0"/>
    <n v="0"/>
    <n v="0"/>
  </r>
  <r>
    <d v="1999-06-10T00:00:00"/>
    <n v="1999"/>
    <x v="0"/>
    <s v="R"/>
    <s v="RS"/>
    <x v="6"/>
    <s v="WAS"/>
    <s v="A"/>
    <n v="0"/>
    <n v="0"/>
    <n v="0"/>
    <n v="0"/>
    <n v="0"/>
    <n v="0"/>
    <n v="1503.9671252548901"/>
    <n v="1380.9515455164824"/>
    <n v="0.55591310189632759"/>
    <n v="83"/>
    <n v="73"/>
    <n v="0"/>
    <n v="10"/>
    <n v="1"/>
    <n v="0.38378659100835105"/>
    <n v="1"/>
    <n v="75.849999999999994"/>
    <n v="75.849999999999994"/>
    <n v="12.927464162325583"/>
    <n v="1516.8945894172157"/>
    <n v="1"/>
    <n v="0"/>
    <n v="0"/>
    <n v="0"/>
    <n v="0"/>
    <n v="0"/>
    <n v="0"/>
    <n v="0"/>
    <n v="0"/>
    <n v="0"/>
  </r>
  <r>
    <d v="1999-06-10T00:00:00"/>
    <n v="1999"/>
    <x v="0"/>
    <s v="R"/>
    <s v="RS"/>
    <x v="7"/>
    <s v="CHA"/>
    <s v="H"/>
    <n v="0"/>
    <n v="0"/>
    <n v="0"/>
    <n v="0"/>
    <n v="0"/>
    <n v="0"/>
    <n v="1380.9515455164824"/>
    <n v="1503.9671252548901"/>
    <n v="0.44408689810367247"/>
    <n v="73"/>
    <n v="83"/>
    <n v="0"/>
    <n v="-10"/>
    <n v="0"/>
    <n v="0.38378659100835105"/>
    <n v="1"/>
    <n v="75.849999999999994"/>
    <n v="75.849999999999994"/>
    <n v="-12.927464162325585"/>
    <n v="1368.0240813541568"/>
    <n v="0"/>
    <n v="1"/>
    <n v="0"/>
    <n v="0"/>
    <n v="0"/>
    <n v="0"/>
    <n v="0"/>
    <n v="0"/>
    <n v="0"/>
    <n v="0"/>
  </r>
  <r>
    <d v="1999-06-12T00:00:00"/>
    <n v="1999"/>
    <x v="1"/>
    <s v="R"/>
    <s v="RS"/>
    <x v="3"/>
    <s v="CHA"/>
    <s v="A"/>
    <n v="1"/>
    <n v="1"/>
    <n v="0"/>
    <n v="0"/>
    <n v="0"/>
    <n v="0"/>
    <n v="1554.6778077805445"/>
    <n v="1516.8945894172157"/>
    <n v="0.433878253728821"/>
    <n v="68"/>
    <n v="57"/>
    <n v="0"/>
    <n v="11"/>
    <n v="1"/>
    <n v="0.42641001790850797"/>
    <n v="1"/>
    <n v="75.7"/>
    <n v="75.7"/>
    <n v="18.273978786217814"/>
    <n v="1572.9517865667624"/>
    <n v="1"/>
    <n v="0"/>
    <n v="0"/>
    <n v="0"/>
    <n v="0"/>
    <n v="0"/>
    <n v="0"/>
    <n v="0"/>
    <n v="0"/>
    <n v="0"/>
  </r>
  <r>
    <d v="1999-06-12T00:00:00"/>
    <n v="1999"/>
    <x v="1"/>
    <s v="R"/>
    <s v="RS"/>
    <x v="6"/>
    <s v="NYL"/>
    <s v="H"/>
    <n v="1"/>
    <n v="1"/>
    <n v="0"/>
    <n v="0"/>
    <n v="0"/>
    <n v="0"/>
    <n v="1516.8945894172157"/>
    <n v="1554.6778077805445"/>
    <n v="0.56612174627117906"/>
    <n v="57"/>
    <n v="68"/>
    <n v="0"/>
    <n v="-11"/>
    <n v="0"/>
    <n v="0.42641001790850797"/>
    <n v="1"/>
    <n v="75.7"/>
    <n v="75.7"/>
    <n v="-18.273978786217818"/>
    <n v="1498.6206106309978"/>
    <n v="0"/>
    <n v="1"/>
    <n v="0"/>
    <n v="0"/>
    <n v="0"/>
    <n v="0"/>
    <n v="0"/>
    <n v="0"/>
    <n v="0"/>
    <n v="0"/>
  </r>
  <r>
    <d v="1999-06-12T00:00:00"/>
    <n v="1999"/>
    <x v="1"/>
    <s v="R"/>
    <s v="RS"/>
    <x v="1"/>
    <s v="CLE"/>
    <s v="A"/>
    <n v="1"/>
    <n v="1"/>
    <n v="0"/>
    <n v="0"/>
    <n v="0"/>
    <n v="0"/>
    <n v="1501.0114227923773"/>
    <n v="1517.0715153707142"/>
    <n v="0.35985531022975237"/>
    <n v="75"/>
    <n v="59"/>
    <n v="0"/>
    <n v="16"/>
    <n v="1"/>
    <n v="0.51094780803034057"/>
    <n v="1"/>
    <n v="75.7"/>
    <n v="75.7"/>
    <n v="24.759995822770041"/>
    <n v="1525.7714186151472"/>
    <n v="1"/>
    <n v="0"/>
    <n v="0"/>
    <n v="0"/>
    <n v="0"/>
    <n v="0"/>
    <n v="0"/>
    <n v="0"/>
    <n v="0"/>
    <n v="0"/>
  </r>
  <r>
    <d v="1999-06-12T00:00:00"/>
    <n v="1999"/>
    <x v="1"/>
    <s v="R"/>
    <s v="RS"/>
    <x v="2"/>
    <s v="LAS"/>
    <s v="H"/>
    <n v="1"/>
    <n v="1"/>
    <n v="0"/>
    <n v="0"/>
    <n v="0"/>
    <n v="0"/>
    <n v="1517.0715153707142"/>
    <n v="1501.0114227923773"/>
    <n v="0.64014468977024763"/>
    <n v="59"/>
    <n v="75"/>
    <n v="0"/>
    <n v="-16"/>
    <n v="0"/>
    <n v="0.51094780803034057"/>
    <n v="1"/>
    <n v="75.7"/>
    <n v="75.7"/>
    <n v="-24.759995822770041"/>
    <n v="1492.3115195479443"/>
    <n v="0"/>
    <n v="1"/>
    <n v="0"/>
    <n v="0"/>
    <n v="0"/>
    <n v="0"/>
    <n v="0"/>
    <n v="0"/>
    <n v="0"/>
    <n v="0"/>
  </r>
  <r>
    <d v="1999-06-12T00:00:00"/>
    <n v="1999"/>
    <x v="1"/>
    <s v="R"/>
    <s v="RS"/>
    <x v="7"/>
    <s v="HOU"/>
    <s v="A"/>
    <n v="1"/>
    <n v="1"/>
    <n v="0"/>
    <n v="0"/>
    <n v="0"/>
    <n v="0"/>
    <n v="1368.0240813541568"/>
    <n v="1638.5706065291008"/>
    <n v="0.11497167473201161"/>
    <n v="63"/>
    <n v="88"/>
    <n v="0"/>
    <n v="-25"/>
    <n v="0"/>
    <n v="0.52335211494315048"/>
    <n v="1"/>
    <n v="75.7"/>
    <n v="75.7"/>
    <n v="-4.5549196531072571"/>
    <n v="1363.4691617010496"/>
    <n v="0"/>
    <n v="1"/>
    <n v="0"/>
    <n v="0"/>
    <n v="0"/>
    <n v="0"/>
    <n v="0"/>
    <n v="0"/>
    <n v="0"/>
    <n v="0"/>
  </r>
  <r>
    <d v="1999-06-12T00:00:00"/>
    <n v="1999"/>
    <x v="1"/>
    <s v="R"/>
    <s v="RS"/>
    <x v="4"/>
    <s v="WAS"/>
    <s v="H"/>
    <n v="1"/>
    <n v="1"/>
    <n v="0"/>
    <n v="0"/>
    <n v="0"/>
    <n v="0"/>
    <n v="1638.5706065291008"/>
    <n v="1368.0240813541568"/>
    <n v="0.88502832526798836"/>
    <n v="88"/>
    <n v="63"/>
    <n v="0"/>
    <n v="25"/>
    <n v="1"/>
    <n v="0.52335211494315048"/>
    <n v="1"/>
    <n v="75.7"/>
    <n v="75.7"/>
    <n v="4.554919653107258"/>
    <n v="1643.125526182208"/>
    <n v="1"/>
    <n v="0"/>
    <n v="0"/>
    <n v="0"/>
    <n v="0"/>
    <n v="0"/>
    <n v="0"/>
    <n v="0"/>
    <n v="0"/>
    <n v="0"/>
  </r>
  <r>
    <d v="1999-06-12T00:00:00"/>
    <n v="1999"/>
    <x v="0"/>
    <s v="R"/>
    <s v="RS"/>
    <x v="8"/>
    <s v="MIN"/>
    <s v="A"/>
    <n v="2"/>
    <n v="2"/>
    <n v="0"/>
    <n v="0"/>
    <n v="0"/>
    <n v="0"/>
    <n v="1521.926936197216"/>
    <n v="1500"/>
    <n v="0.41160816319832694"/>
    <n v="51"/>
    <n v="68"/>
    <n v="0"/>
    <n v="-17"/>
    <n v="0"/>
    <n v="0.52288763261641935"/>
    <n v="1"/>
    <n v="75.849999999999994"/>
    <n v="75.849999999999994"/>
    <n v="-16.324802446844757"/>
    <n v="1505.6021337503712"/>
    <n v="0"/>
    <n v="1"/>
    <n v="0"/>
    <n v="0"/>
    <n v="0"/>
    <n v="0"/>
    <n v="0"/>
    <n v="0"/>
    <n v="0"/>
    <n v="0"/>
  </r>
  <r>
    <d v="1999-06-12T00:00:00"/>
    <n v="1999"/>
    <x v="0"/>
    <s v="R"/>
    <s v="RS"/>
    <x v="9"/>
    <s v="DET"/>
    <s v="H"/>
    <n v="2"/>
    <n v="2"/>
    <n v="0"/>
    <n v="0"/>
    <n v="0"/>
    <n v="0"/>
    <n v="1500"/>
    <n v="1521.926936197216"/>
    <n v="0.58839183680167306"/>
    <n v="68"/>
    <n v="51"/>
    <n v="0"/>
    <n v="17"/>
    <n v="1"/>
    <n v="0.52288763261641935"/>
    <n v="1"/>
    <n v="75.849999999999994"/>
    <n v="75.849999999999994"/>
    <n v="16.324802446844757"/>
    <n v="1516.3248024468448"/>
    <n v="1"/>
    <n v="0"/>
    <n v="0"/>
    <n v="0"/>
    <n v="0"/>
    <n v="0"/>
    <n v="0"/>
    <n v="0"/>
    <n v="0"/>
    <n v="0"/>
  </r>
  <r>
    <d v="1999-06-12T00:00:00"/>
    <n v="1999"/>
    <x v="0"/>
    <s v="R"/>
    <s v="RS"/>
    <x v="10"/>
    <s v="SAC"/>
    <s v="A"/>
    <n v="2"/>
    <n v="1"/>
    <n v="1"/>
    <n v="-1"/>
    <n v="8"/>
    <n v="-8"/>
    <n v="1557.9384100397469"/>
    <n v="1418.965340261328"/>
    <n v="0.60074106405620442"/>
    <n v="85"/>
    <n v="96"/>
    <n v="0"/>
    <n v="-11"/>
    <n v="0"/>
    <n v="0.39418504839421575"/>
    <n v="1"/>
    <n v="75.849999999999994"/>
    <n v="75.849999999999994"/>
    <n v="-17.961518579150347"/>
    <n v="1539.9768914605966"/>
    <n v="0"/>
    <n v="1"/>
    <n v="0"/>
    <n v="0"/>
    <n v="0"/>
    <n v="0"/>
    <n v="0"/>
    <n v="0"/>
    <n v="0"/>
    <n v="0"/>
  </r>
  <r>
    <d v="1999-06-12T00:00:00"/>
    <n v="1999"/>
    <x v="1"/>
    <s v="R"/>
    <s v="RS"/>
    <x v="0"/>
    <s v="PHX"/>
    <s v="H"/>
    <n v="1"/>
    <n v="2"/>
    <n v="-1"/>
    <n v="1"/>
    <n v="-8"/>
    <n v="8"/>
    <n v="1418.965340261328"/>
    <n v="1557.9384100397469"/>
    <n v="0.39925893594379563"/>
    <n v="96"/>
    <n v="85"/>
    <n v="0"/>
    <n v="11"/>
    <n v="1"/>
    <n v="0.39418504839421575"/>
    <n v="1"/>
    <n v="75.7"/>
    <n v="75.7"/>
    <n v="17.92599810733924"/>
    <n v="1436.8913383686672"/>
    <n v="1"/>
    <n v="0"/>
    <n v="0"/>
    <n v="0"/>
    <n v="0"/>
    <n v="0"/>
    <n v="0"/>
    <n v="0"/>
    <n v="0"/>
    <n v="0"/>
  </r>
  <r>
    <d v="1999-06-12T00:00:00"/>
    <n v="1999"/>
    <x v="1"/>
    <s v="R"/>
    <s v="RS"/>
    <x v="5"/>
    <s v="UTA"/>
    <s v="A"/>
    <n v="1"/>
    <n v="2"/>
    <n v="-1"/>
    <n v="1"/>
    <n v="-8"/>
    <n v="8"/>
    <n v="1485.1437422687084"/>
    <n v="1419.6492882006619"/>
    <n v="0.45050515091503207"/>
    <n v="65"/>
    <n v="71"/>
    <n v="0"/>
    <n v="-6"/>
    <n v="0"/>
    <n v="0.33310056156636758"/>
    <n v="1"/>
    <n v="75.7"/>
    <n v="75.7"/>
    <n v="-11.359808370006213"/>
    <n v="1473.7839338987021"/>
    <n v="0"/>
    <n v="1"/>
    <n v="0"/>
    <n v="0"/>
    <n v="0"/>
    <n v="0"/>
    <n v="0"/>
    <n v="0"/>
    <n v="0"/>
    <n v="0"/>
  </r>
  <r>
    <d v="1999-06-12T00:00:00"/>
    <n v="1999"/>
    <x v="0"/>
    <s v="R"/>
    <s v="RS"/>
    <x v="11"/>
    <s v="ORL"/>
    <s v="H"/>
    <n v="2"/>
    <n v="1"/>
    <n v="1"/>
    <n v="-1"/>
    <n v="8"/>
    <n v="-8"/>
    <n v="1419.6492882006619"/>
    <n v="1485.1437422687084"/>
    <n v="0.54949484908496793"/>
    <n v="71"/>
    <n v="65"/>
    <n v="0"/>
    <n v="6"/>
    <n v="1"/>
    <n v="0.33310056156636758"/>
    <n v="1"/>
    <n v="75.849999999999994"/>
    <n v="75.849999999999994"/>
    <n v="11.382317897819965"/>
    <n v="1431.0316060984819"/>
    <n v="1"/>
    <n v="0"/>
    <n v="0"/>
    <n v="0"/>
    <n v="0"/>
    <n v="0"/>
    <n v="0"/>
    <n v="0"/>
    <n v="0"/>
    <n v="0"/>
  </r>
  <r>
    <d v="1999-06-14T00:00:00"/>
    <n v="1999"/>
    <x v="1"/>
    <s v="R"/>
    <s v="RS"/>
    <x v="8"/>
    <s v="CLE"/>
    <s v="A"/>
    <n v="1"/>
    <n v="1"/>
    <n v="0"/>
    <n v="0"/>
    <n v="0"/>
    <n v="0"/>
    <n v="1505.6021337503712"/>
    <n v="1492.3115195479443"/>
    <n v="0.39962305863142472"/>
    <n v="73"/>
    <n v="71"/>
    <n v="0"/>
    <n v="2"/>
    <n v="1"/>
    <n v="0.26490733646933118"/>
    <n v="1"/>
    <n v="75.7"/>
    <n v="75.7"/>
    <n v="12.039650210657371"/>
    <n v="1517.6417839610285"/>
    <n v="1"/>
    <n v="0"/>
    <n v="0"/>
    <n v="0"/>
    <n v="0"/>
    <n v="0"/>
    <n v="0"/>
    <n v="0"/>
    <n v="0"/>
    <n v="0"/>
  </r>
  <r>
    <d v="1999-06-14T00:00:00"/>
    <n v="1999"/>
    <x v="2"/>
    <s v="R"/>
    <s v="RS"/>
    <x v="2"/>
    <s v="DET"/>
    <s v="H"/>
    <n v="1"/>
    <n v="1"/>
    <n v="0"/>
    <n v="0"/>
    <n v="0"/>
    <n v="0"/>
    <n v="1492.3115195479443"/>
    <n v="1505.6021337503712"/>
    <n v="0.60037694136857522"/>
    <n v="71"/>
    <n v="73"/>
    <n v="0"/>
    <n v="-2"/>
    <n v="0"/>
    <n v="0.26490733646933118"/>
    <n v="1"/>
    <n v="75.55"/>
    <n v="75.55"/>
    <n v="-12.015793572195035"/>
    <n v="1480.2957259757493"/>
    <n v="0"/>
    <n v="1"/>
    <n v="0"/>
    <n v="0"/>
    <n v="0"/>
    <n v="0"/>
    <n v="0"/>
    <n v="0"/>
    <n v="0"/>
    <n v="0"/>
  </r>
  <r>
    <d v="1999-06-14T00:00:00"/>
    <n v="1999"/>
    <x v="1"/>
    <s v="R"/>
    <s v="RS"/>
    <x v="11"/>
    <s v="MIN"/>
    <s v="A"/>
    <n v="1"/>
    <n v="1"/>
    <n v="0"/>
    <n v="0"/>
    <n v="0"/>
    <n v="0"/>
    <n v="1431.0316060984819"/>
    <n v="1516.3248024468448"/>
    <n v="0.27397850336416879"/>
    <n v="54"/>
    <n v="78"/>
    <n v="0"/>
    <n v="-24"/>
    <n v="0"/>
    <n v="0.58672769721358575"/>
    <n v="1"/>
    <n v="75.7"/>
    <n v="75.7"/>
    <n v="-12.168833770821674"/>
    <n v="1418.8627723276602"/>
    <n v="0"/>
    <n v="1"/>
    <n v="0"/>
    <n v="0"/>
    <n v="0"/>
    <n v="0"/>
    <n v="0"/>
    <n v="0"/>
    <n v="0"/>
    <n v="0"/>
  </r>
  <r>
    <d v="1999-06-14T00:00:00"/>
    <n v="1999"/>
    <x v="1"/>
    <s v="R"/>
    <s v="RS"/>
    <x v="9"/>
    <s v="UTA"/>
    <s v="H"/>
    <n v="1"/>
    <n v="1"/>
    <n v="0"/>
    <n v="0"/>
    <n v="0"/>
    <n v="0"/>
    <n v="1516.3248024468448"/>
    <n v="1431.0316060984819"/>
    <n v="0.72602149663583115"/>
    <n v="78"/>
    <n v="54"/>
    <n v="0"/>
    <n v="24"/>
    <n v="1"/>
    <n v="0.58672769721358575"/>
    <n v="1"/>
    <n v="75.7"/>
    <n v="75.7"/>
    <n v="12.168833770821678"/>
    <n v="1528.4936362176666"/>
    <n v="1"/>
    <n v="0"/>
    <n v="0"/>
    <n v="0"/>
    <n v="0"/>
    <n v="0"/>
    <n v="0"/>
    <n v="0"/>
    <n v="0"/>
    <n v="0"/>
  </r>
  <r>
    <d v="1999-06-14T00:00:00"/>
    <n v="1999"/>
    <x v="2"/>
    <s v="R"/>
    <s v="RS"/>
    <x v="7"/>
    <s v="NYL"/>
    <s v="A"/>
    <n v="1"/>
    <n v="1"/>
    <n v="0"/>
    <n v="0"/>
    <n v="0"/>
    <n v="0"/>
    <n v="1363.4691617010496"/>
    <n v="1572.9517865667624"/>
    <n v="0.15585189514745643"/>
    <n v="83"/>
    <n v="61"/>
    <n v="0"/>
    <n v="22"/>
    <n v="1"/>
    <n v="0.512576311930798"/>
    <n v="1"/>
    <n v="75.55"/>
    <n v="75.55"/>
    <n v="32.689753850421482"/>
    <n v="1396.1589155514712"/>
    <n v="1"/>
    <n v="0"/>
    <n v="0"/>
    <n v="0"/>
    <n v="0"/>
    <n v="0"/>
    <n v="0"/>
    <n v="0"/>
    <n v="0"/>
    <n v="0"/>
  </r>
  <r>
    <d v="1999-06-14T00:00:00"/>
    <n v="1999"/>
    <x v="2"/>
    <s v="R"/>
    <s v="RS"/>
    <x v="3"/>
    <s v="WAS"/>
    <s v="H"/>
    <n v="1"/>
    <n v="1"/>
    <n v="0"/>
    <n v="0"/>
    <n v="0"/>
    <n v="0"/>
    <n v="1572.9517865667624"/>
    <n v="1363.4691617010496"/>
    <n v="0.84414810485254366"/>
    <n v="61"/>
    <n v="83"/>
    <n v="0"/>
    <n v="-22"/>
    <n v="0"/>
    <n v="0.512576311930798"/>
    <n v="1"/>
    <n v="75.55"/>
    <n v="75.55"/>
    <n v="-32.689753850421482"/>
    <n v="1540.2620327163409"/>
    <n v="0"/>
    <n v="1"/>
    <n v="0"/>
    <n v="0"/>
    <n v="0"/>
    <n v="0"/>
    <n v="0"/>
    <n v="0"/>
    <n v="0"/>
    <n v="0"/>
  </r>
  <r>
    <d v="1999-06-14T00:00:00"/>
    <n v="1999"/>
    <x v="2"/>
    <s v="R"/>
    <s v="RS"/>
    <x v="0"/>
    <s v="PHX"/>
    <s v="A"/>
    <n v="1"/>
    <n v="1"/>
    <n v="0"/>
    <n v="0"/>
    <n v="0"/>
    <n v="0"/>
    <n v="1436.8913383686672"/>
    <n v="1539.9768914605966"/>
    <n v="0.25408344244717579"/>
    <n v="74"/>
    <n v="64"/>
    <n v="0"/>
    <n v="10"/>
    <n v="1"/>
    <n v="0.38965641050501298"/>
    <n v="1"/>
    <n v="75.55"/>
    <n v="75.55"/>
    <n v="21.95869576901546"/>
    <n v="1458.8500341376828"/>
    <n v="1"/>
    <n v="0"/>
    <n v="0"/>
    <n v="0"/>
    <n v="0"/>
    <n v="0"/>
    <n v="0"/>
    <n v="0"/>
    <n v="0"/>
    <n v="0"/>
  </r>
  <r>
    <d v="1999-06-14T00:00:00"/>
    <n v="1999"/>
    <x v="1"/>
    <s v="R"/>
    <s v="RS"/>
    <x v="10"/>
    <s v="SAC"/>
    <s v="H"/>
    <n v="1"/>
    <n v="1"/>
    <n v="0"/>
    <n v="0"/>
    <n v="0"/>
    <n v="0"/>
    <n v="1539.9768914605966"/>
    <n v="1436.8913383686672"/>
    <n v="0.74591655755282427"/>
    <n v="64"/>
    <n v="74"/>
    <n v="0"/>
    <n v="-10"/>
    <n v="0"/>
    <n v="0.38965641050501298"/>
    <n v="1"/>
    <n v="75.7"/>
    <n v="75.7"/>
    <n v="-22.002293444268311"/>
    <n v="1517.9745980163282"/>
    <n v="0"/>
    <n v="1"/>
    <n v="0"/>
    <n v="0"/>
    <n v="0"/>
    <n v="0"/>
    <n v="0"/>
    <n v="0"/>
    <n v="0"/>
    <n v="0"/>
  </r>
  <r>
    <d v="1999-06-15T00:00:00"/>
    <n v="1999"/>
    <x v="2"/>
    <s v="R"/>
    <s v="RS"/>
    <x v="1"/>
    <s v="ORL"/>
    <s v="A"/>
    <n v="2"/>
    <n v="2"/>
    <n v="0"/>
    <n v="0"/>
    <n v="0"/>
    <n v="0"/>
    <n v="1525.7714186151472"/>
    <n v="1473.7839338987021"/>
    <n v="0.45406021826531046"/>
    <n v="86"/>
    <n v="88"/>
    <n v="0"/>
    <n v="-2"/>
    <n v="0"/>
    <n v="0.25671948713161286"/>
    <n v="1"/>
    <n v="75.55"/>
    <n v="75.55"/>
    <n v="-8.8065693354933678"/>
    <n v="1516.9648492796539"/>
    <n v="0"/>
    <n v="1"/>
    <n v="0"/>
    <n v="0"/>
    <n v="0"/>
    <n v="0"/>
    <n v="0"/>
    <n v="0"/>
    <n v="0"/>
    <n v="0"/>
  </r>
  <r>
    <d v="1999-06-15T00:00:00"/>
    <n v="1999"/>
    <x v="2"/>
    <s v="R"/>
    <s v="RS"/>
    <x v="5"/>
    <s v="LAS"/>
    <s v="H"/>
    <n v="2"/>
    <n v="2"/>
    <n v="0"/>
    <n v="0"/>
    <n v="0"/>
    <n v="0"/>
    <n v="1473.7839338987021"/>
    <n v="1525.7714186151472"/>
    <n v="0.5459397817346896"/>
    <n v="88"/>
    <n v="86"/>
    <n v="0"/>
    <n v="2"/>
    <n v="1"/>
    <n v="0.25671948713161286"/>
    <n v="1"/>
    <n v="75.55"/>
    <n v="75.55"/>
    <n v="8.8065693354933661"/>
    <n v="1482.5905032341955"/>
    <n v="1"/>
    <n v="0"/>
    <n v="0"/>
    <n v="0"/>
    <n v="0"/>
    <n v="0"/>
    <n v="0"/>
    <n v="0"/>
    <n v="0"/>
    <n v="0"/>
  </r>
  <r>
    <d v="1999-06-17T00:00:00"/>
    <n v="1999"/>
    <x v="3"/>
    <s v="R"/>
    <s v="RS"/>
    <x v="5"/>
    <s v="DET"/>
    <s v="A"/>
    <n v="1"/>
    <n v="2"/>
    <n v="-1"/>
    <n v="1"/>
    <n v="-8"/>
    <n v="8"/>
    <n v="1482.5905032341955"/>
    <n v="1517.6417839610285"/>
    <n v="0.31487670516881627"/>
    <n v="74"/>
    <n v="79"/>
    <n v="0"/>
    <n v="-5"/>
    <n v="0"/>
    <n v="0.32234059975162282"/>
    <n v="1"/>
    <n v="75.400000000000006"/>
    <n v="75.400000000000006"/>
    <n v="-7.6529149677916086"/>
    <n v="1474.937588266404"/>
    <n v="0"/>
    <n v="1"/>
    <n v="0"/>
    <n v="0"/>
    <n v="0"/>
    <n v="0"/>
    <n v="0"/>
    <n v="0"/>
    <n v="0"/>
    <n v="0"/>
  </r>
  <r>
    <d v="1999-06-17T00:00:00"/>
    <n v="1999"/>
    <x v="2"/>
    <s v="R"/>
    <s v="RS"/>
    <x v="8"/>
    <s v="ORL"/>
    <s v="H"/>
    <n v="2"/>
    <n v="1"/>
    <n v="1"/>
    <n v="-1"/>
    <n v="8"/>
    <n v="-8"/>
    <n v="1517.6417839610285"/>
    <n v="1482.5905032341955"/>
    <n v="0.68512329483118384"/>
    <n v="79"/>
    <n v="74"/>
    <n v="0"/>
    <n v="5"/>
    <n v="1"/>
    <n v="0.32234059975162282"/>
    <n v="1"/>
    <n v="75.55"/>
    <n v="75.55"/>
    <n v="7.668139599690396"/>
    <n v="1525.309923560719"/>
    <n v="1"/>
    <n v="0"/>
    <n v="0"/>
    <n v="0"/>
    <n v="0"/>
    <n v="0"/>
    <n v="0"/>
    <n v="0"/>
    <n v="0"/>
    <n v="0"/>
  </r>
  <r>
    <d v="1999-06-17T00:00:00"/>
    <n v="1999"/>
    <x v="2"/>
    <s v="R"/>
    <s v="RS"/>
    <x v="11"/>
    <s v="HOU"/>
    <s v="A"/>
    <n v="2"/>
    <n v="4"/>
    <n v="-2"/>
    <n v="2"/>
    <n v="-16"/>
    <n v="16"/>
    <n v="1418.8627723276602"/>
    <n v="1643.125526182208"/>
    <n v="0.12360673794629827"/>
    <n v="73"/>
    <n v="93"/>
    <n v="0"/>
    <n v="-20"/>
    <n v="0"/>
    <n v="0.48436626518779236"/>
    <n v="1"/>
    <n v="75.55"/>
    <n v="75.55"/>
    <n v="-4.5232490645382013"/>
    <n v="1414.3395232631219"/>
    <n v="0"/>
    <n v="1"/>
    <n v="0"/>
    <n v="0"/>
    <n v="0"/>
    <n v="0"/>
    <n v="0"/>
    <n v="0"/>
    <n v="0"/>
    <n v="0"/>
  </r>
  <r>
    <d v="1999-06-17T00:00:00"/>
    <n v="1999"/>
    <x v="2"/>
    <s v="R"/>
    <s v="RS"/>
    <x v="4"/>
    <s v="UTA"/>
    <s v="H"/>
    <n v="4"/>
    <n v="2"/>
    <n v="2"/>
    <n v="-2"/>
    <n v="16"/>
    <n v="-16"/>
    <n v="1643.125526182208"/>
    <n v="1418.8627723276602"/>
    <n v="0.87639326205370172"/>
    <n v="93"/>
    <n v="73"/>
    <n v="0"/>
    <n v="20"/>
    <n v="1"/>
    <n v="0.48436626518779236"/>
    <n v="1"/>
    <n v="75.55"/>
    <n v="75.55"/>
    <n v="4.5232490645382022"/>
    <n v="1647.6487752467463"/>
    <n v="1"/>
    <n v="0"/>
    <n v="0"/>
    <n v="0"/>
    <n v="0"/>
    <n v="0"/>
    <n v="0"/>
    <n v="0"/>
    <n v="0"/>
    <n v="0"/>
  </r>
  <r>
    <d v="1999-06-17T00:00:00"/>
    <n v="1999"/>
    <x v="3"/>
    <s v="R"/>
    <s v="RS"/>
    <x v="2"/>
    <s v="SAC"/>
    <s v="A"/>
    <n v="2"/>
    <n v="2"/>
    <n v="0"/>
    <n v="0"/>
    <n v="0"/>
    <n v="0"/>
    <n v="1480.2957259757493"/>
    <n v="1458.8500341376828"/>
    <n v="0.41093740597592499"/>
    <n v="50"/>
    <n v="70"/>
    <n v="0"/>
    <n v="-20"/>
    <n v="0"/>
    <n v="0.56479369925361056"/>
    <n v="1"/>
    <n v="75.400000000000006"/>
    <n v="75.400000000000006"/>
    <n v="-17.499952269285043"/>
    <n v="1462.7957737064642"/>
    <n v="0"/>
    <n v="1"/>
    <n v="0"/>
    <n v="0"/>
    <n v="0"/>
    <n v="0"/>
    <n v="0"/>
    <n v="0"/>
    <n v="0"/>
    <n v="0"/>
  </r>
  <r>
    <d v="1999-06-17T00:00:00"/>
    <n v="1999"/>
    <x v="3"/>
    <s v="R"/>
    <s v="RS"/>
    <x v="0"/>
    <s v="CLE"/>
    <s v="H"/>
    <n v="2"/>
    <n v="2"/>
    <n v="0"/>
    <n v="0"/>
    <n v="0"/>
    <n v="0"/>
    <n v="1458.8500341376828"/>
    <n v="1480.2957259757493"/>
    <n v="0.58906259402407501"/>
    <n v="70"/>
    <n v="50"/>
    <n v="0"/>
    <n v="20"/>
    <n v="1"/>
    <n v="0.56479369925361056"/>
    <n v="1"/>
    <n v="75.400000000000006"/>
    <n v="75.400000000000006"/>
    <n v="17.499952269285043"/>
    <n v="1476.3499864069679"/>
    <n v="1"/>
    <n v="0"/>
    <n v="0"/>
    <n v="0"/>
    <n v="0"/>
    <n v="0"/>
    <n v="0"/>
    <n v="0"/>
    <n v="0"/>
    <n v="0"/>
  </r>
  <r>
    <d v="1999-06-18T00:00:00"/>
    <n v="1999"/>
    <x v="3"/>
    <s v="R"/>
    <s v="RS"/>
    <x v="1"/>
    <s v="NYL"/>
    <s v="A"/>
    <n v="2"/>
    <n v="3"/>
    <n v="-1"/>
    <n v="1"/>
    <n v="-8"/>
    <n v="8"/>
    <n v="1516.9648492796539"/>
    <n v="1540.2620327163409"/>
    <n v="0.32965283674095236"/>
    <n v="72"/>
    <n v="84"/>
    <n v="0"/>
    <n v="-12"/>
    <n v="0"/>
    <n v="0.44744264852644272"/>
    <n v="1"/>
    <n v="75.400000000000006"/>
    <n v="75.400000000000006"/>
    <n v="-11.121555672768258"/>
    <n v="1505.8432936068857"/>
    <n v="0"/>
    <n v="1"/>
    <n v="0"/>
    <n v="0"/>
    <n v="0"/>
    <n v="0"/>
    <n v="0"/>
    <n v="0"/>
    <n v="0"/>
    <n v="0"/>
  </r>
  <r>
    <d v="1999-06-18T00:00:00"/>
    <n v="1999"/>
    <x v="3"/>
    <s v="R"/>
    <s v="RS"/>
    <x v="3"/>
    <s v="LAS"/>
    <s v="H"/>
    <n v="3"/>
    <n v="2"/>
    <n v="1"/>
    <n v="-1"/>
    <n v="8"/>
    <n v="-8"/>
    <n v="1540.2620327163409"/>
    <n v="1516.9648492796539"/>
    <n v="0.67034716325904764"/>
    <n v="84"/>
    <n v="72"/>
    <n v="0"/>
    <n v="12"/>
    <n v="1"/>
    <n v="0.44744264852644272"/>
    <n v="1"/>
    <n v="75.400000000000006"/>
    <n v="75.400000000000006"/>
    <n v="11.121555672768258"/>
    <n v="1551.383588389109"/>
    <n v="1"/>
    <n v="0"/>
    <n v="0"/>
    <n v="0"/>
    <n v="0"/>
    <n v="0"/>
    <n v="0"/>
    <n v="0"/>
    <n v="0"/>
    <n v="0"/>
  </r>
  <r>
    <d v="1999-06-18T00:00:00"/>
    <n v="1999"/>
    <x v="3"/>
    <s v="R"/>
    <s v="RS"/>
    <x v="8"/>
    <s v="WAS"/>
    <s v="A"/>
    <n v="0"/>
    <n v="3"/>
    <n v="-3"/>
    <n v="3"/>
    <n v="-16"/>
    <n v="16"/>
    <n v="1525.309923560719"/>
    <n v="1396.1589155514712"/>
    <n v="0.5189167884142335"/>
    <n v="76"/>
    <n v="69"/>
    <n v="0"/>
    <n v="7"/>
    <n v="1"/>
    <n v="0.33414458124647783"/>
    <n v="1"/>
    <n v="75.400000000000006"/>
    <n v="75.400000000000006"/>
    <n v="12.120651660314763"/>
    <n v="1537.4305752210337"/>
    <n v="1"/>
    <n v="0"/>
    <n v="0"/>
    <n v="0"/>
    <n v="0"/>
    <n v="0"/>
    <n v="0"/>
    <n v="0"/>
    <n v="0"/>
    <n v="0"/>
  </r>
  <r>
    <d v="1999-06-18T00:00:00"/>
    <n v="1999"/>
    <x v="3"/>
    <s v="R"/>
    <s v="RS"/>
    <x v="7"/>
    <s v="DET"/>
    <s v="H"/>
    <n v="3"/>
    <n v="0"/>
    <n v="3"/>
    <n v="-3"/>
    <n v="16"/>
    <n v="-16"/>
    <n v="1396.1589155514712"/>
    <n v="1525.309923560719"/>
    <n v="0.48108321158576661"/>
    <n v="69"/>
    <n v="76"/>
    <n v="0"/>
    <n v="-7"/>
    <n v="0"/>
    <n v="0.33414458124647783"/>
    <n v="1"/>
    <n v="75.400000000000006"/>
    <n v="75.400000000000006"/>
    <n v="-12.120651660314767"/>
    <n v="1384.0382638911565"/>
    <n v="0"/>
    <n v="1"/>
    <n v="0"/>
    <n v="0"/>
    <n v="0"/>
    <n v="0"/>
    <n v="0"/>
    <n v="0"/>
    <n v="0"/>
    <n v="0"/>
  </r>
  <r>
    <d v="1999-06-19T00:00:00"/>
    <n v="1999"/>
    <x v="4"/>
    <s v="R"/>
    <s v="RS"/>
    <x v="1"/>
    <s v="CHA"/>
    <s v="A"/>
    <n v="0"/>
    <n v="6"/>
    <n v="-6"/>
    <n v="6"/>
    <n v="-16"/>
    <n v="16"/>
    <n v="1505.8432936068857"/>
    <n v="1498.6206106309978"/>
    <n v="0.34837890133285643"/>
    <n v="73"/>
    <n v="69"/>
    <n v="0"/>
    <n v="4"/>
    <n v="1"/>
    <n v="0.30956946647441314"/>
    <n v="1"/>
    <n v="75.25"/>
    <n v="75.25"/>
    <n v="15.179580188303856"/>
    <n v="1521.0228737951895"/>
    <n v="1"/>
    <n v="0"/>
    <n v="0"/>
    <n v="0"/>
    <n v="0"/>
    <n v="0"/>
    <n v="0"/>
    <n v="0"/>
    <n v="0"/>
    <n v="0"/>
  </r>
  <r>
    <d v="1999-06-19T00:00:00"/>
    <n v="1999"/>
    <x v="2"/>
    <s v="R"/>
    <s v="RS"/>
    <x v="6"/>
    <s v="LAS"/>
    <s v="H"/>
    <n v="6"/>
    <n v="0"/>
    <n v="6"/>
    <n v="-6"/>
    <n v="16"/>
    <n v="-16"/>
    <n v="1498.6206106309978"/>
    <n v="1505.8432936068857"/>
    <n v="0.65162109866714346"/>
    <n v="69"/>
    <n v="73"/>
    <n v="0"/>
    <n v="-4"/>
    <n v="0"/>
    <n v="0.30956946647441314"/>
    <n v="1"/>
    <n v="75.55"/>
    <n v="75.55"/>
    <n v="-15.24009678706121"/>
    <n v="1483.3805138439366"/>
    <n v="0"/>
    <n v="1"/>
    <n v="0"/>
    <n v="0"/>
    <n v="0"/>
    <n v="0"/>
    <n v="0"/>
    <n v="0"/>
    <n v="0"/>
    <n v="0"/>
  </r>
  <r>
    <d v="1999-06-19T00:00:00"/>
    <n v="1999"/>
    <x v="3"/>
    <s v="R"/>
    <s v="RS"/>
    <x v="4"/>
    <s v="MIN"/>
    <s v="A"/>
    <n v="1"/>
    <n v="4"/>
    <n v="-3"/>
    <n v="3"/>
    <n v="-16"/>
    <n v="16"/>
    <n v="1647.6487752467463"/>
    <n v="1528.4936362176666"/>
    <n v="0.50454048524410466"/>
    <n v="69"/>
    <n v="55"/>
    <n v="0"/>
    <n v="14"/>
    <n v="1"/>
    <n v="0.44356399556733467"/>
    <n v="1"/>
    <n v="75.400000000000006"/>
    <n v="75.400000000000006"/>
    <n v="16.570507351326125"/>
    <n v="1664.2192825980724"/>
    <n v="1"/>
    <n v="0"/>
    <n v="0"/>
    <n v="0"/>
    <n v="0"/>
    <n v="0"/>
    <n v="0"/>
    <n v="0"/>
    <n v="0"/>
    <n v="0"/>
  </r>
  <r>
    <d v="1999-06-19T00:00:00"/>
    <n v="1999"/>
    <x v="2"/>
    <s v="R"/>
    <s v="RS"/>
    <x v="9"/>
    <s v="HOU"/>
    <s v="H"/>
    <n v="4"/>
    <n v="1"/>
    <n v="3"/>
    <n v="-3"/>
    <n v="16"/>
    <n v="-16"/>
    <n v="1528.4936362176666"/>
    <n v="1647.6487752467463"/>
    <n v="0.49545951475589528"/>
    <n v="55"/>
    <n v="69"/>
    <n v="0"/>
    <n v="-14"/>
    <n v="0"/>
    <n v="0.44356399556733467"/>
    <n v="1"/>
    <n v="75.55"/>
    <n v="75.55"/>
    <n v="-16.603472551627164"/>
    <n v="1511.8901636660394"/>
    <n v="0"/>
    <n v="1"/>
    <n v="0"/>
    <n v="0"/>
    <n v="0"/>
    <n v="0"/>
    <n v="0"/>
    <n v="0"/>
    <n v="0"/>
    <n v="0"/>
  </r>
  <r>
    <d v="1999-06-19T00:00:00"/>
    <n v="1999"/>
    <x v="4"/>
    <s v="R"/>
    <s v="RS"/>
    <x v="7"/>
    <s v="ORL"/>
    <s v="A"/>
    <n v="0"/>
    <n v="1"/>
    <n v="-1"/>
    <n v="1"/>
    <n v="-8"/>
    <n v="8"/>
    <n v="1384.0382638911565"/>
    <n v="1474.937588266404"/>
    <n v="0.24994514943314533"/>
    <n v="68"/>
    <n v="73"/>
    <n v="0"/>
    <n v="-5"/>
    <n v="0"/>
    <n v="0.30839521180024471"/>
    <n v="1"/>
    <n v="75.25"/>
    <n v="75.25"/>
    <n v="-5.8004120191653703"/>
    <n v="1378.2378518719911"/>
    <n v="0"/>
    <n v="1"/>
    <n v="0"/>
    <n v="0"/>
    <n v="0"/>
    <n v="0"/>
    <n v="0"/>
    <n v="0"/>
    <n v="0"/>
    <n v="0"/>
  </r>
  <r>
    <d v="1999-06-19T00:00:00"/>
    <n v="1999"/>
    <x v="4"/>
    <s v="R"/>
    <s v="RS"/>
    <x v="5"/>
    <s v="WAS"/>
    <s v="H"/>
    <n v="1"/>
    <n v="0"/>
    <n v="1"/>
    <n v="-1"/>
    <n v="8"/>
    <n v="-8"/>
    <n v="1474.937588266404"/>
    <n v="1384.0382638911565"/>
    <n v="0.75005485056685461"/>
    <n v="73"/>
    <n v="68"/>
    <n v="0"/>
    <n v="5"/>
    <n v="1"/>
    <n v="0.30839521180024471"/>
    <n v="1"/>
    <n v="75.25"/>
    <n v="75.25"/>
    <n v="5.8004120191653712"/>
    <n v="1480.7380002855693"/>
    <n v="1"/>
    <n v="0"/>
    <n v="0"/>
    <n v="0"/>
    <n v="0"/>
    <n v="0"/>
    <n v="0"/>
    <n v="0"/>
    <n v="0"/>
    <n v="0"/>
  </r>
  <r>
    <d v="1999-06-19T00:00:00"/>
    <n v="1999"/>
    <x v="4"/>
    <s v="R"/>
    <s v="RS"/>
    <x v="2"/>
    <s v="PHX"/>
    <s v="A"/>
    <n v="1"/>
    <n v="4"/>
    <n v="-3"/>
    <n v="3"/>
    <n v="-16"/>
    <n v="16"/>
    <n v="1462.7957737064642"/>
    <n v="1517.9745980163282"/>
    <n v="0.27182468415537975"/>
    <n v="67"/>
    <n v="76"/>
    <n v="0"/>
    <n v="-9"/>
    <n v="0"/>
    <n v="0.38812464259389506"/>
    <n v="1"/>
    <n v="75.25"/>
    <n v="75.25"/>
    <n v="-7.9390148435468895"/>
    <n v="1454.8567588629173"/>
    <n v="0"/>
    <n v="1"/>
    <n v="0"/>
    <n v="0"/>
    <n v="0"/>
    <n v="0"/>
    <n v="0"/>
    <n v="0"/>
    <n v="0"/>
    <n v="0"/>
  </r>
  <r>
    <d v="1999-06-19T00:00:00"/>
    <n v="1999"/>
    <x v="2"/>
    <s v="R"/>
    <s v="RS"/>
    <x v="10"/>
    <s v="CLE"/>
    <s v="H"/>
    <n v="4"/>
    <n v="1"/>
    <n v="3"/>
    <n v="-3"/>
    <n v="16"/>
    <n v="-16"/>
    <n v="1517.9745980163282"/>
    <n v="1462.7957737064642"/>
    <n v="0.72817531584462025"/>
    <n v="76"/>
    <n v="67"/>
    <n v="0"/>
    <n v="9"/>
    <n v="1"/>
    <n v="0.38812464259389506"/>
    <n v="1"/>
    <n v="75.55"/>
    <n v="75.55"/>
    <n v="7.9706654010626909"/>
    <n v="1525.9452634173908"/>
    <n v="1"/>
    <n v="0"/>
    <n v="0"/>
    <n v="0"/>
    <n v="0"/>
    <n v="0"/>
    <n v="0"/>
    <n v="0"/>
    <n v="0"/>
    <n v="0"/>
  </r>
  <r>
    <d v="1999-06-19T00:00:00"/>
    <n v="1999"/>
    <x v="4"/>
    <s v="R"/>
    <s v="RS"/>
    <x v="0"/>
    <s v="UTA"/>
    <s v="A"/>
    <n v="1"/>
    <n v="1"/>
    <n v="0"/>
    <n v="0"/>
    <n v="0"/>
    <n v="0"/>
    <n v="1476.3499864069679"/>
    <n v="1414.3395232631219"/>
    <n v="0.46839669966121505"/>
    <n v="75"/>
    <n v="85"/>
    <n v="0"/>
    <n v="-10"/>
    <n v="0"/>
    <n v="0.40233869213243273"/>
    <n v="1"/>
    <n v="75.25"/>
    <n v="75.25"/>
    <n v="-14.181172194448298"/>
    <n v="1462.1688142125197"/>
    <n v="0"/>
    <n v="1"/>
    <n v="0"/>
    <n v="0"/>
    <n v="0"/>
    <n v="0"/>
    <n v="0"/>
    <n v="0"/>
    <n v="0"/>
    <n v="0"/>
  </r>
  <r>
    <d v="1999-06-19T00:00:00"/>
    <n v="1999"/>
    <x v="3"/>
    <s v="R"/>
    <s v="RS"/>
    <x v="11"/>
    <s v="SAC"/>
    <s v="H"/>
    <n v="1"/>
    <n v="1"/>
    <n v="0"/>
    <n v="0"/>
    <n v="0"/>
    <n v="0"/>
    <n v="1414.3395232631219"/>
    <n v="1476.3499864069679"/>
    <n v="0.53160330033878489"/>
    <n v="85"/>
    <n v="75"/>
    <n v="0"/>
    <n v="10"/>
    <n v="1"/>
    <n v="0.40233869213243273"/>
    <n v="1"/>
    <n v="75.400000000000006"/>
    <n v="75.400000000000006"/>
    <n v="14.209440311779426"/>
    <n v="1428.5489635749013"/>
    <n v="1"/>
    <n v="0"/>
    <n v="0"/>
    <n v="0"/>
    <n v="0"/>
    <n v="0"/>
    <n v="0"/>
    <n v="0"/>
    <n v="0"/>
    <n v="0"/>
  </r>
  <r>
    <d v="1999-06-20T00:00:00"/>
    <n v="1999"/>
    <x v="4"/>
    <s v="R"/>
    <s v="RS"/>
    <x v="8"/>
    <s v="NYL"/>
    <s v="A"/>
    <n v="1"/>
    <n v="1"/>
    <n v="0"/>
    <n v="0"/>
    <n v="0"/>
    <n v="0"/>
    <n v="1537.4305752210337"/>
    <n v="1551.383588389109"/>
    <n v="0.36265413815439723"/>
    <n v="62"/>
    <n v="69"/>
    <n v="0"/>
    <n v="-7"/>
    <n v="0"/>
    <n v="0.36585321027008572"/>
    <n v="1"/>
    <n v="75.25"/>
    <n v="75.25"/>
    <n v="-9.9840330947791855"/>
    <n v="1527.4465421262546"/>
    <n v="0"/>
    <n v="1"/>
    <n v="0"/>
    <n v="0"/>
    <n v="0"/>
    <n v="0"/>
    <n v="0"/>
    <n v="0"/>
    <n v="0"/>
    <n v="0"/>
  </r>
  <r>
    <d v="1999-06-20T00:00:00"/>
    <n v="1999"/>
    <x v="4"/>
    <s v="R"/>
    <s v="RS"/>
    <x v="3"/>
    <s v="DET"/>
    <s v="H"/>
    <n v="1"/>
    <n v="1"/>
    <n v="0"/>
    <n v="0"/>
    <n v="0"/>
    <n v="0"/>
    <n v="1551.383588389109"/>
    <n v="1537.4305752210337"/>
    <n v="0.63734586184560271"/>
    <n v="69"/>
    <n v="62"/>
    <n v="0"/>
    <n v="7"/>
    <n v="1"/>
    <n v="0.36585321027008572"/>
    <n v="1"/>
    <n v="75.25"/>
    <n v="75.25"/>
    <n v="9.9840330947791855"/>
    <n v="1561.3676214838881"/>
    <n v="1"/>
    <n v="0"/>
    <n v="0"/>
    <n v="0"/>
    <n v="0"/>
    <n v="0"/>
    <n v="0"/>
    <n v="0"/>
    <n v="0"/>
    <n v="0"/>
  </r>
  <r>
    <d v="1999-06-21T00:00:00"/>
    <n v="1999"/>
    <x v="3"/>
    <s v="R"/>
    <s v="RS"/>
    <x v="10"/>
    <s v="ORL"/>
    <s v="A"/>
    <n v="1"/>
    <n v="1"/>
    <n v="0"/>
    <n v="0"/>
    <n v="0"/>
    <n v="0"/>
    <n v="1525.9452634173908"/>
    <n v="1480.7380002855693"/>
    <n v="0.4444036071016077"/>
    <n v="76"/>
    <n v="80"/>
    <n v="0"/>
    <n v="-4"/>
    <n v="0"/>
    <n v="0.30012616610082538"/>
    <n v="1"/>
    <n v="75.400000000000006"/>
    <n v="75.400000000000006"/>
    <n v="-10.056637170379043"/>
    <n v="1515.8886262470119"/>
    <n v="0"/>
    <n v="1"/>
    <n v="0"/>
    <n v="0"/>
    <n v="0"/>
    <n v="0"/>
    <n v="0"/>
    <n v="0"/>
    <n v="0"/>
    <n v="0"/>
  </r>
  <r>
    <d v="1999-06-21T00:00:00"/>
    <n v="1999"/>
    <x v="5"/>
    <s v="R"/>
    <s v="RS"/>
    <x v="5"/>
    <s v="PHX"/>
    <s v="H"/>
    <n v="1"/>
    <n v="1"/>
    <n v="0"/>
    <n v="0"/>
    <n v="0"/>
    <n v="0"/>
    <n v="1480.7380002855693"/>
    <n v="1525.9452634173908"/>
    <n v="0.55559639289839235"/>
    <n v="80"/>
    <n v="76"/>
    <n v="0"/>
    <n v="4"/>
    <n v="1"/>
    <n v="0.30012616610082538"/>
    <n v="1"/>
    <n v="75.099999999999994"/>
    <n v="75.099999999999994"/>
    <n v="10.016624025138805"/>
    <n v="1490.7546243107081"/>
    <n v="1"/>
    <n v="0"/>
    <n v="0"/>
    <n v="0"/>
    <n v="0"/>
    <n v="0"/>
    <n v="0"/>
    <n v="0"/>
    <n v="0"/>
    <n v="0"/>
  </r>
  <r>
    <d v="1999-06-22T00:00:00"/>
    <n v="1999"/>
    <x v="6"/>
    <s v="R"/>
    <s v="RS"/>
    <x v="5"/>
    <s v="CLE"/>
    <s v="A"/>
    <n v="0"/>
    <n v="2"/>
    <n v="-2"/>
    <n v="2"/>
    <n v="-16"/>
    <n v="16"/>
    <n v="1490.7546243107081"/>
    <n v="1454.8567588629173"/>
    <n v="0.38672373120738412"/>
    <n v="71"/>
    <n v="62"/>
    <n v="0"/>
    <n v="9"/>
    <n v="1"/>
    <n v="0.39417968603755243"/>
    <n v="1"/>
    <n v="74.95"/>
    <n v="74.95"/>
    <n v="18.118491479167272"/>
    <n v="1508.8731157898753"/>
    <n v="1"/>
    <n v="0"/>
    <n v="0"/>
    <n v="0"/>
    <n v="0"/>
    <n v="0"/>
    <n v="0"/>
    <n v="0"/>
    <n v="0"/>
    <n v="0"/>
  </r>
  <r>
    <d v="1999-06-22T00:00:00"/>
    <n v="1999"/>
    <x v="5"/>
    <s v="R"/>
    <s v="RS"/>
    <x v="2"/>
    <s v="ORL"/>
    <s v="H"/>
    <n v="2"/>
    <n v="0"/>
    <n v="2"/>
    <n v="-2"/>
    <n v="16"/>
    <n v="-16"/>
    <n v="1454.8567588629173"/>
    <n v="1490.7546243107081"/>
    <n v="0.61327626879261588"/>
    <n v="62"/>
    <n v="71"/>
    <n v="0"/>
    <n v="-9"/>
    <n v="0"/>
    <n v="0.39417968603755243"/>
    <n v="1"/>
    <n v="75.099999999999994"/>
    <n v="75.099999999999994"/>
    <n v="-18.154752636230313"/>
    <n v="1436.702006226687"/>
    <n v="0"/>
    <n v="1"/>
    <n v="0"/>
    <n v="0"/>
    <n v="0"/>
    <n v="0"/>
    <n v="0"/>
    <n v="0"/>
    <n v="0"/>
    <n v="0"/>
  </r>
  <r>
    <d v="1999-06-22T00:00:00"/>
    <n v="1999"/>
    <x v="3"/>
    <s v="R"/>
    <s v="RS"/>
    <x v="6"/>
    <s v="DET"/>
    <s v="A"/>
    <n v="2"/>
    <n v="1"/>
    <n v="1"/>
    <n v="-1"/>
    <n v="8"/>
    <n v="-8"/>
    <n v="1483.3805138439366"/>
    <n v="1527.4465421262546"/>
    <n v="0.34409370541367834"/>
    <n v="69"/>
    <n v="75"/>
    <n v="0"/>
    <n v="-6"/>
    <n v="0"/>
    <n v="0.33883805499552622"/>
    <n v="1"/>
    <n v="75.400000000000006"/>
    <n v="75.400000000000006"/>
    <n v="-8.7910399576445055"/>
    <n v="1474.5894738862921"/>
    <n v="0"/>
    <n v="1"/>
    <n v="0"/>
    <n v="0"/>
    <n v="0"/>
    <n v="0"/>
    <n v="0"/>
    <n v="0"/>
    <n v="0"/>
    <n v="0"/>
  </r>
  <r>
    <d v="1999-06-22T00:00:00"/>
    <n v="1999"/>
    <x v="5"/>
    <s v="R"/>
    <s v="RS"/>
    <x v="8"/>
    <s v="CHA"/>
    <s v="H"/>
    <n v="1"/>
    <n v="2"/>
    <n v="-1"/>
    <n v="1"/>
    <n v="-8"/>
    <n v="8"/>
    <n v="1527.4465421262546"/>
    <n v="1483.3805138439366"/>
    <n v="0.65590629458632166"/>
    <n v="75"/>
    <n v="69"/>
    <n v="0"/>
    <n v="6"/>
    <n v="1"/>
    <n v="0.33883805499552622"/>
    <n v="1"/>
    <n v="75.099999999999994"/>
    <n v="75.099999999999994"/>
    <n v="8.756062345080931"/>
    <n v="1536.2026044713355"/>
    <n v="1"/>
    <n v="0"/>
    <n v="0"/>
    <n v="0"/>
    <n v="0"/>
    <n v="0"/>
    <n v="0"/>
    <n v="0"/>
    <n v="0"/>
    <n v="0"/>
  </r>
  <r>
    <d v="1999-06-22T00:00:00"/>
    <n v="1999"/>
    <x v="5"/>
    <s v="R"/>
    <s v="RS"/>
    <x v="1"/>
    <s v="HOU"/>
    <s v="A"/>
    <n v="2"/>
    <n v="2"/>
    <n v="0"/>
    <n v="0"/>
    <n v="0"/>
    <n v="0"/>
    <n v="1521.0228737951895"/>
    <n v="1664.2192825980724"/>
    <n v="0.21284723132703862"/>
    <n v="76"/>
    <n v="84"/>
    <n v="0"/>
    <n v="-8"/>
    <n v="0"/>
    <n v="0.34691772472717358"/>
    <n v="1"/>
    <n v="75.099999999999994"/>
    <n v="75.099999999999994"/>
    <n v="-5.545419838204741"/>
    <n v="1515.4774539569848"/>
    <n v="0"/>
    <n v="1"/>
    <n v="0"/>
    <n v="0"/>
    <n v="0"/>
    <n v="0"/>
    <n v="0"/>
    <n v="0"/>
    <n v="0"/>
    <n v="0"/>
  </r>
  <r>
    <d v="1999-06-22T00:00:00"/>
    <n v="1999"/>
    <x v="4"/>
    <s v="R"/>
    <s v="RS"/>
    <x v="4"/>
    <s v="LAS"/>
    <s v="H"/>
    <n v="2"/>
    <n v="2"/>
    <n v="0"/>
    <n v="0"/>
    <n v="0"/>
    <n v="0"/>
    <n v="1664.2192825980724"/>
    <n v="1521.0228737951895"/>
    <n v="0.78715276867296136"/>
    <n v="84"/>
    <n v="76"/>
    <n v="0"/>
    <n v="8"/>
    <n v="1"/>
    <n v="0.34691772472717358"/>
    <n v="1"/>
    <n v="75.25"/>
    <n v="75.25"/>
    <n v="5.5564959097857107"/>
    <n v="1669.7757785078581"/>
    <n v="1"/>
    <n v="0"/>
    <n v="0"/>
    <n v="0"/>
    <n v="0"/>
    <n v="0"/>
    <n v="0"/>
    <n v="0"/>
    <n v="0"/>
    <n v="0"/>
  </r>
  <r>
    <d v="1999-06-22T00:00:00"/>
    <n v="1999"/>
    <x v="3"/>
    <s v="R"/>
    <s v="RS"/>
    <x v="9"/>
    <s v="SAC"/>
    <s v="A"/>
    <n v="2"/>
    <n v="2"/>
    <n v="0"/>
    <n v="0"/>
    <n v="0"/>
    <n v="0"/>
    <n v="1511.8901636660394"/>
    <n v="1462.1688142125197"/>
    <n v="0.45082850083813403"/>
    <n v="62"/>
    <n v="79"/>
    <n v="0"/>
    <n v="-17"/>
    <n v="0"/>
    <n v="0.51125835625500793"/>
    <n v="1"/>
    <n v="75.400000000000006"/>
    <n v="75.400000000000006"/>
    <n v="-17.378933807172608"/>
    <n v="1494.5112298588667"/>
    <n v="0"/>
    <n v="1"/>
    <n v="0"/>
    <n v="0"/>
    <n v="0"/>
    <n v="0"/>
    <n v="0"/>
    <n v="0"/>
    <n v="0"/>
    <n v="0"/>
  </r>
  <r>
    <d v="1999-06-22T00:00:00"/>
    <n v="1999"/>
    <x v="5"/>
    <s v="R"/>
    <s v="RS"/>
    <x v="0"/>
    <s v="MIN"/>
    <s v="H"/>
    <n v="2"/>
    <n v="2"/>
    <n v="0"/>
    <n v="0"/>
    <n v="0"/>
    <n v="0"/>
    <n v="1462.1688142125197"/>
    <n v="1511.8901636660394"/>
    <n v="0.54917149916186603"/>
    <n v="79"/>
    <n v="62"/>
    <n v="0"/>
    <n v="17"/>
    <n v="1"/>
    <n v="0.51125835625500793"/>
    <n v="1"/>
    <n v="75.099999999999994"/>
    <n v="75.099999999999994"/>
    <n v="17.309786855685175"/>
    <n v="1479.4786010682049"/>
    <n v="1"/>
    <n v="0"/>
    <n v="0"/>
    <n v="0"/>
    <n v="0"/>
    <n v="0"/>
    <n v="0"/>
    <n v="0"/>
    <n v="0"/>
    <n v="0"/>
  </r>
  <r>
    <d v="1999-06-22T00:00:00"/>
    <n v="1999"/>
    <x v="4"/>
    <s v="R"/>
    <s v="RS"/>
    <x v="10"/>
    <s v="WAS"/>
    <s v="A"/>
    <n v="0"/>
    <n v="2"/>
    <n v="-2"/>
    <n v="2"/>
    <n v="-16"/>
    <n v="16"/>
    <n v="1515.8886262470119"/>
    <n v="1378.2378518719911"/>
    <n v="0.53111769983852397"/>
    <n v="79"/>
    <n v="76"/>
    <n v="0"/>
    <n v="3"/>
    <n v="1"/>
    <n v="0.26032222459643523"/>
    <n v="1"/>
    <n v="75.25"/>
    <n v="75.25"/>
    <n v="9.1850513797576507"/>
    <n v="1525.0736776267695"/>
    <n v="1"/>
    <n v="0"/>
    <n v="0"/>
    <n v="0"/>
    <n v="0"/>
    <n v="0"/>
    <n v="0"/>
    <n v="0"/>
    <n v="0"/>
    <n v="0"/>
  </r>
  <r>
    <d v="1999-06-22T00:00:00"/>
    <n v="1999"/>
    <x v="5"/>
    <s v="R"/>
    <s v="RS"/>
    <x v="7"/>
    <s v="PHX"/>
    <s v="H"/>
    <n v="2"/>
    <n v="0"/>
    <n v="2"/>
    <n v="-2"/>
    <n v="16"/>
    <n v="-16"/>
    <n v="1378.2378518719911"/>
    <n v="1515.8886262470119"/>
    <n v="0.46888230016147608"/>
    <n v="76"/>
    <n v="79"/>
    <n v="0"/>
    <n v="-3"/>
    <n v="0"/>
    <n v="0.26032222459643523"/>
    <n v="1"/>
    <n v="75.099999999999994"/>
    <n v="75.099999999999994"/>
    <n v="-9.1667423072398631"/>
    <n v="1369.0711095647512"/>
    <n v="0"/>
    <n v="1"/>
    <n v="0"/>
    <n v="0"/>
    <n v="0"/>
    <n v="0"/>
    <n v="0"/>
    <n v="0"/>
    <n v="0"/>
    <n v="0"/>
  </r>
  <r>
    <d v="1999-06-24T00:00:00"/>
    <n v="1999"/>
    <x v="5"/>
    <s v="R"/>
    <s v="RS"/>
    <x v="10"/>
    <s v="CHA"/>
    <s v="A"/>
    <n v="1"/>
    <n v="1"/>
    <n v="0"/>
    <n v="0"/>
    <n v="0"/>
    <n v="0"/>
    <n v="1525.0736776267695"/>
    <n v="1474.5894738862921"/>
    <n v="0.45191595192412143"/>
    <n v="72"/>
    <n v="88"/>
    <n v="0"/>
    <n v="-16"/>
    <n v="0"/>
    <n v="0.49688211724506226"/>
    <n v="1"/>
    <n v="75.099999999999994"/>
    <n v="75.099999999999994"/>
    <n v="-16.86362652116653"/>
    <n v="1508.210051105603"/>
    <n v="0"/>
    <n v="1"/>
    <n v="0"/>
    <n v="0"/>
    <n v="0"/>
    <n v="0"/>
    <n v="0"/>
    <n v="0"/>
    <n v="0"/>
    <n v="0"/>
  </r>
  <r>
    <d v="1999-06-24T00:00:00"/>
    <n v="1999"/>
    <x v="4"/>
    <s v="R"/>
    <s v="RS"/>
    <x v="6"/>
    <s v="PHX"/>
    <s v="H"/>
    <n v="1"/>
    <n v="1"/>
    <n v="0"/>
    <n v="0"/>
    <n v="0"/>
    <n v="0"/>
    <n v="1474.5894738862921"/>
    <n v="1525.0736776267695"/>
    <n v="0.54808404807587863"/>
    <n v="88"/>
    <n v="72"/>
    <n v="0"/>
    <n v="16"/>
    <n v="1"/>
    <n v="0.49688211724506226"/>
    <n v="1"/>
    <n v="75.25"/>
    <n v="75.25"/>
    <n v="16.897308864417859"/>
    <n v="1491.4867827507101"/>
    <n v="1"/>
    <n v="0"/>
    <n v="0"/>
    <n v="0"/>
    <n v="0"/>
    <n v="0"/>
    <n v="0"/>
    <n v="0"/>
    <n v="0"/>
    <n v="0"/>
  </r>
  <r>
    <d v="1999-06-24T00:00:00"/>
    <n v="1999"/>
    <x v="5"/>
    <s v="R"/>
    <s v="RS"/>
    <x v="4"/>
    <s v="DET"/>
    <s v="A"/>
    <n v="1"/>
    <n v="1"/>
    <n v="0"/>
    <n v="0"/>
    <n v="0"/>
    <n v="0"/>
    <n v="1669.7757785078581"/>
    <n v="1536.2026044713355"/>
    <n v="0.5708613079866105"/>
    <n v="77"/>
    <n v="65"/>
    <n v="0"/>
    <n v="12"/>
    <n v="1"/>
    <n v="0.41044266812528013"/>
    <n v="1"/>
    <n v="75.099999999999994"/>
    <n v="75.099999999999994"/>
    <n v="13.227875913907209"/>
    <n v="1683.0036544217653"/>
    <n v="1"/>
    <n v="0"/>
    <n v="0"/>
    <n v="0"/>
    <n v="0"/>
    <n v="0"/>
    <n v="0"/>
    <n v="0"/>
    <n v="0"/>
    <n v="0"/>
  </r>
  <r>
    <d v="1999-06-24T00:00:00"/>
    <n v="1999"/>
    <x v="6"/>
    <s v="R"/>
    <s v="RS"/>
    <x v="8"/>
    <s v="HOU"/>
    <s v="H"/>
    <n v="1"/>
    <n v="1"/>
    <n v="0"/>
    <n v="0"/>
    <n v="0"/>
    <n v="0"/>
    <n v="1536.2026044713355"/>
    <n v="1669.7757785078581"/>
    <n v="0.42913869201338944"/>
    <n v="65"/>
    <n v="77"/>
    <n v="0"/>
    <n v="-12"/>
    <n v="0"/>
    <n v="0.41044266812528013"/>
    <n v="1"/>
    <n v="74.95"/>
    <n v="74.95"/>
    <n v="-13.201455389445343"/>
    <n v="1523.0011490818902"/>
    <n v="0"/>
    <n v="1"/>
    <n v="0"/>
    <n v="0"/>
    <n v="0"/>
    <n v="0"/>
    <n v="0"/>
    <n v="0"/>
    <n v="0"/>
    <n v="0"/>
  </r>
  <r>
    <d v="1999-06-24T00:00:00"/>
    <n v="1999"/>
    <x v="4"/>
    <s v="R"/>
    <s v="RS"/>
    <x v="9"/>
    <s v="LAS"/>
    <s v="A"/>
    <n v="1"/>
    <n v="1"/>
    <n v="0"/>
    <n v="0"/>
    <n v="0"/>
    <n v="0"/>
    <n v="1494.5112298588667"/>
    <n v="1515.4774539569848"/>
    <n v="0.35337558384784234"/>
    <n v="86"/>
    <n v="73"/>
    <n v="0"/>
    <n v="13"/>
    <n v="1"/>
    <n v="0.46393790065352403"/>
    <n v="1"/>
    <n v="75.25"/>
    <n v="75.25"/>
    <n v="22.57451645410594"/>
    <n v="1517.0857463129726"/>
    <n v="1"/>
    <n v="0"/>
    <n v="0"/>
    <n v="0"/>
    <n v="0"/>
    <n v="0"/>
    <n v="0"/>
    <n v="0"/>
    <n v="0"/>
    <n v="0"/>
  </r>
  <r>
    <d v="1999-06-24T00:00:00"/>
    <n v="1999"/>
    <x v="6"/>
    <s v="R"/>
    <s v="RS"/>
    <x v="1"/>
    <s v="MIN"/>
    <s v="H"/>
    <n v="1"/>
    <n v="1"/>
    <n v="0"/>
    <n v="0"/>
    <n v="0"/>
    <n v="0"/>
    <n v="1515.4774539569848"/>
    <n v="1494.5112298588667"/>
    <n v="0.6466244161521576"/>
    <n v="73"/>
    <n v="86"/>
    <n v="0"/>
    <n v="-13"/>
    <n v="0"/>
    <n v="0.46393790065352403"/>
    <n v="1"/>
    <n v="74.95"/>
    <n v="74.95"/>
    <n v="-22.484518381863651"/>
    <n v="1492.9929355751212"/>
    <n v="0"/>
    <n v="1"/>
    <n v="0"/>
    <n v="0"/>
    <n v="0"/>
    <n v="0"/>
    <n v="0"/>
    <n v="0"/>
    <n v="0"/>
    <n v="0"/>
  </r>
  <r>
    <d v="1999-06-24T00:00:00"/>
    <n v="1999"/>
    <x v="4"/>
    <s v="R"/>
    <s v="RS"/>
    <x v="11"/>
    <s v="SAC"/>
    <s v="A"/>
    <n v="4"/>
    <n v="1"/>
    <n v="3"/>
    <n v="-3"/>
    <n v="16"/>
    <n v="-16"/>
    <n v="1428.5489635749013"/>
    <n v="1479.4786010682049"/>
    <n v="0.35605900853953865"/>
    <n v="69"/>
    <n v="107"/>
    <n v="0"/>
    <n v="-38"/>
    <n v="0"/>
    <n v="0.76356882946024485"/>
    <n v="1"/>
    <n v="75.25"/>
    <n v="75.25"/>
    <n v="-20.458635917790641"/>
    <n v="1408.0903276571107"/>
    <n v="0"/>
    <n v="1"/>
    <n v="0"/>
    <n v="0"/>
    <n v="0"/>
    <n v="0"/>
    <n v="0"/>
    <n v="0"/>
    <n v="0"/>
    <n v="0"/>
  </r>
  <r>
    <d v="1999-06-24T00:00:00"/>
    <n v="1999"/>
    <x v="6"/>
    <s v="R"/>
    <s v="RS"/>
    <x v="0"/>
    <s v="UTA"/>
    <s v="H"/>
    <n v="1"/>
    <n v="4"/>
    <n v="-3"/>
    <n v="3"/>
    <n v="-16"/>
    <n v="16"/>
    <n v="1479.4786010682049"/>
    <n v="1428.5489635749013"/>
    <n v="0.64394099146046135"/>
    <n v="107"/>
    <n v="69"/>
    <n v="0"/>
    <n v="38"/>
    <n v="1"/>
    <n v="0.76356882946024485"/>
    <n v="1"/>
    <n v="74.95"/>
    <n v="74.95"/>
    <n v="20.377073249679849"/>
    <n v="1499.8556743178847"/>
    <n v="1"/>
    <n v="0"/>
    <n v="0"/>
    <n v="0"/>
    <n v="0"/>
    <n v="0"/>
    <n v="0"/>
    <n v="0"/>
    <n v="0"/>
    <n v="0"/>
  </r>
  <r>
    <d v="1999-06-25T00:00:00"/>
    <n v="1999"/>
    <x v="5"/>
    <s v="R"/>
    <s v="RS"/>
    <x v="6"/>
    <s v="CLE"/>
    <s v="A"/>
    <n v="0"/>
    <n v="2"/>
    <n v="-2"/>
    <n v="2"/>
    <n v="-16"/>
    <n v="16"/>
    <n v="1491.4867827507101"/>
    <n v="1436.702006226687"/>
    <n v="0.41280463232747194"/>
    <n v="59"/>
    <n v="57"/>
    <n v="0"/>
    <n v="2"/>
    <n v="1"/>
    <n v="0.25614718235741235"/>
    <n v="1"/>
    <n v="75.099999999999994"/>
    <n v="75.099999999999994"/>
    <n v="11.295673763090479"/>
    <n v="1502.7824565138005"/>
    <n v="1"/>
    <n v="0"/>
    <n v="0"/>
    <n v="0"/>
    <n v="0"/>
    <n v="0"/>
    <n v="0"/>
    <n v="0"/>
    <n v="0"/>
    <n v="0"/>
  </r>
  <r>
    <d v="1999-06-25T00:00:00"/>
    <n v="1999"/>
    <x v="6"/>
    <s v="R"/>
    <s v="RS"/>
    <x v="2"/>
    <s v="CHA"/>
    <s v="H"/>
    <n v="2"/>
    <n v="0"/>
    <n v="2"/>
    <n v="-2"/>
    <n v="16"/>
    <n v="-16"/>
    <n v="1436.702006226687"/>
    <n v="1491.4867827507101"/>
    <n v="0.58719536767252811"/>
    <n v="57"/>
    <n v="59"/>
    <n v="0"/>
    <n v="-2"/>
    <n v="0"/>
    <n v="0.25614718235741235"/>
    <n v="1"/>
    <n v="74.95"/>
    <n v="74.95"/>
    <n v="-11.273112497252081"/>
    <n v="1425.428893729435"/>
    <n v="0"/>
    <n v="1"/>
    <n v="0"/>
    <n v="0"/>
    <n v="0"/>
    <n v="0"/>
    <n v="0"/>
    <n v="0"/>
    <n v="0"/>
    <n v="0"/>
  </r>
  <r>
    <d v="1999-06-25T00:00:00"/>
    <n v="1999"/>
    <x v="6"/>
    <s v="R"/>
    <s v="RS"/>
    <x v="4"/>
    <s v="WAS"/>
    <s v="A"/>
    <n v="0"/>
    <n v="2"/>
    <n v="-2"/>
    <n v="2"/>
    <n v="-16"/>
    <n v="16"/>
    <n v="1683.0036544217653"/>
    <n v="1369.0711095647512"/>
    <n v="0.75756786673121956"/>
    <n v="72"/>
    <n v="69"/>
    <n v="0"/>
    <n v="3"/>
    <n v="1"/>
    <n v="0.23001039676529175"/>
    <n v="1"/>
    <n v="74.95"/>
    <n v="74.95"/>
    <n v="4.1793552415775297"/>
    <n v="1687.1830096633428"/>
    <n v="1"/>
    <n v="0"/>
    <n v="0"/>
    <n v="0"/>
    <n v="0"/>
    <n v="0"/>
    <n v="0"/>
    <n v="0"/>
    <n v="0"/>
    <n v="0"/>
  </r>
  <r>
    <d v="1999-06-25T00:00:00"/>
    <n v="1999"/>
    <x v="6"/>
    <s v="R"/>
    <s v="RS"/>
    <x v="7"/>
    <s v="HOU"/>
    <s v="H"/>
    <n v="2"/>
    <n v="0"/>
    <n v="2"/>
    <n v="-2"/>
    <n v="16"/>
    <n v="-16"/>
    <n v="1369.0711095647512"/>
    <n v="1683.0036544217653"/>
    <n v="0.24243213326878046"/>
    <n v="69"/>
    <n v="72"/>
    <n v="0"/>
    <n v="-3"/>
    <n v="0"/>
    <n v="0.23001039676529175"/>
    <n v="1"/>
    <n v="74.95"/>
    <n v="74.95"/>
    <n v="-4.1793552415775306"/>
    <n v="1364.8917543231737"/>
    <n v="0"/>
    <n v="1"/>
    <n v="0"/>
    <n v="0"/>
    <n v="0"/>
    <n v="0"/>
    <n v="0"/>
    <n v="0"/>
    <n v="0"/>
    <n v="0"/>
  </r>
  <r>
    <d v="1999-06-26T00:00:00"/>
    <n v="1999"/>
    <x v="7"/>
    <s v="R"/>
    <s v="RS"/>
    <x v="7"/>
    <s v="CLE"/>
    <s v="A"/>
    <n v="0"/>
    <n v="0"/>
    <n v="0"/>
    <n v="0"/>
    <n v="0"/>
    <n v="0"/>
    <n v="1364.8917543231737"/>
    <n v="1425.428893729435"/>
    <n v="0.303217560040492"/>
    <n v="65"/>
    <n v="76"/>
    <n v="0"/>
    <n v="-11"/>
    <n v="0"/>
    <n v="0.41871290246772397"/>
    <n v="1"/>
    <n v="74.8"/>
    <n v="74.8"/>
    <n v="-9.4966906273514358"/>
    <n v="1355.3950636958223"/>
    <n v="0"/>
    <n v="1"/>
    <n v="0"/>
    <n v="0"/>
    <n v="0"/>
    <n v="0"/>
    <n v="0"/>
    <n v="0"/>
    <n v="0"/>
    <n v="0"/>
  </r>
  <r>
    <d v="1999-06-26T00:00:00"/>
    <n v="1999"/>
    <x v="7"/>
    <s v="R"/>
    <s v="RS"/>
    <x v="2"/>
    <s v="WAS"/>
    <s v="H"/>
    <n v="0"/>
    <n v="0"/>
    <n v="0"/>
    <n v="0"/>
    <n v="0"/>
    <n v="0"/>
    <n v="1425.428893729435"/>
    <n v="1364.8917543231737"/>
    <n v="0.69678243995950806"/>
    <n v="76"/>
    <n v="65"/>
    <n v="0"/>
    <n v="11"/>
    <n v="1"/>
    <n v="0.41871290246772397"/>
    <n v="1"/>
    <n v="74.8"/>
    <n v="74.8"/>
    <n v="9.496690627351434"/>
    <n v="1434.9255843567864"/>
    <n v="1"/>
    <n v="0"/>
    <n v="0"/>
    <n v="0"/>
    <n v="0"/>
    <n v="0"/>
    <n v="0"/>
    <n v="0"/>
    <n v="0"/>
    <n v="0"/>
  </r>
  <r>
    <d v="1999-06-26T00:00:00"/>
    <n v="1999"/>
    <x v="6"/>
    <s v="R"/>
    <s v="RS"/>
    <x v="10"/>
    <s v="DET"/>
    <s v="A"/>
    <n v="1"/>
    <n v="1"/>
    <n v="0"/>
    <n v="0"/>
    <n v="0"/>
    <n v="0"/>
    <n v="1508.210051105603"/>
    <n v="1523.0011490818902"/>
    <n v="0.36153978471364412"/>
    <n v="66"/>
    <n v="60"/>
    <n v="0"/>
    <n v="6"/>
    <n v="1"/>
    <n v="0.34700362392466139"/>
    <n v="1"/>
    <n v="74.95"/>
    <n v="74.95"/>
    <n v="16.605023232284569"/>
    <n v="1524.8150743378876"/>
    <n v="1"/>
    <n v="0"/>
    <n v="0"/>
    <n v="0"/>
    <n v="0"/>
    <n v="0"/>
    <n v="0"/>
    <n v="0"/>
    <n v="0"/>
    <n v="0"/>
  </r>
  <r>
    <d v="1999-06-26T00:00:00"/>
    <n v="1999"/>
    <x v="7"/>
    <s v="R"/>
    <s v="RS"/>
    <x v="8"/>
    <s v="PHX"/>
    <s v="H"/>
    <n v="1"/>
    <n v="1"/>
    <n v="0"/>
    <n v="0"/>
    <n v="0"/>
    <n v="0"/>
    <n v="1523.0011490818902"/>
    <n v="1508.210051105603"/>
    <n v="0.63846021528635599"/>
    <n v="60"/>
    <n v="66"/>
    <n v="0"/>
    <n v="-6"/>
    <n v="0"/>
    <n v="0.34700362392466139"/>
    <n v="1"/>
    <n v="74.8"/>
    <n v="74.8"/>
    <n v="-16.57179103101916"/>
    <n v="1506.4293580508711"/>
    <n v="0"/>
    <n v="1"/>
    <n v="0"/>
    <n v="0"/>
    <n v="0"/>
    <n v="0"/>
    <n v="0"/>
    <n v="0"/>
    <n v="0"/>
    <n v="0"/>
  </r>
  <r>
    <d v="1999-06-26T00:00:00"/>
    <n v="1999"/>
    <x v="7"/>
    <s v="R"/>
    <s v="RS"/>
    <x v="1"/>
    <s v="SAC"/>
    <s v="A"/>
    <n v="1"/>
    <n v="1"/>
    <n v="0"/>
    <n v="0"/>
    <n v="0"/>
    <n v="0"/>
    <n v="1492.9929355751212"/>
    <n v="1499.8556743178847"/>
    <n v="0.37213979316572543"/>
    <n v="76"/>
    <n v="73"/>
    <n v="0"/>
    <n v="3"/>
    <n v="1"/>
    <n v="0.28853341323736981"/>
    <n v="1"/>
    <n v="74.8"/>
    <n v="74.8"/>
    <n v="13.550666908833303"/>
    <n v="1506.5436024839546"/>
    <n v="1"/>
    <n v="0"/>
    <n v="0"/>
    <n v="0"/>
    <n v="0"/>
    <n v="0"/>
    <n v="0"/>
    <n v="0"/>
    <n v="0"/>
    <n v="0"/>
  </r>
  <r>
    <d v="1999-06-26T00:00:00"/>
    <n v="1999"/>
    <x v="7"/>
    <s v="R"/>
    <s v="RS"/>
    <x v="0"/>
    <s v="LAS"/>
    <s v="H"/>
    <n v="1"/>
    <n v="1"/>
    <n v="0"/>
    <n v="0"/>
    <n v="0"/>
    <n v="0"/>
    <n v="1499.8556743178847"/>
    <n v="1492.9929355751212"/>
    <n v="0.62786020683427457"/>
    <n v="73"/>
    <n v="76"/>
    <n v="0"/>
    <n v="-3"/>
    <n v="0"/>
    <n v="0.28853341323736981"/>
    <n v="1"/>
    <n v="74.8"/>
    <n v="74.8"/>
    <n v="-13.550666908833303"/>
    <n v="1486.3050074090513"/>
    <n v="0"/>
    <n v="1"/>
    <n v="0"/>
    <n v="0"/>
    <n v="0"/>
    <n v="0"/>
    <n v="0"/>
    <n v="0"/>
    <n v="0"/>
    <n v="0"/>
  </r>
  <r>
    <d v="1999-06-26T00:00:00"/>
    <n v="1999"/>
    <x v="5"/>
    <s v="R"/>
    <s v="RS"/>
    <x v="9"/>
    <s v="UTA"/>
    <s v="A"/>
    <n v="1"/>
    <n v="1"/>
    <n v="0"/>
    <n v="0"/>
    <n v="0"/>
    <n v="0"/>
    <n v="1517.0857463129726"/>
    <n v="1408.0903276571107"/>
    <n v="0.53590936787378729"/>
    <n v="72"/>
    <n v="62"/>
    <n v="0"/>
    <n v="10"/>
    <n v="1"/>
    <n v="0.38789718585885363"/>
    <n v="1"/>
    <n v="75.099999999999994"/>
    <n v="75.099999999999994"/>
    <n v="13.5194607089096"/>
    <n v="1530.6052070218821"/>
    <n v="1"/>
    <n v="0"/>
    <n v="0"/>
    <n v="0"/>
    <n v="0"/>
    <n v="0"/>
    <n v="0"/>
    <n v="0"/>
    <n v="0"/>
    <n v="0"/>
  </r>
  <r>
    <d v="1999-06-26T00:00:00"/>
    <n v="1999"/>
    <x v="5"/>
    <s v="R"/>
    <s v="RS"/>
    <x v="11"/>
    <s v="MIN"/>
    <s v="H"/>
    <n v="1"/>
    <n v="1"/>
    <n v="0"/>
    <n v="0"/>
    <n v="0"/>
    <n v="0"/>
    <n v="1408.0903276571107"/>
    <n v="1517.0857463129726"/>
    <n v="0.46409063212621271"/>
    <n v="62"/>
    <n v="72"/>
    <n v="0"/>
    <n v="-10"/>
    <n v="0"/>
    <n v="0.38789718585885363"/>
    <n v="1"/>
    <n v="75.099999999999994"/>
    <n v="75.099999999999994"/>
    <n v="-13.5194607089096"/>
    <n v="1394.5708669482012"/>
    <n v="0"/>
    <n v="1"/>
    <n v="0"/>
    <n v="0"/>
    <n v="0"/>
    <n v="0"/>
    <n v="0"/>
    <n v="0"/>
    <n v="0"/>
    <n v="0"/>
  </r>
  <r>
    <d v="1999-06-27T00:00:00"/>
    <n v="1999"/>
    <x v="6"/>
    <s v="R"/>
    <s v="RS"/>
    <x v="6"/>
    <s v="NYL"/>
    <s v="A"/>
    <n v="1"/>
    <n v="6"/>
    <n v="-5"/>
    <n v="5"/>
    <n v="-16"/>
    <n v="16"/>
    <n v="1502.7824565138005"/>
    <n v="1561.3676214838881"/>
    <n v="0.26796087208586611"/>
    <n v="58"/>
    <n v="72"/>
    <n v="0"/>
    <n v="-14"/>
    <n v="0"/>
    <n v="0.46491071127064182"/>
    <n v="1"/>
    <n v="74.95"/>
    <n v="74.95"/>
    <n v="-9.3371120785789046"/>
    <n v="1493.4453444352216"/>
    <n v="0"/>
    <n v="1"/>
    <n v="0"/>
    <n v="0"/>
    <n v="0"/>
    <n v="0"/>
    <n v="0"/>
    <n v="0"/>
    <n v="0"/>
    <n v="0"/>
  </r>
  <r>
    <d v="1999-06-27T00:00:00"/>
    <n v="1999"/>
    <x v="5"/>
    <s v="R"/>
    <s v="RS"/>
    <x v="3"/>
    <s v="CHA"/>
    <s v="H"/>
    <n v="6"/>
    <n v="1"/>
    <n v="5"/>
    <n v="-5"/>
    <n v="16"/>
    <n v="-16"/>
    <n v="1561.3676214838881"/>
    <n v="1502.7824565138005"/>
    <n v="0.73203912791413395"/>
    <n v="72"/>
    <n v="58"/>
    <n v="0"/>
    <n v="14"/>
    <n v="1"/>
    <n v="0.46491071127064182"/>
    <n v="1"/>
    <n v="75.099999999999994"/>
    <n v="75.099999999999994"/>
    <n v="9.3557987605240225"/>
    <n v="1570.7234202444122"/>
    <n v="1"/>
    <n v="0"/>
    <n v="0"/>
    <n v="0"/>
    <n v="0"/>
    <n v="0"/>
    <n v="0"/>
    <n v="0"/>
    <n v="0"/>
    <n v="0"/>
  </r>
  <r>
    <d v="1999-06-28T00:00:00"/>
    <n v="1999"/>
    <x v="7"/>
    <s v="R"/>
    <s v="RS"/>
    <x v="10"/>
    <s v="CLE"/>
    <s v="A"/>
    <n v="1"/>
    <n v="1"/>
    <n v="0"/>
    <n v="0"/>
    <n v="0"/>
    <n v="0"/>
    <n v="1524.8150743378876"/>
    <n v="1434.9255843567864"/>
    <n v="0.50847484567223789"/>
    <n v="51"/>
    <n v="70"/>
    <n v="0"/>
    <n v="-19"/>
    <n v="0"/>
    <n v="0.52188431063003904"/>
    <n v="1"/>
    <n v="74.8"/>
    <n v="74.8"/>
    <n v="-19.849305314116577"/>
    <n v="1504.9657690237709"/>
    <n v="0"/>
    <n v="1"/>
    <n v="0"/>
    <n v="0"/>
    <n v="0"/>
    <n v="0"/>
    <n v="0"/>
    <n v="0"/>
    <n v="0"/>
    <n v="0"/>
  </r>
  <r>
    <d v="1999-06-28T00:00:00"/>
    <n v="1999"/>
    <x v="8"/>
    <s v="R"/>
    <s v="RS"/>
    <x v="2"/>
    <s v="PHX"/>
    <s v="H"/>
    <n v="1"/>
    <n v="1"/>
    <n v="0"/>
    <n v="0"/>
    <n v="0"/>
    <n v="0"/>
    <n v="1434.9255843567864"/>
    <n v="1524.8150743378876"/>
    <n v="0.49152515432776217"/>
    <n v="70"/>
    <n v="51"/>
    <n v="0"/>
    <n v="19"/>
    <n v="1"/>
    <n v="0.52188431063003904"/>
    <n v="1"/>
    <n v="74.650000000000006"/>
    <n v="74.650000000000006"/>
    <n v="19.809500557470624"/>
    <n v="1454.735084914257"/>
    <n v="1"/>
    <n v="0"/>
    <n v="0"/>
    <n v="0"/>
    <n v="0"/>
    <n v="0"/>
    <n v="0"/>
    <n v="0"/>
    <n v="0"/>
    <n v="0"/>
  </r>
  <r>
    <d v="1999-06-28T00:00:00"/>
    <n v="1999"/>
    <x v="6"/>
    <s v="R"/>
    <s v="RS"/>
    <x v="3"/>
    <s v="DET"/>
    <s v="A"/>
    <n v="0"/>
    <n v="1"/>
    <n v="-1"/>
    <n v="1"/>
    <n v="-8"/>
    <n v="8"/>
    <n v="1570.7234202444122"/>
    <n v="1506.4293580508711"/>
    <n v="0.44879516750910553"/>
    <n v="71"/>
    <n v="91"/>
    <n v="0"/>
    <n v="-20"/>
    <n v="0"/>
    <n v="0.54565219545023946"/>
    <n v="1"/>
    <n v="74.95"/>
    <n v="74.95"/>
    <n v="-18.354210830987167"/>
    <n v="1552.3692094134251"/>
    <n v="0"/>
    <n v="1"/>
    <n v="0"/>
    <n v="0"/>
    <n v="0"/>
    <n v="0"/>
    <n v="0"/>
    <n v="0"/>
    <n v="0"/>
    <n v="0"/>
  </r>
  <r>
    <d v="1999-06-28T00:00:00"/>
    <n v="1999"/>
    <x v="8"/>
    <s v="R"/>
    <s v="RS"/>
    <x v="8"/>
    <s v="NYL"/>
    <s v="H"/>
    <n v="1"/>
    <n v="0"/>
    <n v="1"/>
    <n v="-1"/>
    <n v="8"/>
    <n v="-8"/>
    <n v="1506.4293580508711"/>
    <n v="1570.7234202444122"/>
    <n v="0.55120483249089447"/>
    <n v="91"/>
    <n v="71"/>
    <n v="0"/>
    <n v="20"/>
    <n v="1"/>
    <n v="0.54565219545023946"/>
    <n v="1"/>
    <n v="74.650000000000006"/>
    <n v="74.650000000000006"/>
    <n v="18.280745010449525"/>
    <n v="1524.7101030613205"/>
    <n v="1"/>
    <n v="0"/>
    <n v="0"/>
    <n v="0"/>
    <n v="0"/>
    <n v="0"/>
    <n v="0"/>
    <n v="0"/>
    <n v="0"/>
    <n v="0"/>
  </r>
  <r>
    <d v="1999-06-28T00:00:00"/>
    <n v="1999"/>
    <x v="7"/>
    <s v="R"/>
    <s v="RS"/>
    <x v="5"/>
    <s v="HOU"/>
    <s v="A"/>
    <n v="5"/>
    <n v="2"/>
    <n v="3"/>
    <n v="-3"/>
    <n v="16"/>
    <n v="-16"/>
    <n v="1508.8731157898753"/>
    <n v="1687.1830096633428"/>
    <n v="0.20985986439595428"/>
    <n v="68"/>
    <n v="66"/>
    <n v="0"/>
    <n v="2"/>
    <n v="1"/>
    <n v="0.23319108888375295"/>
    <n v="1"/>
    <n v="74.8"/>
    <n v="74.8"/>
    <n v="13.782172166701319"/>
    <n v="1522.6552879565766"/>
    <n v="1"/>
    <n v="0"/>
    <n v="0"/>
    <n v="0"/>
    <n v="0"/>
    <n v="0"/>
    <n v="0"/>
    <n v="0"/>
    <n v="0"/>
    <n v="0"/>
  </r>
  <r>
    <d v="1999-06-28T00:00:00"/>
    <n v="1999"/>
    <x v="7"/>
    <s v="R"/>
    <s v="RS"/>
    <x v="4"/>
    <s v="ORL"/>
    <s v="H"/>
    <n v="2"/>
    <n v="5"/>
    <n v="-3"/>
    <n v="3"/>
    <n v="-16"/>
    <n v="16"/>
    <n v="1687.1830096633428"/>
    <n v="1508.8731157898753"/>
    <n v="0.79014013560404583"/>
    <n v="66"/>
    <n v="68"/>
    <n v="0"/>
    <n v="-2"/>
    <n v="0"/>
    <n v="0.23319108888375295"/>
    <n v="1"/>
    <n v="74.8"/>
    <n v="74.8"/>
    <n v="-13.78217216670132"/>
    <n v="1673.4008374966415"/>
    <n v="0"/>
    <n v="1"/>
    <n v="0"/>
    <n v="0"/>
    <n v="0"/>
    <n v="0"/>
    <n v="0"/>
    <n v="0"/>
    <n v="0"/>
    <n v="0"/>
  </r>
  <r>
    <d v="1999-06-28T00:00:00"/>
    <n v="1999"/>
    <x v="6"/>
    <s v="R"/>
    <s v="RS"/>
    <x v="11"/>
    <s v="LAS"/>
    <s v="A"/>
    <n v="1"/>
    <n v="1"/>
    <n v="0"/>
    <n v="0"/>
    <n v="0"/>
    <n v="0"/>
    <n v="1394.5708669482012"/>
    <n v="1506.5436024839546"/>
    <n v="0.24451010876398968"/>
    <n v="70"/>
    <n v="102"/>
    <n v="0"/>
    <n v="-32"/>
    <n v="0"/>
    <n v="0.6652673727333166"/>
    <n v="1"/>
    <n v="74.95"/>
    <n v="74.95"/>
    <n v="-12.191711594928559"/>
    <n v="1382.3791553532726"/>
    <n v="0"/>
    <n v="1"/>
    <n v="0"/>
    <n v="0"/>
    <n v="0"/>
    <n v="0"/>
    <n v="0"/>
    <n v="0"/>
    <n v="0"/>
    <n v="0"/>
  </r>
  <r>
    <d v="1999-06-28T00:00:00"/>
    <n v="1999"/>
    <x v="8"/>
    <s v="R"/>
    <s v="RS"/>
    <x v="1"/>
    <s v="UTA"/>
    <s v="H"/>
    <n v="1"/>
    <n v="1"/>
    <n v="0"/>
    <n v="0"/>
    <n v="0"/>
    <n v="0"/>
    <n v="1506.5436024839546"/>
    <n v="1394.5708669482012"/>
    <n v="0.7554898912360104"/>
    <n v="102"/>
    <n v="70"/>
    <n v="0"/>
    <n v="32"/>
    <n v="1"/>
    <n v="0.6652673727333166"/>
    <n v="1"/>
    <n v="74.650000000000006"/>
    <n v="74.650000000000006"/>
    <n v="12.142912215629309"/>
    <n v="1518.686514699584"/>
    <n v="1"/>
    <n v="0"/>
    <n v="0"/>
    <n v="0"/>
    <n v="0"/>
    <n v="0"/>
    <n v="0"/>
    <n v="0"/>
    <n v="0"/>
    <n v="0"/>
  </r>
  <r>
    <d v="1999-06-29T00:00:00"/>
    <n v="1999"/>
    <x v="8"/>
    <s v="R"/>
    <s v="RS"/>
    <x v="0"/>
    <s v="MIN"/>
    <s v="A"/>
    <n v="2"/>
    <n v="2"/>
    <n v="0"/>
    <n v="0"/>
    <n v="0"/>
    <n v="0"/>
    <n v="1486.3050074090513"/>
    <n v="1530.6052070218821"/>
    <n v="0.3233201367619577"/>
    <n v="86"/>
    <n v="72"/>
    <n v="0"/>
    <n v="14"/>
    <n v="1"/>
    <n v="0.47024803533985376"/>
    <n v="1"/>
    <n v="74.650000000000006"/>
    <n v="74.650000000000006"/>
    <n v="23.75418063644517"/>
    <n v="1510.0591880454965"/>
    <n v="1"/>
    <n v="0"/>
    <n v="0"/>
    <n v="0"/>
    <n v="0"/>
    <n v="0"/>
    <n v="0"/>
    <n v="0"/>
    <n v="0"/>
    <n v="0"/>
  </r>
  <r>
    <d v="1999-06-29T00:00:00"/>
    <n v="1999"/>
    <x v="6"/>
    <s v="R"/>
    <s v="RS"/>
    <x v="9"/>
    <s v="SAC"/>
    <s v="H"/>
    <n v="2"/>
    <n v="2"/>
    <n v="0"/>
    <n v="0"/>
    <n v="0"/>
    <n v="0"/>
    <n v="1530.6052070218821"/>
    <n v="1486.3050074090513"/>
    <n v="0.6766798632380423"/>
    <n v="72"/>
    <n v="86"/>
    <n v="0"/>
    <n v="-14"/>
    <n v="0"/>
    <n v="0.47024803533985376"/>
    <n v="1"/>
    <n v="74.95"/>
    <n v="74.95"/>
    <n v="-23.849642849317689"/>
    <n v="1506.7555641725644"/>
    <n v="0"/>
    <n v="1"/>
    <n v="0"/>
    <n v="0"/>
    <n v="0"/>
    <n v="0"/>
    <n v="0"/>
    <n v="0"/>
    <n v="0"/>
    <n v="0"/>
  </r>
  <r>
    <d v="1999-06-30T00:00:00"/>
    <n v="1999"/>
    <x v="8"/>
    <s v="R"/>
    <s v="RS"/>
    <x v="7"/>
    <s v="CHA"/>
    <s v="A"/>
    <n v="3"/>
    <n v="2"/>
    <n v="1"/>
    <n v="-1"/>
    <n v="8"/>
    <n v="-8"/>
    <n v="1355.3950636958223"/>
    <n v="1493.4453444352216"/>
    <n v="0.23395345216684024"/>
    <n v="68"/>
    <n v="63"/>
    <n v="0"/>
    <n v="5"/>
    <n v="1"/>
    <n v="0.29752781063915279"/>
    <n v="1"/>
    <n v="74.650000000000006"/>
    <n v="74.650000000000006"/>
    <n v="17.014239363557511"/>
    <n v="1372.4093030593797"/>
    <n v="1"/>
    <n v="0"/>
    <n v="0"/>
    <n v="0"/>
    <n v="0"/>
    <n v="0"/>
    <n v="0"/>
    <n v="0"/>
    <n v="0"/>
    <n v="0"/>
  </r>
  <r>
    <d v="1999-06-30T00:00:00"/>
    <n v="1999"/>
    <x v="7"/>
    <s v="R"/>
    <s v="RS"/>
    <x v="6"/>
    <s v="WAS"/>
    <s v="H"/>
    <n v="2"/>
    <n v="3"/>
    <n v="-1"/>
    <n v="1"/>
    <n v="-8"/>
    <n v="8"/>
    <n v="1493.4453444352216"/>
    <n v="1355.3950636958223"/>
    <n v="0.76604654783315973"/>
    <n v="63"/>
    <n v="68"/>
    <n v="0"/>
    <n v="-5"/>
    <n v="0"/>
    <n v="0.29752781063915279"/>
    <n v="1"/>
    <n v="74.8"/>
    <n v="74.8"/>
    <n v="-17.048427386391182"/>
    <n v="1476.3969170488303"/>
    <n v="0"/>
    <n v="1"/>
    <n v="0"/>
    <n v="0"/>
    <n v="0"/>
    <n v="0"/>
    <n v="0"/>
    <n v="0"/>
    <n v="0"/>
    <n v="0"/>
  </r>
  <r>
    <d v="1999-06-30T00:00:00"/>
    <n v="1999"/>
    <x v="8"/>
    <s v="R"/>
    <s v="RS"/>
    <x v="4"/>
    <s v="UTA"/>
    <s v="A"/>
    <n v="1"/>
    <n v="1"/>
    <n v="0"/>
    <n v="0"/>
    <n v="0"/>
    <n v="0"/>
    <n v="1673.4008374966415"/>
    <n v="1382.3791553532726"/>
    <n v="0.76704722109860968"/>
    <n v="78"/>
    <n v="68"/>
    <n v="0"/>
    <n v="10"/>
    <n v="1"/>
    <n v="0.34054208954817705"/>
    <n v="1"/>
    <n v="74.650000000000006"/>
    <n v="74.650000000000006"/>
    <n v="5.9220013778524505"/>
    <n v="1679.322838874494"/>
    <n v="1"/>
    <n v="0"/>
    <n v="0"/>
    <n v="0"/>
    <n v="0"/>
    <n v="0"/>
    <n v="0"/>
    <n v="0"/>
    <n v="0"/>
    <n v="0"/>
  </r>
  <r>
    <d v="1999-06-30T00:00:00"/>
    <n v="1999"/>
    <x v="7"/>
    <s v="R"/>
    <s v="RS"/>
    <x v="11"/>
    <s v="HOU"/>
    <s v="H"/>
    <n v="1"/>
    <n v="1"/>
    <n v="0"/>
    <n v="0"/>
    <n v="0"/>
    <n v="0"/>
    <n v="1382.3791553532726"/>
    <n v="1673.4008374966415"/>
    <n v="0.23295277890139027"/>
    <n v="68"/>
    <n v="78"/>
    <n v="0"/>
    <n v="-10"/>
    <n v="0"/>
    <n v="0.34054208954817705"/>
    <n v="1"/>
    <n v="74.8"/>
    <n v="74.8"/>
    <n v="-5.9339009117664174"/>
    <n v="1376.4452544415062"/>
    <n v="0"/>
    <n v="1"/>
    <n v="0"/>
    <n v="0"/>
    <n v="0"/>
    <n v="0"/>
    <n v="0"/>
    <n v="0"/>
    <n v="0"/>
    <n v="0"/>
  </r>
  <r>
    <d v="1999-07-01T00:00:00"/>
    <n v="1999"/>
    <x v="9"/>
    <s v="R"/>
    <s v="RS"/>
    <x v="2"/>
    <s v="HOU"/>
    <s v="A"/>
    <n v="2"/>
    <n v="0"/>
    <n v="2"/>
    <n v="-2"/>
    <n v="16"/>
    <n v="-16"/>
    <n v="1454.735084914257"/>
    <n v="1679.322838874494"/>
    <n v="0.16907921985439595"/>
    <n v="64"/>
    <n v="76"/>
    <n v="0"/>
    <n v="-12"/>
    <n v="0"/>
    <n v="0.38422015784583713"/>
    <n v="1"/>
    <n v="74.5"/>
    <n v="74.5"/>
    <n v="-4.8397915182975728"/>
    <n v="1449.8952933959595"/>
    <n v="0"/>
    <n v="1"/>
    <n v="0"/>
    <n v="0"/>
    <n v="0"/>
    <n v="0"/>
    <n v="0"/>
    <n v="0"/>
    <n v="0"/>
    <n v="0"/>
  </r>
  <r>
    <d v="1999-07-01T00:00:00"/>
    <n v="1999"/>
    <x v="9"/>
    <s v="R"/>
    <s v="RS"/>
    <x v="4"/>
    <s v="CLE"/>
    <s v="H"/>
    <n v="0"/>
    <n v="2"/>
    <n v="-2"/>
    <n v="2"/>
    <n v="-16"/>
    <n v="16"/>
    <n v="1679.322838874494"/>
    <n v="1454.735084914257"/>
    <n v="0.83092078014560411"/>
    <n v="76"/>
    <n v="64"/>
    <n v="0"/>
    <n v="12"/>
    <n v="1"/>
    <n v="0.38422015784583713"/>
    <n v="1"/>
    <n v="74.5"/>
    <n v="74.5"/>
    <n v="4.839791518297571"/>
    <n v="1684.1626303927915"/>
    <n v="1"/>
    <n v="0"/>
    <n v="0"/>
    <n v="0"/>
    <n v="0"/>
    <n v="0"/>
    <n v="0"/>
    <n v="0"/>
    <n v="0"/>
    <n v="0"/>
  </r>
  <r>
    <d v="1999-07-01T00:00:00"/>
    <n v="1999"/>
    <x v="9"/>
    <s v="R"/>
    <s v="RS"/>
    <x v="1"/>
    <s v="MIN"/>
    <s v="A"/>
    <n v="2"/>
    <n v="1"/>
    <n v="1"/>
    <n v="-1"/>
    <n v="8"/>
    <n v="-8"/>
    <n v="1518.686514699584"/>
    <n v="1506.7555641725644"/>
    <n v="0.42000341004474639"/>
    <n v="81"/>
    <n v="77"/>
    <n v="1"/>
    <n v="4"/>
    <n v="1"/>
    <n v="0.27753012954238515"/>
    <n v="1"/>
    <n v="74.5"/>
    <n v="74.5"/>
    <n v="11.992006391459526"/>
    <n v="1530.6785210910434"/>
    <n v="1"/>
    <n v="0"/>
    <n v="0"/>
    <n v="0"/>
    <n v="0"/>
    <n v="0"/>
    <n v="0"/>
    <n v="0"/>
    <n v="0"/>
    <n v="0"/>
  </r>
  <r>
    <d v="1999-07-01T00:00:00"/>
    <n v="1999"/>
    <x v="7"/>
    <s v="R"/>
    <s v="RS"/>
    <x v="9"/>
    <s v="LAS"/>
    <s v="H"/>
    <n v="1"/>
    <n v="2"/>
    <n v="-1"/>
    <n v="1"/>
    <n v="-8"/>
    <n v="8"/>
    <n v="1506.7555641725644"/>
    <n v="1518.686514699584"/>
    <n v="0.57999658995525372"/>
    <n v="77"/>
    <n v="81"/>
    <n v="1"/>
    <n v="-4"/>
    <n v="0"/>
    <n v="0.27753012954238515"/>
    <n v="1"/>
    <n v="74.8"/>
    <n v="74.8"/>
    <n v="-12.040296350082855"/>
    <n v="1494.7152678224816"/>
    <n v="0"/>
    <n v="1"/>
    <n v="0"/>
    <n v="0"/>
    <n v="0"/>
    <n v="0"/>
    <n v="0"/>
    <n v="0"/>
    <n v="0"/>
    <n v="0"/>
  </r>
  <r>
    <d v="1999-07-01T00:00:00"/>
    <n v="1999"/>
    <x v="8"/>
    <s v="R"/>
    <s v="RS"/>
    <x v="10"/>
    <s v="NYL"/>
    <s v="A"/>
    <n v="2"/>
    <n v="2"/>
    <n v="0"/>
    <n v="0"/>
    <n v="0"/>
    <n v="0"/>
    <n v="1504.9657690237709"/>
    <n v="1552.3692094134251"/>
    <n v="0.31942424284275756"/>
    <n v="67"/>
    <n v="83"/>
    <n v="0"/>
    <n v="-16"/>
    <n v="0"/>
    <n v="0.4981092873545257"/>
    <n v="1"/>
    <n v="74.650000000000006"/>
    <n v="74.650000000000006"/>
    <n v="-11.877425783774212"/>
    <n v="1493.0883432399967"/>
    <n v="0"/>
    <n v="1"/>
    <n v="0"/>
    <n v="0"/>
    <n v="0"/>
    <n v="0"/>
    <n v="0"/>
    <n v="0"/>
    <n v="0"/>
    <n v="0"/>
  </r>
  <r>
    <d v="1999-07-01T00:00:00"/>
    <n v="1999"/>
    <x v="7"/>
    <s v="R"/>
    <s v="RS"/>
    <x v="3"/>
    <s v="PHX"/>
    <s v="H"/>
    <n v="2"/>
    <n v="2"/>
    <n v="0"/>
    <n v="0"/>
    <n v="0"/>
    <n v="0"/>
    <n v="1552.3692094134251"/>
    <n v="1504.9657690237709"/>
    <n v="0.68057575715724239"/>
    <n v="83"/>
    <n v="67"/>
    <n v="0"/>
    <n v="16"/>
    <n v="1"/>
    <n v="0.4981092873545257"/>
    <n v="1"/>
    <n v="74.8"/>
    <n v="74.8"/>
    <n v="11.901292011069138"/>
    <n v="1564.2705014244943"/>
    <n v="1"/>
    <n v="0"/>
    <n v="0"/>
    <n v="0"/>
    <n v="0"/>
    <n v="0"/>
    <n v="0"/>
    <n v="0"/>
    <n v="0"/>
    <n v="0"/>
  </r>
  <r>
    <d v="1999-07-02T00:00:00"/>
    <n v="1999"/>
    <x v="10"/>
    <s v="R"/>
    <s v="RS"/>
    <x v="1"/>
    <s v="DET"/>
    <s v="A"/>
    <n v="0"/>
    <n v="3"/>
    <n v="-3"/>
    <n v="3"/>
    <n v="-16"/>
    <n v="16"/>
    <n v="1530.6785210910434"/>
    <n v="1524.7101030613205"/>
    <n v="0.34674165167578158"/>
    <n v="91"/>
    <n v="81"/>
    <n v="0"/>
    <n v="10"/>
    <n v="1"/>
    <n v="0.42103560226585168"/>
    <n v="1"/>
    <n v="74.349999999999994"/>
    <n v="74.349999999999994"/>
    <n v="20.449597394761987"/>
    <n v="1551.1281184858053"/>
    <n v="1"/>
    <n v="0"/>
    <n v="0"/>
    <n v="0"/>
    <n v="0"/>
    <n v="0"/>
    <n v="0"/>
    <n v="0"/>
    <n v="0"/>
    <n v="0"/>
  </r>
  <r>
    <d v="1999-07-02T00:00:00"/>
    <n v="1999"/>
    <x v="9"/>
    <s v="R"/>
    <s v="RS"/>
    <x v="8"/>
    <s v="LAS"/>
    <s v="H"/>
    <n v="3"/>
    <n v="0"/>
    <n v="3"/>
    <n v="-3"/>
    <n v="16"/>
    <n v="-16"/>
    <n v="1524.7101030613205"/>
    <n v="1530.6785210910434"/>
    <n v="0.65325834832421836"/>
    <n v="81"/>
    <n v="91"/>
    <n v="0"/>
    <n v="-10"/>
    <n v="0"/>
    <n v="0.42103560226585168"/>
    <n v="1"/>
    <n v="74.5"/>
    <n v="74.5"/>
    <n v="-20.490854148080267"/>
    <n v="1504.2192489132403"/>
    <n v="0"/>
    <n v="1"/>
    <n v="0"/>
    <n v="0"/>
    <n v="0"/>
    <n v="0"/>
    <n v="0"/>
    <n v="0"/>
    <n v="0"/>
    <n v="0"/>
  </r>
  <r>
    <d v="1999-07-02T00:00:00"/>
    <n v="1999"/>
    <x v="10"/>
    <s v="R"/>
    <s v="RS"/>
    <x v="2"/>
    <s v="UTA"/>
    <s v="A"/>
    <n v="0"/>
    <n v="1"/>
    <n v="-1"/>
    <n v="1"/>
    <n v="-8"/>
    <n v="8"/>
    <n v="1449.8952933959595"/>
    <n v="1376.4452544415062"/>
    <n v="0.46186573474005155"/>
    <n v="68"/>
    <n v="83"/>
    <n v="0"/>
    <n v="-15"/>
    <n v="0"/>
    <n v="0.47384476437720563"/>
    <n v="1"/>
    <n v="74.349999999999994"/>
    <n v="74.349999999999994"/>
    <n v="-16.271695289721677"/>
    <n v="1433.6235981062378"/>
    <n v="0"/>
    <n v="1"/>
    <n v="0"/>
    <n v="0"/>
    <n v="0"/>
    <n v="0"/>
    <n v="0"/>
    <n v="0"/>
    <n v="0"/>
    <n v="0"/>
  </r>
  <r>
    <d v="1999-07-02T00:00:00"/>
    <n v="1999"/>
    <x v="8"/>
    <s v="R"/>
    <s v="RS"/>
    <x v="11"/>
    <s v="CLE"/>
    <s v="H"/>
    <n v="1"/>
    <n v="0"/>
    <n v="1"/>
    <n v="-1"/>
    <n v="8"/>
    <n v="-8"/>
    <n v="1376.4452544415062"/>
    <n v="1449.8952933959595"/>
    <n v="0.53813426525994845"/>
    <n v="83"/>
    <n v="68"/>
    <n v="0"/>
    <n v="15"/>
    <n v="1"/>
    <n v="0.47384476437720563"/>
    <n v="1"/>
    <n v="74.650000000000006"/>
    <n v="74.650000000000006"/>
    <n v="16.337351087797224"/>
    <n v="1392.7826055293035"/>
    <n v="1"/>
    <n v="0"/>
    <n v="0"/>
    <n v="0"/>
    <n v="0"/>
    <n v="0"/>
    <n v="0"/>
    <n v="0"/>
    <n v="0"/>
    <n v="0"/>
  </r>
  <r>
    <d v="1999-07-02T00:00:00"/>
    <n v="1999"/>
    <x v="9"/>
    <s v="R"/>
    <s v="RS"/>
    <x v="0"/>
    <s v="WAS"/>
    <s v="A"/>
    <n v="2"/>
    <n v="1"/>
    <n v="1"/>
    <n v="-1"/>
    <n v="8"/>
    <n v="-8"/>
    <n v="1510.0591880454965"/>
    <n v="1372.4093030593797"/>
    <n v="0.59891275573093239"/>
    <n v="79"/>
    <n v="74"/>
    <n v="0"/>
    <n v="5"/>
    <n v="1"/>
    <n v="0.29761686897437228"/>
    <n v="1"/>
    <n v="74.5"/>
    <n v="74.5"/>
    <n v="8.8930895719564766"/>
    <n v="1518.9522776174531"/>
    <n v="1"/>
    <n v="0"/>
    <n v="0"/>
    <n v="0"/>
    <n v="0"/>
    <n v="0"/>
    <n v="0"/>
    <n v="0"/>
    <n v="0"/>
    <n v="0"/>
  </r>
  <r>
    <d v="1999-07-02T00:00:00"/>
    <n v="1999"/>
    <x v="9"/>
    <s v="R"/>
    <s v="RS"/>
    <x v="7"/>
    <s v="SAC"/>
    <s v="H"/>
    <n v="1"/>
    <n v="2"/>
    <n v="-1"/>
    <n v="1"/>
    <n v="-8"/>
    <n v="8"/>
    <n v="1372.4093030593797"/>
    <n v="1510.0591880454965"/>
    <n v="0.4010872442690675"/>
    <n v="74"/>
    <n v="79"/>
    <n v="0"/>
    <n v="-5"/>
    <n v="0"/>
    <n v="0.29761686897437228"/>
    <n v="1"/>
    <n v="74.5"/>
    <n v="74.5"/>
    <n v="-8.8930895719564749"/>
    <n v="1363.5162134874231"/>
    <n v="0"/>
    <n v="1"/>
    <n v="0"/>
    <n v="0"/>
    <n v="0"/>
    <n v="0"/>
    <n v="0"/>
    <n v="0"/>
    <n v="0"/>
    <n v="0"/>
  </r>
  <r>
    <d v="1999-07-03T00:00:00"/>
    <n v="1999"/>
    <x v="8"/>
    <s v="R"/>
    <s v="RS"/>
    <x v="3"/>
    <s v="HOU"/>
    <s v="A"/>
    <n v="1"/>
    <n v="1"/>
    <n v="0"/>
    <n v="0"/>
    <n v="0"/>
    <n v="0"/>
    <n v="1564.2705014244943"/>
    <n v="1684.1626303927915"/>
    <n v="0.2361873046661227"/>
    <n v="50"/>
    <n v="65"/>
    <n v="0"/>
    <n v="-15"/>
    <n v="0"/>
    <n v="0.45717193125939903"/>
    <n v="1"/>
    <n v="74.650000000000006"/>
    <n v="74.650000000000006"/>
    <n v="-8.0605730938126481"/>
    <n v="1556.2099283306818"/>
    <n v="0"/>
    <n v="1"/>
    <n v="0"/>
    <n v="0"/>
    <n v="0"/>
    <n v="0"/>
    <n v="0"/>
    <n v="0"/>
    <n v="0"/>
    <n v="0"/>
  </r>
  <r>
    <d v="1999-07-03T00:00:00"/>
    <n v="1999"/>
    <x v="10"/>
    <s v="R"/>
    <s v="RS"/>
    <x v="4"/>
    <s v="NYL"/>
    <s v="H"/>
    <n v="1"/>
    <n v="1"/>
    <n v="0"/>
    <n v="0"/>
    <n v="0"/>
    <n v="0"/>
    <n v="1684.1626303927915"/>
    <n v="1564.2705014244943"/>
    <n v="0.76381269533387741"/>
    <n v="65"/>
    <n v="50"/>
    <n v="0"/>
    <n v="15"/>
    <n v="1"/>
    <n v="0.45717193125939903"/>
    <n v="1"/>
    <n v="74.349999999999994"/>
    <n v="74.349999999999994"/>
    <n v="8.0281796319486922"/>
    <n v="1692.1908100247401"/>
    <n v="1"/>
    <n v="0"/>
    <n v="0"/>
    <n v="0"/>
    <n v="0"/>
    <n v="0"/>
    <n v="0"/>
    <n v="0"/>
    <n v="0"/>
    <n v="0"/>
  </r>
  <r>
    <d v="1999-07-03T00:00:00"/>
    <n v="1999"/>
    <x v="9"/>
    <s v="R"/>
    <s v="RS"/>
    <x v="10"/>
    <s v="MIN"/>
    <s v="A"/>
    <n v="1"/>
    <n v="1"/>
    <n v="0"/>
    <n v="0"/>
    <n v="0"/>
    <n v="0"/>
    <n v="1493.0883432399967"/>
    <n v="1494.7152678224816"/>
    <n v="0.37920870969498804"/>
    <n v="47"/>
    <n v="56"/>
    <n v="0"/>
    <n v="-9"/>
    <n v="0"/>
    <n v="0.40542186814427539"/>
    <n v="1"/>
    <n v="74.5"/>
    <n v="74.5"/>
    <n v="-11.453593010833607"/>
    <n v="1481.634750229163"/>
    <n v="0"/>
    <n v="1"/>
    <n v="0"/>
    <n v="0"/>
    <n v="0"/>
    <n v="0"/>
    <n v="0"/>
    <n v="0"/>
    <n v="0"/>
    <n v="0"/>
  </r>
  <r>
    <d v="1999-07-03T00:00:00"/>
    <n v="1999"/>
    <x v="8"/>
    <s v="R"/>
    <s v="RS"/>
    <x v="9"/>
    <s v="PHX"/>
    <s v="H"/>
    <n v="1"/>
    <n v="1"/>
    <n v="0"/>
    <n v="0"/>
    <n v="0"/>
    <n v="0"/>
    <n v="1494.7152678224816"/>
    <n v="1493.0883432399967"/>
    <n v="0.62079129030501201"/>
    <n v="56"/>
    <n v="47"/>
    <n v="0"/>
    <n v="9"/>
    <n v="1"/>
    <n v="0.40542186814427539"/>
    <n v="1"/>
    <n v="74.650000000000006"/>
    <n v="74.650000000000006"/>
    <n v="11.476653936358776"/>
    <n v="1506.1919217588404"/>
    <n v="1"/>
    <n v="0"/>
    <n v="0"/>
    <n v="0"/>
    <n v="0"/>
    <n v="0"/>
    <n v="0"/>
    <n v="0"/>
    <n v="0"/>
    <n v="0"/>
  </r>
  <r>
    <d v="1999-07-03T00:00:00"/>
    <n v="1999"/>
    <x v="8"/>
    <s v="R"/>
    <s v="RS"/>
    <x v="6"/>
    <s v="ORL"/>
    <s v="A"/>
    <n v="2"/>
    <n v="4"/>
    <n v="-2"/>
    <n v="2"/>
    <n v="-16"/>
    <n v="16"/>
    <n v="1476.3969170488303"/>
    <n v="1522.6552879565766"/>
    <n v="0.28210696680921099"/>
    <n v="75"/>
    <n v="58"/>
    <n v="0"/>
    <n v="17"/>
    <n v="1"/>
    <n v="0.51267899001794814"/>
    <n v="1"/>
    <n v="74.650000000000006"/>
    <n v="74.650000000000006"/>
    <n v="27.474833603469115"/>
    <n v="1503.8717506522994"/>
    <n v="1"/>
    <n v="0"/>
    <n v="0"/>
    <n v="0"/>
    <n v="0"/>
    <n v="0"/>
    <n v="0"/>
    <n v="0"/>
    <n v="0"/>
    <n v="0"/>
  </r>
  <r>
    <d v="1999-07-03T00:00:00"/>
    <n v="1999"/>
    <x v="8"/>
    <s v="R"/>
    <s v="RS"/>
    <x v="5"/>
    <s v="CHA"/>
    <s v="H"/>
    <n v="4"/>
    <n v="2"/>
    <n v="2"/>
    <n v="-2"/>
    <n v="16"/>
    <n v="-16"/>
    <n v="1522.6552879565766"/>
    <n v="1476.3969170488303"/>
    <n v="0.71789303319078901"/>
    <n v="58"/>
    <n v="75"/>
    <n v="0"/>
    <n v="-17"/>
    <n v="0"/>
    <n v="0.51267899001794814"/>
    <n v="1"/>
    <n v="74.650000000000006"/>
    <n v="74.650000000000006"/>
    <n v="-27.474833603469115"/>
    <n v="1495.1804543531075"/>
    <n v="0"/>
    <n v="1"/>
    <n v="0"/>
    <n v="0"/>
    <n v="0"/>
    <n v="0"/>
    <n v="0"/>
    <n v="0"/>
    <n v="0"/>
    <n v="0"/>
  </r>
  <r>
    <d v="1999-07-04T00:00:00"/>
    <n v="1999"/>
    <x v="10"/>
    <s v="R"/>
    <s v="RS"/>
    <x v="0"/>
    <s v="DET"/>
    <s v="A"/>
    <n v="1"/>
    <n v="1"/>
    <n v="0"/>
    <n v="0"/>
    <n v="0"/>
    <n v="0"/>
    <n v="1518.9522776174531"/>
    <n v="1504.2192489132403"/>
    <n v="0.40161685103731559"/>
    <n v="92"/>
    <n v="78"/>
    <n v="0"/>
    <n v="14"/>
    <n v="1"/>
    <n v="0.48169409278769226"/>
    <n v="1"/>
    <n v="74.349999999999994"/>
    <n v="74.349999999999994"/>
    <n v="21.430467647675343"/>
    <n v="1540.3827452651285"/>
    <n v="1"/>
    <n v="0"/>
    <n v="0"/>
    <n v="0"/>
    <n v="0"/>
    <n v="0"/>
    <n v="0"/>
    <n v="0"/>
    <n v="0"/>
    <n v="0"/>
  </r>
  <r>
    <d v="1999-07-04T00:00:00"/>
    <n v="1999"/>
    <x v="10"/>
    <s v="R"/>
    <s v="RS"/>
    <x v="8"/>
    <s v="SAC"/>
    <s v="H"/>
    <n v="1"/>
    <n v="1"/>
    <n v="0"/>
    <n v="0"/>
    <n v="0"/>
    <n v="0"/>
    <n v="1504.2192489132403"/>
    <n v="1518.9522776174531"/>
    <n v="0.59838314896268441"/>
    <n v="78"/>
    <n v="92"/>
    <n v="0"/>
    <n v="-14"/>
    <n v="0"/>
    <n v="0.48169409278769226"/>
    <n v="1"/>
    <n v="74.349999999999994"/>
    <n v="74.349999999999994"/>
    <n v="-21.430467647675343"/>
    <n v="1482.7887812655649"/>
    <n v="0"/>
    <n v="1"/>
    <n v="0"/>
    <n v="0"/>
    <n v="0"/>
    <n v="0"/>
    <n v="0"/>
    <n v="0"/>
    <n v="0"/>
    <n v="0"/>
  </r>
  <r>
    <d v="1999-07-05T00:00:00"/>
    <n v="1999"/>
    <x v="11"/>
    <s v="R"/>
    <s v="RS"/>
    <x v="2"/>
    <s v="LAS"/>
    <s v="A"/>
    <n v="2"/>
    <n v="2"/>
    <n v="0"/>
    <n v="0"/>
    <n v="0"/>
    <n v="0"/>
    <n v="1433.6235981062378"/>
    <n v="1551.1281184858053"/>
    <n v="0.23867577780042917"/>
    <n v="72"/>
    <n v="74"/>
    <n v="0"/>
    <n v="-2"/>
    <n v="0"/>
    <n v="0.24395330718031014"/>
    <n v="1"/>
    <n v="74.2"/>
    <n v="74.2"/>
    <n v="-4.3203503040979685"/>
    <n v="1429.3032478021398"/>
    <n v="0"/>
    <n v="1"/>
    <n v="0"/>
    <n v="0"/>
    <n v="0"/>
    <n v="0"/>
    <n v="0"/>
    <n v="0"/>
    <n v="0"/>
    <n v="0"/>
  </r>
  <r>
    <d v="1999-07-05T00:00:00"/>
    <n v="1999"/>
    <x v="11"/>
    <s v="R"/>
    <s v="RS"/>
    <x v="1"/>
    <s v="CLE"/>
    <s v="H"/>
    <n v="2"/>
    <n v="2"/>
    <n v="0"/>
    <n v="0"/>
    <n v="0"/>
    <n v="0"/>
    <n v="1551.1281184858053"/>
    <n v="1433.6235981062378"/>
    <n v="0.76132422219957074"/>
    <n v="74"/>
    <n v="72"/>
    <n v="0"/>
    <n v="2"/>
    <n v="1"/>
    <n v="0.24395330718031014"/>
    <n v="1"/>
    <n v="74.2"/>
    <n v="74.2"/>
    <n v="4.3203503040979694"/>
    <n v="1555.4484687899032"/>
    <n v="1"/>
    <n v="0"/>
    <n v="0"/>
    <n v="0"/>
    <n v="0"/>
    <n v="0"/>
    <n v="0"/>
    <n v="0"/>
    <n v="0"/>
    <n v="0"/>
  </r>
  <r>
    <d v="1999-07-05T00:00:00"/>
    <n v="1999"/>
    <x v="11"/>
    <s v="R"/>
    <s v="RS"/>
    <x v="0"/>
    <s v="NYL"/>
    <s v="A"/>
    <n v="0"/>
    <n v="1"/>
    <n v="-1"/>
    <n v="1"/>
    <n v="-8"/>
    <n v="8"/>
    <n v="1540.3827452651285"/>
    <n v="1556.2099283306818"/>
    <n v="0.3392238617161219"/>
    <n v="63"/>
    <n v="76"/>
    <n v="0"/>
    <n v="-13"/>
    <n v="0"/>
    <n v="0.46589886676879794"/>
    <n v="1"/>
    <n v="74.2"/>
    <n v="74.2"/>
    <n v="-11.726865746382165"/>
    <n v="1528.6558795187464"/>
    <n v="0"/>
    <n v="1"/>
    <n v="0"/>
    <n v="0"/>
    <n v="0"/>
    <n v="0"/>
    <n v="0"/>
    <n v="0"/>
    <n v="0"/>
    <n v="0"/>
  </r>
  <r>
    <d v="1999-07-05T00:00:00"/>
    <n v="1999"/>
    <x v="9"/>
    <s v="R"/>
    <s v="RS"/>
    <x v="3"/>
    <s v="SAC"/>
    <s v="H"/>
    <n v="1"/>
    <n v="0"/>
    <n v="1"/>
    <n v="-1"/>
    <n v="8"/>
    <n v="-8"/>
    <n v="1556.2099283306818"/>
    <n v="1540.3827452651285"/>
    <n v="0.66077613828387816"/>
    <n v="76"/>
    <n v="63"/>
    <n v="0"/>
    <n v="13"/>
    <n v="1"/>
    <n v="0.46589886676879794"/>
    <n v="1"/>
    <n v="74.5"/>
    <n v="74.5"/>
    <n v="11.774278950208506"/>
    <n v="1567.9842072808904"/>
    <n v="1"/>
    <n v="0"/>
    <n v="0"/>
    <n v="0"/>
    <n v="0"/>
    <n v="0"/>
    <n v="0"/>
    <n v="0"/>
    <n v="0"/>
    <n v="0"/>
  </r>
  <r>
    <d v="1999-07-06T00:00:00"/>
    <n v="1999"/>
    <x v="9"/>
    <s v="R"/>
    <s v="RS"/>
    <x v="9"/>
    <s v="HOU"/>
    <s v="A"/>
    <n v="2"/>
    <n v="2"/>
    <n v="0"/>
    <n v="0"/>
    <n v="0"/>
    <n v="0"/>
    <n v="1506.1919217588404"/>
    <n v="1692.1908100247401"/>
    <n v="0.17447493440130124"/>
    <n v="54"/>
    <n v="80"/>
    <n v="0"/>
    <n v="-26"/>
    <n v="0"/>
    <n v="0.56630987460764959"/>
    <n v="1"/>
    <n v="74.5"/>
    <n v="74.5"/>
    <n v="-7.3611124276119195"/>
    <n v="1498.8308093312285"/>
    <n v="0"/>
    <n v="1"/>
    <n v="0"/>
    <n v="0"/>
    <n v="0"/>
    <n v="0"/>
    <n v="0"/>
    <n v="0"/>
    <n v="0"/>
    <n v="0"/>
  </r>
  <r>
    <d v="1999-07-06T00:00:00"/>
    <n v="1999"/>
    <x v="11"/>
    <s v="R"/>
    <s v="RS"/>
    <x v="4"/>
    <s v="MIN"/>
    <s v="H"/>
    <n v="2"/>
    <n v="2"/>
    <n v="0"/>
    <n v="0"/>
    <n v="0"/>
    <n v="0"/>
    <n v="1692.1908100247401"/>
    <n v="1506.1919217588404"/>
    <n v="0.82552506559869887"/>
    <n v="80"/>
    <n v="54"/>
    <n v="0"/>
    <n v="26"/>
    <n v="1"/>
    <n v="0.56630987460764959"/>
    <n v="1"/>
    <n v="74.2"/>
    <n v="74.2"/>
    <n v="7.3314703641450221"/>
    <n v="1699.5222803888851"/>
    <n v="1"/>
    <n v="0"/>
    <n v="0"/>
    <n v="0"/>
    <n v="0"/>
    <n v="0"/>
    <n v="0"/>
    <n v="0"/>
    <n v="0"/>
    <n v="0"/>
  </r>
  <r>
    <d v="1999-07-06T00:00:00"/>
    <n v="1999"/>
    <x v="11"/>
    <s v="R"/>
    <s v="RS"/>
    <x v="8"/>
    <s v="UTA"/>
    <s v="A"/>
    <n v="1"/>
    <n v="3"/>
    <n v="-2"/>
    <n v="2"/>
    <n v="-16"/>
    <n v="16"/>
    <n v="1482.7887812655649"/>
    <n v="1392.7826055293035"/>
    <n v="0.46266152085767176"/>
    <n v="94"/>
    <n v="104"/>
    <n v="1"/>
    <n v="-10"/>
    <n v="0"/>
    <n v="0.35424642445455634"/>
    <n v="1"/>
    <n v="74.2"/>
    <n v="74.2"/>
    <n v="-12.161097260643073"/>
    <n v="1470.6276840049218"/>
    <n v="0"/>
    <n v="1"/>
    <n v="0"/>
    <n v="0"/>
    <n v="0"/>
    <n v="0"/>
    <n v="0"/>
    <n v="0"/>
    <n v="0"/>
    <n v="0"/>
  </r>
  <r>
    <d v="1999-07-06T00:00:00"/>
    <n v="1999"/>
    <x v="9"/>
    <s v="R"/>
    <s v="RS"/>
    <x v="11"/>
    <s v="DET"/>
    <s v="H"/>
    <n v="3"/>
    <n v="1"/>
    <n v="2"/>
    <n v="-2"/>
    <n v="16"/>
    <n v="-16"/>
    <n v="1392.7826055293035"/>
    <n v="1482.7887812655649"/>
    <n v="0.53733847914232813"/>
    <n v="104"/>
    <n v="94"/>
    <n v="1"/>
    <n v="10"/>
    <n v="1"/>
    <n v="0.35424642445455634"/>
    <n v="1"/>
    <n v="74.5"/>
    <n v="74.5"/>
    <n v="12.210266117492036"/>
    <n v="1404.9928716467955"/>
    <n v="1"/>
    <n v="0"/>
    <n v="0"/>
    <n v="0"/>
    <n v="0"/>
    <n v="0"/>
    <n v="0"/>
    <n v="0"/>
    <n v="0"/>
    <n v="0"/>
  </r>
  <r>
    <d v="1999-07-06T00:00:00"/>
    <n v="1999"/>
    <x v="10"/>
    <s v="R"/>
    <s v="RS"/>
    <x v="3"/>
    <s v="WAS"/>
    <s v="A"/>
    <n v="0"/>
    <n v="3"/>
    <n v="-3"/>
    <n v="3"/>
    <n v="-16"/>
    <n v="16"/>
    <n v="1567.9842072808904"/>
    <n v="1363.5162134874231"/>
    <n v="0.62463362041673254"/>
    <n v="63"/>
    <n v="71"/>
    <n v="0"/>
    <n v="-8"/>
    <n v="0"/>
    <n v="0.33178302678510924"/>
    <n v="1"/>
    <n v="74.349999999999994"/>
    <n v="74.349999999999994"/>
    <n v="-15.408504649431496"/>
    <n v="1552.5757026314589"/>
    <n v="0"/>
    <n v="1"/>
    <n v="0"/>
    <n v="0"/>
    <n v="0"/>
    <n v="0"/>
    <n v="0"/>
    <n v="0"/>
    <n v="0"/>
    <n v="0"/>
  </r>
  <r>
    <d v="1999-07-06T00:00:00"/>
    <n v="1999"/>
    <x v="10"/>
    <s v="R"/>
    <s v="RS"/>
    <x v="7"/>
    <s v="NYL"/>
    <s v="H"/>
    <n v="3"/>
    <n v="0"/>
    <n v="3"/>
    <n v="-3"/>
    <n v="16"/>
    <n v="-16"/>
    <n v="1363.5162134874231"/>
    <n v="1567.9842072808904"/>
    <n v="0.37536637958326741"/>
    <n v="71"/>
    <n v="63"/>
    <n v="0"/>
    <n v="8"/>
    <n v="1"/>
    <n v="0.33178302678510924"/>
    <n v="1"/>
    <n v="74.349999999999994"/>
    <n v="74.349999999999994"/>
    <n v="15.408504649431499"/>
    <n v="1378.9247181368546"/>
    <n v="1"/>
    <n v="0"/>
    <n v="0"/>
    <n v="0"/>
    <n v="0"/>
    <n v="0"/>
    <n v="0"/>
    <n v="0"/>
    <n v="0"/>
    <n v="0"/>
  </r>
  <r>
    <d v="1999-07-07T00:00:00"/>
    <n v="1999"/>
    <x v="12"/>
    <s v="R"/>
    <s v="RS"/>
    <x v="2"/>
    <s v="CHA"/>
    <s v="A"/>
    <n v="1"/>
    <n v="3"/>
    <n v="-2"/>
    <n v="2"/>
    <n v="-16"/>
    <n v="16"/>
    <n v="1429.3032478021398"/>
    <n v="1503.8717506522994"/>
    <n v="0.25030233501556098"/>
    <n v="62"/>
    <n v="75"/>
    <n v="0"/>
    <n v="-13"/>
    <n v="0"/>
    <n v="0.44442688290998367"/>
    <n v="1"/>
    <n v="74.05"/>
    <n v="74.05"/>
    <n v="-8.2374024579949623"/>
    <n v="1421.0658453441449"/>
    <n v="0"/>
    <n v="1"/>
    <n v="0"/>
    <n v="0"/>
    <n v="0"/>
    <n v="0"/>
    <n v="0"/>
    <n v="0"/>
    <n v="0"/>
    <n v="0"/>
  </r>
  <r>
    <d v="1999-07-07T00:00:00"/>
    <n v="1999"/>
    <x v="9"/>
    <s v="R"/>
    <s v="RS"/>
    <x v="6"/>
    <s v="CLE"/>
    <s v="H"/>
    <n v="3"/>
    <n v="1"/>
    <n v="2"/>
    <n v="-2"/>
    <n v="16"/>
    <n v="-16"/>
    <n v="1503.8717506522994"/>
    <n v="1429.3032478021398"/>
    <n v="0.74969766498443902"/>
    <n v="75"/>
    <n v="62"/>
    <n v="0"/>
    <n v="13"/>
    <n v="1"/>
    <n v="0.44442688290998367"/>
    <n v="1"/>
    <n v="74.5"/>
    <n v="74.5"/>
    <n v="8.2874609469361893"/>
    <n v="1512.1592115992355"/>
    <n v="1"/>
    <n v="0"/>
    <n v="0"/>
    <n v="0"/>
    <n v="0"/>
    <n v="0"/>
    <n v="0"/>
    <n v="0"/>
    <n v="0"/>
    <n v="0"/>
  </r>
  <r>
    <d v="1999-07-07T00:00:00"/>
    <n v="1999"/>
    <x v="10"/>
    <s v="R"/>
    <s v="RS"/>
    <x v="9"/>
    <s v="ORL"/>
    <s v="A"/>
    <n v="0"/>
    <n v="3"/>
    <n v="-3"/>
    <n v="3"/>
    <n v="-16"/>
    <n v="16"/>
    <n v="1498.8308093312285"/>
    <n v="1495.1804543531075"/>
    <n v="0.34372532591053107"/>
    <n v="71"/>
    <n v="66"/>
    <n v="0"/>
    <n v="5"/>
    <n v="1"/>
    <n v="0.3307498468363213"/>
    <n v="1"/>
    <n v="74.349999999999994"/>
    <n v="74.349999999999994"/>
    <n v="16.13861530916417"/>
    <n v="1514.9694246403926"/>
    <n v="1"/>
    <n v="0"/>
    <n v="0"/>
    <n v="0"/>
    <n v="0"/>
    <n v="0"/>
    <n v="0"/>
    <n v="0"/>
    <n v="0"/>
    <n v="0"/>
  </r>
  <r>
    <d v="1999-07-07T00:00:00"/>
    <n v="1999"/>
    <x v="9"/>
    <s v="R"/>
    <s v="RS"/>
    <x v="5"/>
    <s v="MIN"/>
    <s v="H"/>
    <n v="3"/>
    <n v="0"/>
    <n v="3"/>
    <n v="-3"/>
    <n v="16"/>
    <n v="-16"/>
    <n v="1495.1804543531075"/>
    <n v="1498.8308093312285"/>
    <n v="0.65627467408946893"/>
    <n v="66"/>
    <n v="71"/>
    <n v="0"/>
    <n v="-5"/>
    <n v="0"/>
    <n v="0.3307498468363213"/>
    <n v="1"/>
    <n v="74.5"/>
    <n v="74.5"/>
    <n v="-16.171174721354816"/>
    <n v="1479.0092796317526"/>
    <n v="0"/>
    <n v="1"/>
    <n v="0"/>
    <n v="0"/>
    <n v="0"/>
    <n v="0"/>
    <n v="0"/>
    <n v="0"/>
    <n v="0"/>
    <n v="0"/>
  </r>
  <r>
    <d v="1999-07-07T00:00:00"/>
    <n v="1999"/>
    <x v="12"/>
    <s v="R"/>
    <s v="RS"/>
    <x v="1"/>
    <s v="PHX"/>
    <s v="A"/>
    <n v="1"/>
    <n v="3"/>
    <n v="-2"/>
    <n v="2"/>
    <n v="-16"/>
    <n v="16"/>
    <n v="1555.4484687899032"/>
    <n v="1481.634750229163"/>
    <n v="0.43958567099708767"/>
    <n v="67"/>
    <n v="61"/>
    <n v="0"/>
    <n v="6"/>
    <n v="1"/>
    <n v="0.33092508517295388"/>
    <n v="1"/>
    <n v="74.05"/>
    <n v="74.05"/>
    <n v="13.732954565227882"/>
    <n v="1569.1814233551311"/>
    <n v="1"/>
    <n v="0"/>
    <n v="0"/>
    <n v="0"/>
    <n v="0"/>
    <n v="0"/>
    <n v="0"/>
    <n v="0"/>
    <n v="0"/>
    <n v="0"/>
  </r>
  <r>
    <d v="1999-07-07T00:00:00"/>
    <n v="1999"/>
    <x v="10"/>
    <s v="R"/>
    <s v="RS"/>
    <x v="10"/>
    <s v="LAS"/>
    <s v="H"/>
    <n v="3"/>
    <n v="1"/>
    <n v="2"/>
    <n v="-2"/>
    <n v="16"/>
    <n v="-16"/>
    <n v="1481.634750229163"/>
    <n v="1555.4484687899032"/>
    <n v="0.56041432900291233"/>
    <n v="61"/>
    <n v="67"/>
    <n v="0"/>
    <n v="-6"/>
    <n v="0"/>
    <n v="0.33092508517295388"/>
    <n v="1"/>
    <n v="74.349999999999994"/>
    <n v="74.349999999999994"/>
    <n v="-13.78859111309511"/>
    <n v="1467.8461591160678"/>
    <n v="0"/>
    <n v="1"/>
    <n v="0"/>
    <n v="0"/>
    <n v="0"/>
    <n v="0"/>
    <n v="0"/>
    <n v="0"/>
    <n v="0"/>
    <n v="0"/>
  </r>
  <r>
    <d v="1999-07-08T00:00:00"/>
    <n v="1999"/>
    <x v="11"/>
    <s v="R"/>
    <s v="RS"/>
    <x v="3"/>
    <s v="CLE"/>
    <s v="A"/>
    <n v="1"/>
    <n v="0"/>
    <n v="1"/>
    <n v="-1"/>
    <n v="8"/>
    <n v="-8"/>
    <n v="1552.5757026314589"/>
    <n v="1421.0658453441449"/>
    <n v="0.59039345299311019"/>
    <n v="84"/>
    <n v="49"/>
    <n v="0"/>
    <n v="35"/>
    <n v="1"/>
    <n v="0.68689698303697744"/>
    <n v="1"/>
    <n v="74.2"/>
    <n v="74.2"/>
    <n v="20.876726601745005"/>
    <n v="1573.4524292332039"/>
    <n v="1"/>
    <n v="0"/>
    <n v="0"/>
    <n v="0"/>
    <n v="0"/>
    <n v="0"/>
    <n v="0"/>
    <n v="0"/>
    <n v="0"/>
    <n v="0"/>
  </r>
  <r>
    <d v="1999-07-08T00:00:00"/>
    <n v="1999"/>
    <x v="13"/>
    <s v="R"/>
    <s v="RS"/>
    <x v="2"/>
    <s v="NYL"/>
    <s v="H"/>
    <n v="0"/>
    <n v="1"/>
    <n v="-1"/>
    <n v="1"/>
    <n v="-8"/>
    <n v="8"/>
    <n v="1421.0658453441449"/>
    <n v="1552.5757026314589"/>
    <n v="0.40960654700688987"/>
    <n v="49"/>
    <n v="84"/>
    <n v="0"/>
    <n v="-35"/>
    <n v="0"/>
    <n v="0.68689698303697744"/>
    <n v="1"/>
    <n v="73.900000000000006"/>
    <n v="73.900000000000006"/>
    <n v="-20.792319351333642"/>
    <n v="1400.2735259928113"/>
    <n v="0"/>
    <n v="1"/>
    <n v="0"/>
    <n v="0"/>
    <n v="0"/>
    <n v="0"/>
    <n v="0"/>
    <n v="0"/>
    <n v="0"/>
    <n v="0"/>
  </r>
  <r>
    <d v="1999-07-08T00:00:00"/>
    <n v="1999"/>
    <x v="12"/>
    <s v="R"/>
    <s v="RS"/>
    <x v="4"/>
    <s v="SAC"/>
    <s v="A"/>
    <n v="1"/>
    <n v="2"/>
    <n v="-1"/>
    <n v="1"/>
    <n v="-8"/>
    <n v="8"/>
    <n v="1699.5222803888851"/>
    <n v="1528.6558795187464"/>
    <n v="0.60059377775220779"/>
    <n v="63"/>
    <n v="74"/>
    <n v="0"/>
    <n v="-11"/>
    <n v="0"/>
    <n v="0.38501429750859884"/>
    <n v="1"/>
    <n v="74.05"/>
    <n v="74.05"/>
    <n v="-17.123114025339799"/>
    <n v="1682.3991663635452"/>
    <n v="0"/>
    <n v="1"/>
    <n v="0"/>
    <n v="0"/>
    <n v="0"/>
    <n v="0"/>
    <n v="0"/>
    <n v="0"/>
    <n v="0"/>
    <n v="0"/>
  </r>
  <r>
    <d v="1999-07-08T00:00:00"/>
    <n v="1999"/>
    <x v="12"/>
    <s v="R"/>
    <s v="RS"/>
    <x v="0"/>
    <s v="HOU"/>
    <s v="H"/>
    <n v="2"/>
    <n v="1"/>
    <n v="1"/>
    <n v="-1"/>
    <n v="8"/>
    <n v="-8"/>
    <n v="1528.6558795187464"/>
    <n v="1699.5222803888851"/>
    <n v="0.3994062222477921"/>
    <n v="74"/>
    <n v="63"/>
    <n v="0"/>
    <n v="11"/>
    <n v="1"/>
    <n v="0.38501429750859884"/>
    <n v="1"/>
    <n v="74.05"/>
    <n v="74.05"/>
    <n v="17.123114025339802"/>
    <n v="1545.7789935440862"/>
    <n v="1"/>
    <n v="0"/>
    <n v="0"/>
    <n v="0"/>
    <n v="0"/>
    <n v="0"/>
    <n v="0"/>
    <n v="0"/>
    <n v="0"/>
    <n v="0"/>
  </r>
  <r>
    <d v="1999-07-08T00:00:00"/>
    <n v="1999"/>
    <x v="10"/>
    <s v="R"/>
    <s v="RS"/>
    <x v="11"/>
    <s v="WAS"/>
    <s v="A"/>
    <n v="1"/>
    <n v="1"/>
    <n v="0"/>
    <n v="0"/>
    <n v="0"/>
    <n v="0"/>
    <n v="1404.9928716467955"/>
    <n v="1378.9247181368546"/>
    <n v="0.41739351558086918"/>
    <n v="81"/>
    <n v="65"/>
    <n v="0"/>
    <n v="16"/>
    <n v="1"/>
    <n v="0.50677708001575339"/>
    <n v="1"/>
    <n v="74.349999999999994"/>
    <n v="74.349999999999994"/>
    <n v="21.951957424480881"/>
    <n v="1426.9448290712764"/>
    <n v="1"/>
    <n v="0"/>
    <n v="0"/>
    <n v="0"/>
    <n v="0"/>
    <n v="0"/>
    <n v="0"/>
    <n v="0"/>
    <n v="0"/>
    <n v="0"/>
  </r>
  <r>
    <d v="1999-07-08T00:00:00"/>
    <n v="1999"/>
    <x v="11"/>
    <s v="R"/>
    <s v="RS"/>
    <x v="7"/>
    <s v="UTA"/>
    <s v="H"/>
    <n v="1"/>
    <n v="1"/>
    <n v="0"/>
    <n v="0"/>
    <n v="0"/>
    <n v="0"/>
    <n v="1378.9247181368546"/>
    <n v="1404.9928716467955"/>
    <n v="0.58260648441913077"/>
    <n v="65"/>
    <n v="81"/>
    <n v="0"/>
    <n v="-16"/>
    <n v="0"/>
    <n v="0.50677708001575339"/>
    <n v="1"/>
    <n v="74.2"/>
    <n v="74.2"/>
    <n v="-21.907669682535058"/>
    <n v="1357.0170484543196"/>
    <n v="0"/>
    <n v="1"/>
    <n v="0"/>
    <n v="0"/>
    <n v="0"/>
    <n v="0"/>
    <n v="0"/>
    <n v="0"/>
    <n v="0"/>
    <n v="0"/>
  </r>
  <r>
    <d v="1999-07-09T00:00:00"/>
    <n v="1999"/>
    <x v="10"/>
    <s v="R"/>
    <s v="RS"/>
    <x v="5"/>
    <s v="CHA"/>
    <s v="A"/>
    <n v="1"/>
    <n v="1"/>
    <n v="0"/>
    <n v="0"/>
    <n v="0"/>
    <n v="0"/>
    <n v="1479.0092796317526"/>
    <n v="1512.1592115992355"/>
    <n v="0.3375191913334874"/>
    <n v="66"/>
    <n v="61"/>
    <n v="0"/>
    <n v="5"/>
    <n v="1"/>
    <n v="0.32283760492799107"/>
    <n v="1"/>
    <n v="74.349999999999994"/>
    <n v="74.349999999999994"/>
    <n v="15.901510902121746"/>
    <n v="1494.9107905338744"/>
    <n v="1"/>
    <n v="0"/>
    <n v="0"/>
    <n v="0"/>
    <n v="0"/>
    <n v="0"/>
    <n v="0"/>
    <n v="0"/>
    <n v="0"/>
    <n v="0"/>
  </r>
  <r>
    <d v="1999-07-09T00:00:00"/>
    <n v="1999"/>
    <x v="10"/>
    <s v="R"/>
    <s v="RS"/>
    <x v="6"/>
    <s v="ORL"/>
    <s v="H"/>
    <n v="1"/>
    <n v="1"/>
    <n v="0"/>
    <n v="0"/>
    <n v="0"/>
    <n v="0"/>
    <n v="1512.1592115992355"/>
    <n v="1479.0092796317526"/>
    <n v="0.6624808086665126"/>
    <n v="61"/>
    <n v="66"/>
    <n v="0"/>
    <n v="-5"/>
    <n v="0"/>
    <n v="0.32283760492799107"/>
    <n v="1"/>
    <n v="74.349999999999994"/>
    <n v="74.349999999999994"/>
    <n v="-15.901510902121746"/>
    <n v="1496.2577006971137"/>
    <n v="0"/>
    <n v="1"/>
    <n v="0"/>
    <n v="0"/>
    <n v="0"/>
    <n v="0"/>
    <n v="0"/>
    <n v="0"/>
    <n v="0"/>
    <n v="0"/>
  </r>
  <r>
    <d v="1999-07-09T00:00:00"/>
    <n v="1999"/>
    <x v="13"/>
    <s v="R"/>
    <s v="RS"/>
    <x v="0"/>
    <s v="LAS"/>
    <s v="A"/>
    <n v="0"/>
    <n v="1"/>
    <n v="-1"/>
    <n v="1"/>
    <n v="-8"/>
    <n v="8"/>
    <n v="1545.7789935440862"/>
    <n v="1569.1814233551311"/>
    <n v="0.32951896941069303"/>
    <n v="77"/>
    <n v="72"/>
    <n v="0"/>
    <n v="5"/>
    <n v="1"/>
    <n v="0.32540982497066412"/>
    <n v="1"/>
    <n v="73.900000000000006"/>
    <n v="73.900000000000006"/>
    <n v="16.123584384475027"/>
    <n v="1561.9025779285612"/>
    <n v="1"/>
    <n v="0"/>
    <n v="0"/>
    <n v="0"/>
    <n v="0"/>
    <n v="0"/>
    <n v="0"/>
    <n v="0"/>
    <n v="0"/>
    <n v="0"/>
  </r>
  <r>
    <d v="1999-07-09T00:00:00"/>
    <n v="1999"/>
    <x v="13"/>
    <s v="R"/>
    <s v="RS"/>
    <x v="1"/>
    <s v="SAC"/>
    <s v="H"/>
    <n v="1"/>
    <n v="0"/>
    <n v="1"/>
    <n v="-1"/>
    <n v="8"/>
    <n v="-8"/>
    <n v="1569.1814233551311"/>
    <n v="1545.7789935440862"/>
    <n v="0.67048103058930697"/>
    <n v="72"/>
    <n v="77"/>
    <n v="0"/>
    <n v="-5"/>
    <n v="0"/>
    <n v="0.32540982497066412"/>
    <n v="1"/>
    <n v="73.900000000000006"/>
    <n v="73.900000000000006"/>
    <n v="-16.123584384475027"/>
    <n v="1553.0578389706561"/>
    <n v="0"/>
    <n v="1"/>
    <n v="0"/>
    <n v="0"/>
    <n v="0"/>
    <n v="0"/>
    <n v="0"/>
    <n v="0"/>
    <n v="0"/>
    <n v="0"/>
  </r>
  <r>
    <d v="1999-07-09T00:00:00"/>
    <n v="1999"/>
    <x v="13"/>
    <s v="R"/>
    <s v="RS"/>
    <x v="4"/>
    <s v="PHX"/>
    <s v="A"/>
    <n v="0"/>
    <n v="1"/>
    <n v="-1"/>
    <n v="1"/>
    <n v="-8"/>
    <n v="8"/>
    <n v="1682.3991663635452"/>
    <n v="1467.8461591160678"/>
    <n v="0.65913011377731245"/>
    <n v="71"/>
    <n v="70"/>
    <n v="0"/>
    <n v="1"/>
    <n v="1"/>
    <n v="0.20714360201214346"/>
    <n v="1"/>
    <n v="73.900000000000006"/>
    <n v="73.900000000000006"/>
    <n v="5.2180062860681753"/>
    <n v="1687.6171726496134"/>
    <n v="1"/>
    <n v="0"/>
    <n v="0"/>
    <n v="0"/>
    <n v="0"/>
    <n v="0"/>
    <n v="0"/>
    <n v="0"/>
    <n v="0"/>
    <n v="0"/>
  </r>
  <r>
    <d v="1999-07-09T00:00:00"/>
    <n v="1999"/>
    <x v="11"/>
    <s v="R"/>
    <s v="RS"/>
    <x v="10"/>
    <s v="HOU"/>
    <s v="H"/>
    <n v="1"/>
    <n v="0"/>
    <n v="1"/>
    <n v="-1"/>
    <n v="8"/>
    <n v="-8"/>
    <n v="1467.8461591160678"/>
    <n v="1682.3991663635452"/>
    <n v="0.34086988622268755"/>
    <n v="70"/>
    <n v="71"/>
    <n v="0"/>
    <n v="-1"/>
    <n v="0"/>
    <n v="0.20714360201214346"/>
    <n v="1"/>
    <n v="74.2"/>
    <n v="74.2"/>
    <n v="-5.2391889908830667"/>
    <n v="1462.6069701251847"/>
    <n v="0"/>
    <n v="1"/>
    <n v="0"/>
    <n v="0"/>
    <n v="0"/>
    <n v="0"/>
    <n v="0"/>
    <n v="0"/>
    <n v="0"/>
    <n v="0"/>
  </r>
  <r>
    <d v="1999-07-10T00:00:00"/>
    <n v="1999"/>
    <x v="11"/>
    <s v="R"/>
    <s v="RS"/>
    <x v="6"/>
    <s v="CLE"/>
    <s v="A"/>
    <n v="0"/>
    <n v="1"/>
    <n v="-1"/>
    <n v="1"/>
    <n v="-8"/>
    <n v="8"/>
    <n v="1496.2577006971137"/>
    <n v="1400.2735259928113"/>
    <n v="0.49422102018800923"/>
    <n v="56"/>
    <n v="82"/>
    <n v="0"/>
    <n v="-26"/>
    <n v="0"/>
    <n v="0.60564385888376371"/>
    <n v="1"/>
    <n v="74.2"/>
    <n v="74.2"/>
    <n v="-22.209686894963721"/>
    <n v="1474.0480138021501"/>
    <n v="0"/>
    <n v="1"/>
    <n v="0"/>
    <n v="0"/>
    <n v="0"/>
    <n v="0"/>
    <n v="0"/>
    <n v="0"/>
    <n v="0"/>
    <n v="0"/>
  </r>
  <r>
    <d v="1999-07-10T00:00:00"/>
    <n v="1999"/>
    <x v="14"/>
    <s v="R"/>
    <s v="RS"/>
    <x v="2"/>
    <s v="CHA"/>
    <s v="H"/>
    <n v="1"/>
    <n v="0"/>
    <n v="1"/>
    <n v="-1"/>
    <n v="8"/>
    <n v="-8"/>
    <n v="1400.2735259928113"/>
    <n v="1496.2577006971137"/>
    <n v="0.50577897981199071"/>
    <n v="82"/>
    <n v="56"/>
    <n v="0"/>
    <n v="26"/>
    <n v="1"/>
    <n v="0.60564385888376371"/>
    <n v="1"/>
    <n v="73.75"/>
    <n v="73.75"/>
    <n v="22.074992028350064"/>
    <n v="1422.3485180211615"/>
    <n v="1"/>
    <n v="0"/>
    <n v="0"/>
    <n v="0"/>
    <n v="0"/>
    <n v="0"/>
    <n v="0"/>
    <n v="0"/>
    <n v="0"/>
    <n v="0"/>
  </r>
  <r>
    <d v="1999-07-10T00:00:00"/>
    <n v="1999"/>
    <x v="12"/>
    <s v="R"/>
    <s v="RS"/>
    <x v="7"/>
    <s v="DET"/>
    <s v="A"/>
    <n v="1"/>
    <n v="3"/>
    <n v="-2"/>
    <n v="2"/>
    <n v="-16"/>
    <n v="16"/>
    <n v="1357.0170484543196"/>
    <n v="1470.6276840049218"/>
    <n v="0.21052810639667385"/>
    <n v="83"/>
    <n v="78"/>
    <n v="1"/>
    <n v="5"/>
    <n v="1"/>
    <n v="0.27275696755299716"/>
    <n v="1"/>
    <n v="74.05"/>
    <n v="74.05"/>
    <n v="15.945479713383238"/>
    <n v="1372.9625281677029"/>
    <n v="1"/>
    <n v="0"/>
    <n v="0"/>
    <n v="0"/>
    <n v="0"/>
    <n v="0"/>
    <n v="0"/>
    <n v="0"/>
    <n v="0"/>
    <n v="0"/>
  </r>
  <r>
    <d v="1999-07-10T00:00:00"/>
    <n v="1999"/>
    <x v="12"/>
    <s v="R"/>
    <s v="RS"/>
    <x v="8"/>
    <s v="WAS"/>
    <s v="H"/>
    <n v="3"/>
    <n v="1"/>
    <n v="2"/>
    <n v="-2"/>
    <n v="16"/>
    <n v="-16"/>
    <n v="1470.6276840049218"/>
    <n v="1357.0170484543196"/>
    <n v="0.78947189360332615"/>
    <n v="78"/>
    <n v="83"/>
    <n v="1"/>
    <n v="-5"/>
    <n v="0"/>
    <n v="0.27275696755299716"/>
    <n v="1"/>
    <n v="74.05"/>
    <n v="74.05"/>
    <n v="-15.945479713383238"/>
    <n v="1454.6822042915385"/>
    <n v="0"/>
    <n v="1"/>
    <n v="0"/>
    <n v="0"/>
    <n v="0"/>
    <n v="0"/>
    <n v="0"/>
    <n v="0"/>
    <n v="0"/>
    <n v="0"/>
  </r>
  <r>
    <d v="1999-07-10T00:00:00"/>
    <n v="1999"/>
    <x v="11"/>
    <s v="R"/>
    <s v="RS"/>
    <x v="11"/>
    <s v="ORL"/>
    <s v="A"/>
    <n v="1"/>
    <n v="0"/>
    <n v="1"/>
    <n v="-1"/>
    <n v="8"/>
    <n v="-8"/>
    <n v="1426.9448290712764"/>
    <n v="1494.9107905338744"/>
    <n v="0.31374192855137034"/>
    <n v="56"/>
    <n v="62"/>
    <n v="0"/>
    <n v="-6"/>
    <n v="0"/>
    <n v="0.33245128506679111"/>
    <n v="1"/>
    <n v="74.2"/>
    <n v="74.2"/>
    <n v="-7.7393499236067438"/>
    <n v="1419.2054791476696"/>
    <n v="0"/>
    <n v="1"/>
    <n v="0"/>
    <n v="0"/>
    <n v="0"/>
    <n v="0"/>
    <n v="0"/>
    <n v="0"/>
    <n v="0"/>
    <n v="0"/>
  </r>
  <r>
    <d v="1999-07-10T00:00:00"/>
    <n v="1999"/>
    <x v="11"/>
    <s v="R"/>
    <s v="RS"/>
    <x v="5"/>
    <s v="UTA"/>
    <s v="H"/>
    <n v="0"/>
    <n v="1"/>
    <n v="-1"/>
    <n v="1"/>
    <n v="-8"/>
    <n v="8"/>
    <n v="1494.9107905338744"/>
    <n v="1426.9448290712764"/>
    <n v="0.6862580714486296"/>
    <n v="62"/>
    <n v="56"/>
    <n v="0"/>
    <n v="6"/>
    <n v="1"/>
    <n v="0.33245128506679111"/>
    <n v="1"/>
    <n v="74.2"/>
    <n v="74.2"/>
    <n v="7.7393499236067456"/>
    <n v="1502.6501404574813"/>
    <n v="1"/>
    <n v="0"/>
    <n v="0"/>
    <n v="0"/>
    <n v="0"/>
    <n v="0"/>
    <n v="0"/>
    <n v="0"/>
    <n v="0"/>
    <n v="0"/>
  </r>
  <r>
    <d v="1999-07-11T00:00:00"/>
    <n v="1999"/>
    <x v="14"/>
    <s v="R"/>
    <s v="RS"/>
    <x v="0"/>
    <s v="HOU"/>
    <s v="A"/>
    <n v="1"/>
    <n v="1"/>
    <n v="0"/>
    <n v="0"/>
    <n v="0"/>
    <n v="0"/>
    <n v="1561.9025779285612"/>
    <n v="1687.6171726496134"/>
    <n v="0.23019432861310249"/>
    <n v="63"/>
    <n v="68"/>
    <n v="0"/>
    <n v="-5"/>
    <n v="0"/>
    <n v="0.30029628710338235"/>
    <n v="1"/>
    <n v="73.75"/>
    <n v="73.75"/>
    <n v="-5.0980795368643292"/>
    <n v="1556.8044983916968"/>
    <n v="0"/>
    <n v="1"/>
    <n v="0"/>
    <n v="0"/>
    <n v="0"/>
    <n v="0"/>
    <n v="0"/>
    <n v="0"/>
    <n v="0"/>
    <n v="0"/>
  </r>
  <r>
    <d v="1999-07-11T00:00:00"/>
    <n v="1999"/>
    <x v="14"/>
    <s v="R"/>
    <s v="RS"/>
    <x v="4"/>
    <s v="SAC"/>
    <s v="H"/>
    <n v="1"/>
    <n v="1"/>
    <n v="0"/>
    <n v="0"/>
    <n v="0"/>
    <n v="0"/>
    <n v="1687.6171726496134"/>
    <n v="1561.9025779285612"/>
    <n v="0.76980567138689748"/>
    <n v="68"/>
    <n v="63"/>
    <n v="0"/>
    <n v="5"/>
    <n v="1"/>
    <n v="0.30029628710338235"/>
    <n v="1"/>
    <n v="73.75"/>
    <n v="73.75"/>
    <n v="5.0980795368643301"/>
    <n v="1692.7152521864778"/>
    <n v="1"/>
    <n v="0"/>
    <n v="0"/>
    <n v="0"/>
    <n v="0"/>
    <n v="0"/>
    <n v="0"/>
    <n v="0"/>
    <n v="0"/>
    <n v="0"/>
  </r>
  <r>
    <d v="1999-07-11T00:00:00"/>
    <n v="1999"/>
    <x v="12"/>
    <s v="R"/>
    <s v="RS"/>
    <x v="10"/>
    <s v="LAS"/>
    <s v="A"/>
    <n v="1"/>
    <n v="1"/>
    <n v="0"/>
    <n v="0"/>
    <n v="0"/>
    <n v="0"/>
    <n v="1462.6069701251847"/>
    <n v="1553.0578389706561"/>
    <n v="0.26811254315409544"/>
    <n v="58"/>
    <n v="67"/>
    <n v="0"/>
    <n v="-9"/>
    <n v="0"/>
    <n v="0.37751598634091699"/>
    <n v="1"/>
    <n v="74.05"/>
    <n v="74.05"/>
    <n v="-7.4951019058190207"/>
    <n v="1455.1118682193658"/>
    <n v="0"/>
    <n v="1"/>
    <n v="0"/>
    <n v="0"/>
    <n v="0"/>
    <n v="0"/>
    <n v="0"/>
    <n v="0"/>
    <n v="0"/>
    <n v="0"/>
  </r>
  <r>
    <d v="1999-07-11T00:00:00"/>
    <n v="1999"/>
    <x v="14"/>
    <s v="R"/>
    <s v="RS"/>
    <x v="1"/>
    <s v="PHX"/>
    <s v="H"/>
    <n v="1"/>
    <n v="1"/>
    <n v="0"/>
    <n v="0"/>
    <n v="0"/>
    <n v="0"/>
    <n v="1553.0578389706561"/>
    <n v="1462.6069701251847"/>
    <n v="0.73188745684590462"/>
    <n v="67"/>
    <n v="58"/>
    <n v="0"/>
    <n v="9"/>
    <n v="1"/>
    <n v="0.37751598634091699"/>
    <n v="1"/>
    <n v="73.75"/>
    <n v="73.75"/>
    <n v="7.4647368744652622"/>
    <n v="1560.5225758451213"/>
    <n v="1"/>
    <n v="0"/>
    <n v="0"/>
    <n v="0"/>
    <n v="0"/>
    <n v="0"/>
    <n v="0"/>
    <n v="0"/>
    <n v="0"/>
    <n v="0"/>
  </r>
  <r>
    <d v="1999-07-11T00:00:00"/>
    <n v="1999"/>
    <x v="11"/>
    <s v="R"/>
    <s v="RS"/>
    <x v="9"/>
    <s v="NYL"/>
    <s v="A"/>
    <n v="3"/>
    <n v="2"/>
    <n v="1"/>
    <n v="-1"/>
    <n v="8"/>
    <n v="-8"/>
    <n v="1514.9694246403926"/>
    <n v="1573.4524292332039"/>
    <n v="0.32561297107033071"/>
    <n v="58"/>
    <n v="56"/>
    <n v="0"/>
    <n v="2"/>
    <n v="1"/>
    <n v="0.25539445808852823"/>
    <n v="1"/>
    <n v="74.2"/>
    <n v="74.2"/>
    <n v="12.779815466820573"/>
    <n v="1527.7492401072132"/>
    <n v="1"/>
    <n v="0"/>
    <n v="0"/>
    <n v="0"/>
    <n v="0"/>
    <n v="0"/>
    <n v="0"/>
    <n v="0"/>
    <n v="0"/>
    <n v="0"/>
  </r>
  <r>
    <d v="1999-07-11T00:00:00"/>
    <n v="1999"/>
    <x v="12"/>
    <s v="R"/>
    <s v="RS"/>
    <x v="3"/>
    <s v="MIN"/>
    <s v="H"/>
    <n v="2"/>
    <n v="3"/>
    <n v="-1"/>
    <n v="1"/>
    <n v="-8"/>
    <n v="8"/>
    <n v="1573.4524292332039"/>
    <n v="1514.9694246403926"/>
    <n v="0.6743870289296694"/>
    <n v="56"/>
    <n v="58"/>
    <n v="0"/>
    <n v="-2"/>
    <n v="0"/>
    <n v="0.25539445808852823"/>
    <n v="1"/>
    <n v="74.05"/>
    <n v="74.05"/>
    <n v="-12.753980260351261"/>
    <n v="1560.6984489728527"/>
    <n v="0"/>
    <n v="1"/>
    <n v="0"/>
    <n v="0"/>
    <n v="0"/>
    <n v="0"/>
    <n v="0"/>
    <n v="0"/>
    <n v="0"/>
    <n v="0"/>
  </r>
  <r>
    <d v="1999-07-12T00:00:00"/>
    <n v="1999"/>
    <x v="12"/>
    <s v="R"/>
    <s v="RS"/>
    <x v="9"/>
    <s v="CLE"/>
    <s v="A"/>
    <n v="0"/>
    <n v="1"/>
    <n v="-1"/>
    <n v="1"/>
    <n v="-8"/>
    <n v="8"/>
    <n v="1527.7492401072132"/>
    <n v="1422.3485180211615"/>
    <n v="0.50777163790461122"/>
    <n v="55"/>
    <n v="67"/>
    <n v="0"/>
    <n v="-12"/>
    <n v="0"/>
    <n v="0.41930061967268262"/>
    <n v="1"/>
    <n v="74.05"/>
    <n v="74.05"/>
    <n v="-15.765908667616902"/>
    <n v="1511.9833314395962"/>
    <n v="0"/>
    <n v="1"/>
    <n v="0"/>
    <n v="0"/>
    <n v="0"/>
    <n v="0"/>
    <n v="0"/>
    <n v="0"/>
    <n v="0"/>
    <n v="0"/>
  </r>
  <r>
    <d v="1999-07-12T00:00:00"/>
    <n v="1999"/>
    <x v="15"/>
    <s v="R"/>
    <s v="RS"/>
    <x v="2"/>
    <s v="MIN"/>
    <s v="H"/>
    <n v="1"/>
    <n v="0"/>
    <n v="1"/>
    <n v="-1"/>
    <n v="8"/>
    <n v="-8"/>
    <n v="1422.3485180211615"/>
    <n v="1527.7492401072132"/>
    <n v="0.49222836209538884"/>
    <n v="67"/>
    <n v="55"/>
    <n v="0"/>
    <n v="12"/>
    <n v="1"/>
    <n v="0.41930061967268262"/>
    <n v="1"/>
    <n v="73.599999999999994"/>
    <n v="73.599999999999994"/>
    <n v="15.67009963452537"/>
    <n v="1438.0186176556867"/>
    <n v="1"/>
    <n v="0"/>
    <n v="0"/>
    <n v="0"/>
    <n v="0"/>
    <n v="0"/>
    <n v="0"/>
    <n v="0"/>
    <n v="0"/>
    <n v="0"/>
  </r>
  <r>
    <d v="1999-07-12T00:00:00"/>
    <n v="1999"/>
    <x v="13"/>
    <s v="R"/>
    <s v="RS"/>
    <x v="8"/>
    <s v="ORL"/>
    <s v="A"/>
    <n v="1"/>
    <n v="1"/>
    <n v="0"/>
    <n v="0"/>
    <n v="0"/>
    <n v="0"/>
    <n v="1454.6822042915385"/>
    <n v="1502.6501404574813"/>
    <n v="0.31871824138085958"/>
    <n v="76"/>
    <n v="67"/>
    <n v="0"/>
    <n v="9"/>
    <n v="1"/>
    <n v="0.39036726702561109"/>
    <n v="1"/>
    <n v="73.900000000000006"/>
    <n v="73.900000000000006"/>
    <n v="19.653712255986484"/>
    <n v="1474.3359165475249"/>
    <n v="1"/>
    <n v="0"/>
    <n v="0"/>
    <n v="0"/>
    <n v="0"/>
    <n v="0"/>
    <n v="0"/>
    <n v="0"/>
    <n v="0"/>
    <n v="0"/>
  </r>
  <r>
    <d v="1999-07-12T00:00:00"/>
    <n v="1999"/>
    <x v="12"/>
    <s v="R"/>
    <s v="RS"/>
    <x v="5"/>
    <s v="DET"/>
    <s v="H"/>
    <n v="1"/>
    <n v="1"/>
    <n v="0"/>
    <n v="0"/>
    <n v="0"/>
    <n v="0"/>
    <n v="1502.6501404574813"/>
    <n v="1454.6822042915385"/>
    <n v="0.68128175861914042"/>
    <n v="67"/>
    <n v="76"/>
    <n v="0"/>
    <n v="-9"/>
    <n v="0"/>
    <n v="0.39036726702561109"/>
    <n v="1"/>
    <n v="74.05"/>
    <n v="74.05"/>
    <n v="-19.693604770714465"/>
    <n v="1482.9565356867668"/>
    <n v="0"/>
    <n v="1"/>
    <n v="0"/>
    <n v="0"/>
    <n v="0"/>
    <n v="0"/>
    <n v="0"/>
    <n v="0"/>
    <n v="0"/>
    <n v="0"/>
  </r>
  <r>
    <d v="1999-07-12T00:00:00"/>
    <n v="1999"/>
    <x v="13"/>
    <s v="R"/>
    <s v="RS"/>
    <x v="10"/>
    <s v="UTA"/>
    <s v="A"/>
    <n v="0"/>
    <n v="1"/>
    <n v="-1"/>
    <n v="1"/>
    <n v="-8"/>
    <n v="8"/>
    <n v="1455.1118682193658"/>
    <n v="1419.2054791476696"/>
    <n v="0.40879416290662024"/>
    <n v="80"/>
    <n v="66"/>
    <n v="0"/>
    <n v="14"/>
    <n v="1"/>
    <n v="0.47344178282015303"/>
    <n v="1"/>
    <n v="73.900000000000006"/>
    <n v="73.900000000000006"/>
    <n v="20.684724214457912"/>
    <n v="1475.7965924338237"/>
    <n v="1"/>
    <n v="0"/>
    <n v="0"/>
    <n v="0"/>
    <n v="0"/>
    <n v="0"/>
    <n v="0"/>
    <n v="0"/>
    <n v="0"/>
    <n v="0"/>
  </r>
  <r>
    <d v="1999-07-12T00:00:00"/>
    <n v="1999"/>
    <x v="12"/>
    <s v="R"/>
    <s v="RS"/>
    <x v="11"/>
    <s v="PHX"/>
    <s v="H"/>
    <n v="1"/>
    <n v="0"/>
    <n v="1"/>
    <n v="-1"/>
    <n v="8"/>
    <n v="-8"/>
    <n v="1419.2054791476696"/>
    <n v="1455.1118682193658"/>
    <n v="0.5912058370933797"/>
    <n v="66"/>
    <n v="80"/>
    <n v="0"/>
    <n v="-14"/>
    <n v="0"/>
    <n v="0.47344178282015303"/>
    <n v="1"/>
    <n v="74.05"/>
    <n v="74.05"/>
    <n v="-20.726709446286986"/>
    <n v="1398.4787697013826"/>
    <n v="0"/>
    <n v="1"/>
    <n v="0"/>
    <n v="0"/>
    <n v="0"/>
    <n v="0"/>
    <n v="0"/>
    <n v="0"/>
    <n v="0"/>
    <n v="0"/>
  </r>
  <r>
    <d v="1999-07-12T00:00:00"/>
    <n v="1999"/>
    <x v="12"/>
    <s v="R"/>
    <s v="RS"/>
    <x v="6"/>
    <s v="WAS"/>
    <s v="A"/>
    <n v="1"/>
    <n v="1"/>
    <n v="0"/>
    <n v="0"/>
    <n v="0"/>
    <n v="0"/>
    <n v="1474.0480138021501"/>
    <n v="1372.9625281677029"/>
    <n v="0.52456818929271054"/>
    <n v="71"/>
    <n v="74"/>
    <n v="0"/>
    <n v="-3"/>
    <n v="0"/>
    <n v="0.26763823681320009"/>
    <n v="1"/>
    <n v="74.05"/>
    <n v="74.05"/>
    <n v="-10.396213115287487"/>
    <n v="1463.6518006868625"/>
    <n v="0"/>
    <n v="1"/>
    <n v="0"/>
    <n v="0"/>
    <n v="0"/>
    <n v="0"/>
    <n v="0"/>
    <n v="0"/>
    <n v="0"/>
    <n v="0"/>
  </r>
  <r>
    <d v="1999-07-12T00:00:00"/>
    <n v="1999"/>
    <x v="13"/>
    <s v="R"/>
    <s v="RS"/>
    <x v="7"/>
    <s v="CHA"/>
    <s v="H"/>
    <n v="1"/>
    <n v="1"/>
    <n v="0"/>
    <n v="0"/>
    <n v="0"/>
    <n v="0"/>
    <n v="1372.9625281677029"/>
    <n v="1474.0480138021501"/>
    <n v="0.47543181070728935"/>
    <n v="74"/>
    <n v="71"/>
    <n v="0"/>
    <n v="3"/>
    <n v="1"/>
    <n v="0.26763823681320009"/>
    <n v="1"/>
    <n v="73.900000000000006"/>
    <n v="73.900000000000006"/>
    <n v="10.375153939496903"/>
    <n v="1383.3376821071997"/>
    <n v="1"/>
    <n v="0"/>
    <n v="0"/>
    <n v="0"/>
    <n v="0"/>
    <n v="0"/>
    <n v="0"/>
    <n v="0"/>
    <n v="0"/>
    <n v="0"/>
  </r>
  <r>
    <d v="1999-07-16T00:00:00"/>
    <n v="1999"/>
    <x v="15"/>
    <s v="R"/>
    <s v="RS"/>
    <x v="0"/>
    <s v="CLE"/>
    <s v="A"/>
    <n v="4"/>
    <n v="3"/>
    <n v="1"/>
    <n v="-1"/>
    <n v="8"/>
    <n v="-8"/>
    <n v="1556.8044983916968"/>
    <n v="1438.0186176556867"/>
    <n v="0.57257062734421493"/>
    <n v="85"/>
    <n v="71"/>
    <n v="0"/>
    <n v="14"/>
    <n v="1"/>
    <n v="0.4436881928963044"/>
    <n v="1"/>
    <n v="73.599999999999994"/>
    <n v="73.599999999999994"/>
    <n v="13.957898933511251"/>
    <n v="1570.762397325208"/>
    <n v="1"/>
    <n v="0"/>
    <n v="0"/>
    <n v="0"/>
    <n v="0"/>
    <n v="0"/>
    <n v="0"/>
    <n v="0"/>
    <n v="0"/>
    <n v="0"/>
  </r>
  <r>
    <d v="1999-07-16T00:00:00"/>
    <n v="1999"/>
    <x v="16"/>
    <s v="R"/>
    <s v="RS"/>
    <x v="2"/>
    <s v="SAC"/>
    <s v="H"/>
    <n v="3"/>
    <n v="4"/>
    <n v="-1"/>
    <n v="1"/>
    <n v="-8"/>
    <n v="8"/>
    <n v="1438.0186176556867"/>
    <n v="1556.8044983916968"/>
    <n v="0.42742937265578507"/>
    <n v="71"/>
    <n v="85"/>
    <n v="0"/>
    <n v="-14"/>
    <n v="0"/>
    <n v="0.4436881928963044"/>
    <n v="1"/>
    <n v="73.45"/>
    <n v="73.45"/>
    <n v="-13.929452128619584"/>
    <n v="1424.0891655270671"/>
    <n v="0"/>
    <n v="1"/>
    <n v="0"/>
    <n v="0"/>
    <n v="0"/>
    <n v="0"/>
    <n v="0"/>
    <n v="0"/>
    <n v="0"/>
    <n v="0"/>
  </r>
  <r>
    <d v="1999-07-16T00:00:00"/>
    <n v="1999"/>
    <x v="13"/>
    <s v="R"/>
    <s v="RS"/>
    <x v="6"/>
    <s v="ORL"/>
    <s v="A"/>
    <n v="3"/>
    <n v="3"/>
    <n v="0"/>
    <n v="0"/>
    <n v="0"/>
    <n v="0"/>
    <n v="1463.6518006868625"/>
    <n v="1482.9565356867668"/>
    <n v="0.35556409105459175"/>
    <n v="56"/>
    <n v="50"/>
    <n v="0"/>
    <n v="6"/>
    <n v="1"/>
    <n v="0.34571908171030202"/>
    <n v="1"/>
    <n v="73.900000000000006"/>
    <n v="73.900000000000006"/>
    <n v="16.464461129903352"/>
    <n v="1480.1162618167659"/>
    <n v="1"/>
    <n v="0"/>
    <n v="0"/>
    <n v="0"/>
    <n v="0"/>
    <n v="0"/>
    <n v="0"/>
    <n v="0"/>
    <n v="0"/>
    <n v="0"/>
  </r>
  <r>
    <d v="1999-07-16T00:00:00"/>
    <n v="1999"/>
    <x v="13"/>
    <s v="R"/>
    <s v="RS"/>
    <x v="5"/>
    <s v="CHA"/>
    <s v="H"/>
    <n v="3"/>
    <n v="3"/>
    <n v="0"/>
    <n v="0"/>
    <n v="0"/>
    <n v="0"/>
    <n v="1482.9565356867668"/>
    <n v="1463.6518006868625"/>
    <n v="0.64443590894540825"/>
    <n v="50"/>
    <n v="56"/>
    <n v="0"/>
    <n v="-6"/>
    <n v="0"/>
    <n v="0.34571908171030202"/>
    <n v="1"/>
    <n v="73.900000000000006"/>
    <n v="73.900000000000006"/>
    <n v="-16.464461129903352"/>
    <n v="1466.4920745568634"/>
    <n v="0"/>
    <n v="1"/>
    <n v="0"/>
    <n v="0"/>
    <n v="0"/>
    <n v="0"/>
    <n v="0"/>
    <n v="0"/>
    <n v="0"/>
    <n v="0"/>
  </r>
  <r>
    <d v="1999-07-16T00:00:00"/>
    <n v="1999"/>
    <x v="15"/>
    <s v="R"/>
    <s v="RS"/>
    <x v="4"/>
    <s v="UTA"/>
    <s v="A"/>
    <n v="4"/>
    <n v="3"/>
    <n v="1"/>
    <n v="-1"/>
    <n v="8"/>
    <n v="-8"/>
    <n v="1692.7152521864778"/>
    <n v="1398.4787697013826"/>
    <n v="0.78622549232380001"/>
    <n v="88"/>
    <n v="84"/>
    <n v="1"/>
    <n v="4"/>
    <n v="1"/>
    <n v="0.22509646741913539"/>
    <n v="1"/>
    <n v="73.599999999999994"/>
    <n v="73.599999999999994"/>
    <n v="3.5416236465602609"/>
    <n v="1696.2568758330381"/>
    <n v="1"/>
    <n v="0"/>
    <n v="0"/>
    <n v="0"/>
    <n v="0"/>
    <n v="0"/>
    <n v="0"/>
    <n v="0"/>
    <n v="0"/>
    <n v="0"/>
  </r>
  <r>
    <d v="1999-07-16T00:00:00"/>
    <n v="1999"/>
    <x v="13"/>
    <s v="R"/>
    <s v="RS"/>
    <x v="11"/>
    <s v="HOU"/>
    <s v="H"/>
    <n v="3"/>
    <n v="4"/>
    <n v="-1"/>
    <n v="1"/>
    <n v="-8"/>
    <n v="8"/>
    <n v="1398.4787697013826"/>
    <n v="1692.7152521864778"/>
    <n v="0.21377450767620002"/>
    <n v="84"/>
    <n v="88"/>
    <n v="1"/>
    <n v="-4"/>
    <n v="0"/>
    <n v="0.22509646741913539"/>
    <n v="1"/>
    <n v="73.900000000000006"/>
    <n v="73.900000000000006"/>
    <n v="-3.5560596125109147"/>
    <n v="1394.9227100888718"/>
    <n v="0"/>
    <n v="1"/>
    <n v="0"/>
    <n v="0"/>
    <n v="0"/>
    <n v="0"/>
    <n v="0"/>
    <n v="0"/>
    <n v="0"/>
    <n v="0"/>
  </r>
  <r>
    <d v="1999-07-16T00:00:00"/>
    <n v="1999"/>
    <x v="14"/>
    <s v="R"/>
    <s v="RS"/>
    <x v="8"/>
    <s v="WAS"/>
    <s v="A"/>
    <n v="3"/>
    <n v="3"/>
    <n v="0"/>
    <n v="0"/>
    <n v="0"/>
    <n v="0"/>
    <n v="1474.3359165475249"/>
    <n v="1383.3376821071997"/>
    <n v="0.51006990711367828"/>
    <n v="78"/>
    <n v="68"/>
    <n v="0"/>
    <n v="10"/>
    <n v="1"/>
    <n v="0.39330467358761606"/>
    <n v="1"/>
    <n v="73.75"/>
    <n v="73.75"/>
    <n v="14.211019900676131"/>
    <n v="1488.546936448201"/>
    <n v="1"/>
    <n v="0"/>
    <n v="0"/>
    <n v="0"/>
    <n v="0"/>
    <n v="0"/>
    <n v="0"/>
    <n v="0"/>
    <n v="0"/>
    <n v="0"/>
  </r>
  <r>
    <d v="1999-07-16T00:00:00"/>
    <n v="1999"/>
    <x v="14"/>
    <s v="R"/>
    <s v="RS"/>
    <x v="7"/>
    <s v="DET"/>
    <s v="H"/>
    <n v="3"/>
    <n v="3"/>
    <n v="0"/>
    <n v="0"/>
    <n v="0"/>
    <n v="0"/>
    <n v="1383.3376821071997"/>
    <n v="1474.3359165475249"/>
    <n v="0.48993009288632172"/>
    <n v="68"/>
    <n v="78"/>
    <n v="0"/>
    <n v="-10"/>
    <n v="0"/>
    <n v="0.39330467358761606"/>
    <n v="1"/>
    <n v="73.75"/>
    <n v="73.75"/>
    <n v="-14.211019900676131"/>
    <n v="1369.1266622065236"/>
    <n v="0"/>
    <n v="1"/>
    <n v="0"/>
    <n v="0"/>
    <n v="0"/>
    <n v="0"/>
    <n v="0"/>
    <n v="0"/>
    <n v="0"/>
    <n v="0"/>
  </r>
  <r>
    <d v="1999-07-17T00:00:00"/>
    <n v="1999"/>
    <x v="15"/>
    <s v="R"/>
    <s v="RS"/>
    <x v="7"/>
    <s v="CHA"/>
    <s v="A"/>
    <n v="0"/>
    <n v="0"/>
    <n v="0"/>
    <n v="0"/>
    <n v="0"/>
    <n v="0"/>
    <n v="1369.1266622065236"/>
    <n v="1480.1162618167659"/>
    <n v="0.24555704923152785"/>
    <n v="56"/>
    <n v="63"/>
    <n v="0"/>
    <n v="-7"/>
    <n v="0"/>
    <n v="0.33877355481433535"/>
    <n v="1"/>
    <n v="73.599999999999994"/>
    <n v="73.599999999999994"/>
    <n v="-6.1226540575722215"/>
    <n v="1363.0040081489515"/>
    <n v="0"/>
    <n v="1"/>
    <n v="0"/>
    <n v="0"/>
    <n v="0"/>
    <n v="0"/>
    <n v="0"/>
    <n v="0"/>
    <n v="0"/>
    <n v="0"/>
  </r>
  <r>
    <d v="1999-07-17T00:00:00"/>
    <n v="1999"/>
    <x v="14"/>
    <s v="R"/>
    <s v="RS"/>
    <x v="6"/>
    <s v="WAS"/>
    <s v="H"/>
    <n v="0"/>
    <n v="0"/>
    <n v="0"/>
    <n v="0"/>
    <n v="0"/>
    <n v="0"/>
    <n v="1480.1162618167659"/>
    <n v="1369.1266622065236"/>
    <n v="0.75444295076847223"/>
    <n v="63"/>
    <n v="56"/>
    <n v="0"/>
    <n v="7"/>
    <n v="1"/>
    <n v="0.33877355481433535"/>
    <n v="1"/>
    <n v="73.75"/>
    <n v="73.75"/>
    <n v="6.1351322927439016"/>
    <n v="1486.2513941095099"/>
    <n v="1"/>
    <n v="0"/>
    <n v="0"/>
    <n v="0"/>
    <n v="0"/>
    <n v="0"/>
    <n v="0"/>
    <n v="0"/>
    <n v="0"/>
    <n v="0"/>
  </r>
  <r>
    <d v="1999-07-17T00:00:00"/>
    <n v="1999"/>
    <x v="17"/>
    <s v="R"/>
    <s v="RS"/>
    <x v="2"/>
    <s v="DET"/>
    <s v="A"/>
    <n v="0"/>
    <n v="0"/>
    <n v="0"/>
    <n v="0"/>
    <n v="0"/>
    <n v="0"/>
    <n v="1424.0891655270671"/>
    <n v="1488.546936448201"/>
    <n v="0.29847054716812671"/>
    <n v="61"/>
    <n v="77"/>
    <n v="0"/>
    <n v="-16"/>
    <n v="0"/>
    <n v="0.49139105553793011"/>
    <n v="1"/>
    <n v="73.3"/>
    <n v="73.3"/>
    <n v="-10.750600004220821"/>
    <n v="1413.3385655228462"/>
    <n v="0"/>
    <n v="1"/>
    <n v="0"/>
    <n v="0"/>
    <n v="0"/>
    <n v="0"/>
    <n v="0"/>
    <n v="0"/>
    <n v="0"/>
    <n v="0"/>
  </r>
  <r>
    <d v="1999-07-17T00:00:00"/>
    <n v="1999"/>
    <x v="15"/>
    <s v="R"/>
    <s v="RS"/>
    <x v="8"/>
    <s v="CLE"/>
    <s v="H"/>
    <n v="0"/>
    <n v="0"/>
    <n v="0"/>
    <n v="0"/>
    <n v="0"/>
    <n v="0"/>
    <n v="1488.546936448201"/>
    <n v="1424.0891655270671"/>
    <n v="0.70152945283187329"/>
    <n v="77"/>
    <n v="61"/>
    <n v="0"/>
    <n v="16"/>
    <n v="1"/>
    <n v="0.49139105553793011"/>
    <n v="1"/>
    <n v="73.599999999999994"/>
    <n v="73.599999999999994"/>
    <n v="10.794599731386798"/>
    <n v="1499.3415361795878"/>
    <n v="1"/>
    <n v="0"/>
    <n v="0"/>
    <n v="0"/>
    <n v="0"/>
    <n v="0"/>
    <n v="0"/>
    <n v="0"/>
    <n v="0"/>
    <n v="0"/>
  </r>
  <r>
    <d v="1999-07-17T00:00:00"/>
    <n v="1999"/>
    <x v="13"/>
    <s v="R"/>
    <s v="RS"/>
    <x v="3"/>
    <s v="MIN"/>
    <s v="A"/>
    <n v="5"/>
    <n v="4"/>
    <n v="1"/>
    <n v="-1"/>
    <n v="8"/>
    <n v="-8"/>
    <n v="1560.6984489728527"/>
    <n v="1511.9833314395962"/>
    <n v="0.47227529021220455"/>
    <n v="58"/>
    <n v="60"/>
    <n v="0"/>
    <n v="-2"/>
    <n v="0"/>
    <n v="0.25739224300136965"/>
    <n v="1"/>
    <n v="73.900000000000006"/>
    <n v="73.900000000000006"/>
    <n v="-8.9832837237501337"/>
    <n v="1551.7151652491025"/>
    <n v="0"/>
    <n v="1"/>
    <n v="0"/>
    <n v="0"/>
    <n v="0"/>
    <n v="0"/>
    <n v="0"/>
    <n v="0"/>
    <n v="0"/>
    <n v="0"/>
  </r>
  <r>
    <d v="1999-07-17T00:00:00"/>
    <n v="1999"/>
    <x v="13"/>
    <s v="R"/>
    <s v="RS"/>
    <x v="9"/>
    <s v="NYL"/>
    <s v="H"/>
    <n v="4"/>
    <n v="5"/>
    <n v="-1"/>
    <n v="1"/>
    <n v="-8"/>
    <n v="8"/>
    <n v="1511.9833314395962"/>
    <n v="1560.6984489728527"/>
    <n v="0.52772470978779551"/>
    <n v="60"/>
    <n v="58"/>
    <n v="0"/>
    <n v="2"/>
    <n v="1"/>
    <n v="0.25739224300136965"/>
    <n v="1"/>
    <n v="73.900000000000006"/>
    <n v="73.900000000000006"/>
    <n v="8.983283723750132"/>
    <n v="1520.9666151633464"/>
    <n v="1"/>
    <n v="0"/>
    <n v="0"/>
    <n v="0"/>
    <n v="0"/>
    <n v="0"/>
    <n v="0"/>
    <n v="0"/>
    <n v="0"/>
    <n v="0"/>
  </r>
  <r>
    <d v="1999-07-17T00:00:00"/>
    <n v="1999"/>
    <x v="16"/>
    <s v="R"/>
    <s v="RS"/>
    <x v="0"/>
    <s v="ORL"/>
    <s v="A"/>
    <n v="0"/>
    <n v="0"/>
    <n v="0"/>
    <n v="0"/>
    <n v="0"/>
    <n v="0"/>
    <n v="1570.762397325208"/>
    <n v="1466.4920745568634"/>
    <n v="0.52913828593643408"/>
    <n v="76"/>
    <n v="70"/>
    <n v="0"/>
    <n v="6"/>
    <n v="1"/>
    <n v="0.32319750434439687"/>
    <n v="1"/>
    <n v="73.45"/>
    <n v="73.45"/>
    <n v="11.177718752891375"/>
    <n v="1581.9401160780994"/>
    <n v="1"/>
    <n v="0"/>
    <n v="0"/>
    <n v="0"/>
    <n v="0"/>
    <n v="0"/>
    <n v="0"/>
    <n v="0"/>
    <n v="0"/>
    <n v="0"/>
  </r>
  <r>
    <d v="1999-07-17T00:00:00"/>
    <n v="1999"/>
    <x v="14"/>
    <s v="R"/>
    <s v="RS"/>
    <x v="5"/>
    <s v="SAC"/>
    <s v="H"/>
    <n v="0"/>
    <n v="0"/>
    <n v="0"/>
    <n v="0"/>
    <n v="0"/>
    <n v="0"/>
    <n v="1466.4920745568634"/>
    <n v="1570.762397325208"/>
    <n v="0.47086171406356586"/>
    <n v="70"/>
    <n v="76"/>
    <n v="0"/>
    <n v="-6"/>
    <n v="0"/>
    <n v="0.32319750434439687"/>
    <n v="1"/>
    <n v="73.75"/>
    <n v="73.75"/>
    <n v="-11.223373152154375"/>
    <n v="1455.268701404709"/>
    <n v="0"/>
    <n v="1"/>
    <n v="0"/>
    <n v="0"/>
    <n v="0"/>
    <n v="0"/>
    <n v="0"/>
    <n v="0"/>
    <n v="0"/>
    <n v="0"/>
  </r>
  <r>
    <d v="1999-07-17T00:00:00"/>
    <n v="1999"/>
    <x v="15"/>
    <s v="R"/>
    <s v="RS"/>
    <x v="1"/>
    <s v="PHX"/>
    <s v="A"/>
    <n v="5"/>
    <n v="4"/>
    <n v="1"/>
    <n v="-1"/>
    <n v="8"/>
    <n v="-8"/>
    <n v="1560.5225758451213"/>
    <n v="1475.7965924338237"/>
    <n v="0.52405204706560737"/>
    <n v="76"/>
    <n v="84"/>
    <n v="0"/>
    <n v="-8"/>
    <n v="0"/>
    <n v="0.36270663785152557"/>
    <n v="1"/>
    <n v="73.599999999999994"/>
    <n v="73.599999999999994"/>
    <n v="-13.989678685307664"/>
    <n v="1546.5328971598137"/>
    <n v="0"/>
    <n v="1"/>
    <n v="0"/>
    <n v="0"/>
    <n v="0"/>
    <n v="0"/>
    <n v="0"/>
    <n v="0"/>
    <n v="0"/>
    <n v="0"/>
  </r>
  <r>
    <d v="1999-07-17T00:00:00"/>
    <n v="1999"/>
    <x v="14"/>
    <s v="R"/>
    <s v="RS"/>
    <x v="10"/>
    <s v="LAS"/>
    <s v="H"/>
    <n v="4"/>
    <n v="5"/>
    <n v="-1"/>
    <n v="1"/>
    <n v="-8"/>
    <n v="8"/>
    <n v="1475.7965924338237"/>
    <n v="1560.5225758451213"/>
    <n v="0.47594795293439268"/>
    <n v="84"/>
    <n v="76"/>
    <n v="0"/>
    <n v="8"/>
    <n v="1"/>
    <n v="0.36270663785152557"/>
    <n v="1"/>
    <n v="73.75"/>
    <n v="73.75"/>
    <n v="14.018190258715221"/>
    <n v="1489.814782692539"/>
    <n v="1"/>
    <n v="0"/>
    <n v="0"/>
    <n v="0"/>
    <n v="0"/>
    <n v="0"/>
    <n v="0"/>
    <n v="0"/>
    <n v="0"/>
    <n v="0"/>
  </r>
  <r>
    <d v="1999-07-18T00:00:00"/>
    <n v="1999"/>
    <x v="16"/>
    <s v="R"/>
    <s v="RS"/>
    <x v="4"/>
    <s v="LAS"/>
    <s v="A"/>
    <n v="1"/>
    <n v="0"/>
    <n v="1"/>
    <n v="-1"/>
    <n v="8"/>
    <n v="-8"/>
    <n v="1696.2568758330381"/>
    <n v="1546.5328971598137"/>
    <n v="0.61548813875861452"/>
    <n v="65"/>
    <n v="78"/>
    <n v="0"/>
    <n v="-13"/>
    <n v="0"/>
    <n v="0.41968025739141318"/>
    <n v="1"/>
    <n v="73.45"/>
    <n v="73.45"/>
    <n v="-18.972738795400144"/>
    <n v="1677.2841370376379"/>
    <n v="0"/>
    <n v="1"/>
    <n v="0"/>
    <n v="0"/>
    <n v="0"/>
    <n v="0"/>
    <n v="0"/>
    <n v="0"/>
    <n v="0"/>
    <n v="0"/>
  </r>
  <r>
    <d v="1999-07-18T00:00:00"/>
    <n v="1999"/>
    <x v="16"/>
    <s v="R"/>
    <s v="RS"/>
    <x v="1"/>
    <s v="HOU"/>
    <s v="H"/>
    <n v="0"/>
    <n v="1"/>
    <n v="-1"/>
    <n v="1"/>
    <n v="-8"/>
    <n v="8"/>
    <n v="1546.5328971598137"/>
    <n v="1696.2568758330381"/>
    <n v="0.38451186124138548"/>
    <n v="78"/>
    <n v="65"/>
    <n v="0"/>
    <n v="13"/>
    <n v="1"/>
    <n v="0.41968025739141318"/>
    <n v="1"/>
    <n v="73.45"/>
    <n v="73.45"/>
    <n v="18.972738795400144"/>
    <n v="1565.5056359552138"/>
    <n v="1"/>
    <n v="0"/>
    <n v="0"/>
    <n v="0"/>
    <n v="0"/>
    <n v="0"/>
    <n v="0"/>
    <n v="0"/>
    <n v="0"/>
    <n v="0"/>
  </r>
  <r>
    <d v="1999-07-18T00:00:00"/>
    <n v="1999"/>
    <x v="14"/>
    <s v="R"/>
    <s v="RS"/>
    <x v="11"/>
    <s v="NYL"/>
    <s v="A"/>
    <n v="1"/>
    <n v="0"/>
    <n v="1"/>
    <n v="-1"/>
    <n v="8"/>
    <n v="-8"/>
    <n v="1394.9227100888718"/>
    <n v="1551.7151652491025"/>
    <n v="0.21517495301640435"/>
    <n v="82"/>
    <n v="88"/>
    <n v="1"/>
    <n v="-6"/>
    <n v="0"/>
    <n v="0.27961772674617924"/>
    <n v="1"/>
    <n v="73.75"/>
    <n v="73.75"/>
    <n v="-4.4372964271182642"/>
    <n v="1390.4854136617535"/>
    <n v="0"/>
    <n v="1"/>
    <n v="0"/>
    <n v="0"/>
    <n v="0"/>
    <n v="0"/>
    <n v="0"/>
    <n v="0"/>
    <n v="0"/>
    <n v="0"/>
  </r>
  <r>
    <d v="1999-07-18T00:00:00"/>
    <n v="1999"/>
    <x v="14"/>
    <s v="R"/>
    <s v="RS"/>
    <x v="3"/>
    <s v="UTA"/>
    <s v="H"/>
    <n v="0"/>
    <n v="1"/>
    <n v="-1"/>
    <n v="1"/>
    <n v="-8"/>
    <n v="8"/>
    <n v="1551.7151652491025"/>
    <n v="1394.9227100888718"/>
    <n v="0.78482504698359568"/>
    <n v="88"/>
    <n v="82"/>
    <n v="1"/>
    <n v="6"/>
    <n v="1"/>
    <n v="0.27961772674617924"/>
    <n v="1"/>
    <n v="73.75"/>
    <n v="73.75"/>
    <n v="4.4372964271182642"/>
    <n v="1556.1524616762208"/>
    <n v="1"/>
    <n v="0"/>
    <n v="0"/>
    <n v="0"/>
    <n v="0"/>
    <n v="0"/>
    <n v="0"/>
    <n v="0"/>
    <n v="0"/>
    <n v="0"/>
  </r>
  <r>
    <d v="1999-07-19T00:00:00"/>
    <n v="1999"/>
    <x v="15"/>
    <s v="R"/>
    <s v="RS"/>
    <x v="11"/>
    <s v="CHA"/>
    <s v="A"/>
    <n v="0"/>
    <n v="1"/>
    <n v="-1"/>
    <n v="1"/>
    <n v="-8"/>
    <n v="8"/>
    <n v="1390.4854136617535"/>
    <n v="1486.2513941095099"/>
    <n v="0.2447300311345221"/>
    <n v="66"/>
    <n v="73"/>
    <n v="0"/>
    <n v="-7"/>
    <n v="0"/>
    <n v="0.34275371763589119"/>
    <n v="1"/>
    <n v="73.599999999999994"/>
    <n v="73.599999999999994"/>
    <n v="-6.1737246199539566"/>
    <n v="1384.3116890417996"/>
    <n v="0"/>
    <n v="1"/>
    <n v="0"/>
    <n v="0"/>
    <n v="0"/>
    <n v="0"/>
    <n v="0"/>
    <n v="0"/>
    <n v="0"/>
    <n v="0"/>
  </r>
  <r>
    <d v="1999-07-19T00:00:00"/>
    <n v="1999"/>
    <x v="15"/>
    <s v="R"/>
    <s v="RS"/>
    <x v="6"/>
    <s v="UTA"/>
    <s v="H"/>
    <n v="1"/>
    <n v="0"/>
    <n v="1"/>
    <n v="-1"/>
    <n v="8"/>
    <n v="-8"/>
    <n v="1486.2513941095099"/>
    <n v="1390.4854136617535"/>
    <n v="0.75526996886547793"/>
    <n v="73"/>
    <n v="66"/>
    <n v="0"/>
    <n v="7"/>
    <n v="1"/>
    <n v="0.34275371763589119"/>
    <n v="1"/>
    <n v="73.599999999999994"/>
    <n v="73.599999999999994"/>
    <n v="6.1737246199539557"/>
    <n v="1492.4251187294637"/>
    <n v="1"/>
    <n v="0"/>
    <n v="0"/>
    <n v="0"/>
    <n v="0"/>
    <n v="0"/>
    <n v="0"/>
    <n v="0"/>
    <n v="0"/>
    <n v="0"/>
  </r>
  <r>
    <d v="1999-07-19T00:00:00"/>
    <n v="1999"/>
    <x v="17"/>
    <s v="R"/>
    <s v="RS"/>
    <x v="0"/>
    <s v="MIN"/>
    <s v="A"/>
    <n v="1"/>
    <n v="1"/>
    <n v="0"/>
    <n v="0"/>
    <n v="0"/>
    <n v="0"/>
    <n v="1581.9401160780994"/>
    <n v="1520.9666151633464"/>
    <n v="0.46691063769285712"/>
    <n v="69"/>
    <n v="76"/>
    <n v="0"/>
    <n v="-7"/>
    <n v="0"/>
    <n v="0.35221089631336266"/>
    <n v="1"/>
    <n v="73.3"/>
    <n v="73.3"/>
    <n v="-12.054259340863293"/>
    <n v="1569.8858567372361"/>
    <n v="0"/>
    <n v="1"/>
    <n v="0"/>
    <n v="0"/>
    <n v="0"/>
    <n v="0"/>
    <n v="0"/>
    <n v="0"/>
    <n v="0"/>
    <n v="0"/>
  </r>
  <r>
    <d v="1999-07-19T00:00:00"/>
    <n v="1999"/>
    <x v="14"/>
    <s v="R"/>
    <s v="RS"/>
    <x v="9"/>
    <s v="SAC"/>
    <s v="H"/>
    <n v="1"/>
    <n v="1"/>
    <n v="0"/>
    <n v="0"/>
    <n v="0"/>
    <n v="0"/>
    <n v="1520.9666151633464"/>
    <n v="1581.9401160780994"/>
    <n v="0.53308936230714288"/>
    <n v="76"/>
    <n v="69"/>
    <n v="0"/>
    <n v="7"/>
    <n v="1"/>
    <n v="0.35221089631336266"/>
    <n v="1"/>
    <n v="73.75"/>
    <n v="73.75"/>
    <n v="12.128262297253315"/>
    <n v="1533.0948774605997"/>
    <n v="1"/>
    <n v="0"/>
    <n v="0"/>
    <n v="0"/>
    <n v="0"/>
    <n v="0"/>
    <n v="0"/>
    <n v="0"/>
    <n v="0"/>
    <n v="0"/>
  </r>
  <r>
    <d v="1999-07-19T00:00:00"/>
    <n v="1999"/>
    <x v="17"/>
    <s v="R"/>
    <s v="RS"/>
    <x v="4"/>
    <s v="PHX"/>
    <s v="A"/>
    <n v="0"/>
    <n v="1"/>
    <n v="-1"/>
    <n v="1"/>
    <n v="-8"/>
    <n v="8"/>
    <n v="1677.2841370376379"/>
    <n v="1489.814782692539"/>
    <n v="0.62328479662611613"/>
    <n v="48"/>
    <n v="60"/>
    <n v="0"/>
    <n v="-12"/>
    <n v="0"/>
    <n v="0.39449904243125189"/>
    <n v="1"/>
    <n v="73.3"/>
    <n v="73.3"/>
    <n v="-18.023389223089396"/>
    <n v="1659.2607478145485"/>
    <n v="0"/>
    <n v="1"/>
    <n v="0"/>
    <n v="0"/>
    <n v="0"/>
    <n v="0"/>
    <n v="0"/>
    <n v="0"/>
    <n v="0"/>
    <n v="0"/>
  </r>
  <r>
    <d v="1999-07-19T00:00:00"/>
    <n v="1999"/>
    <x v="15"/>
    <s v="R"/>
    <s v="RS"/>
    <x v="10"/>
    <s v="HOU"/>
    <s v="H"/>
    <n v="1"/>
    <n v="0"/>
    <n v="1"/>
    <n v="-1"/>
    <n v="8"/>
    <n v="-8"/>
    <n v="1489.814782692539"/>
    <n v="1677.2841370376379"/>
    <n v="0.37671520337388392"/>
    <n v="60"/>
    <n v="48"/>
    <n v="0"/>
    <n v="12"/>
    <n v="1"/>
    <n v="0.39449904243125189"/>
    <n v="1"/>
    <n v="73.599999999999994"/>
    <n v="73.599999999999994"/>
    <n v="18.097154799718684"/>
    <n v="1507.9119374922577"/>
    <n v="1"/>
    <n v="0"/>
    <n v="0"/>
    <n v="0"/>
    <n v="0"/>
    <n v="0"/>
    <n v="0"/>
    <n v="0"/>
    <n v="0"/>
    <n v="0"/>
  </r>
  <r>
    <d v="1999-07-19T00:00:00"/>
    <n v="1999"/>
    <x v="15"/>
    <s v="R"/>
    <s v="RS"/>
    <x v="5"/>
    <s v="WAS"/>
    <s v="A"/>
    <n v="1"/>
    <n v="1"/>
    <n v="0"/>
    <n v="0"/>
    <n v="0"/>
    <n v="0"/>
    <n v="1455.268701404709"/>
    <n v="1363.0040081489515"/>
    <n v="0.51189160679152568"/>
    <n v="77"/>
    <n v="52"/>
    <n v="0"/>
    <n v="25"/>
    <n v="1"/>
    <n v="0.59555417561833091"/>
    <n v="1"/>
    <n v="73.599999999999994"/>
    <n v="73.599999999999994"/>
    <n v="21.395151391303049"/>
    <n v="1476.663852796012"/>
    <n v="1"/>
    <n v="0"/>
    <n v="0"/>
    <n v="0"/>
    <n v="0"/>
    <n v="0"/>
    <n v="0"/>
    <n v="0"/>
    <n v="0"/>
    <n v="0"/>
  </r>
  <r>
    <d v="1999-07-19T00:00:00"/>
    <n v="1999"/>
    <x v="16"/>
    <s v="R"/>
    <s v="RS"/>
    <x v="7"/>
    <s v="ORL"/>
    <s v="H"/>
    <n v="1"/>
    <n v="1"/>
    <n v="0"/>
    <n v="0"/>
    <n v="0"/>
    <n v="0"/>
    <n v="1363.0040081489515"/>
    <n v="1455.268701404709"/>
    <n v="0.48810839320847432"/>
    <n v="52"/>
    <n v="77"/>
    <n v="0"/>
    <n v="-25"/>
    <n v="0"/>
    <n v="0.59555417561833091"/>
    <n v="1"/>
    <n v="73.45"/>
    <n v="73.45"/>
    <n v="-21.351547142543605"/>
    <n v="1341.652461006408"/>
    <n v="0"/>
    <n v="1"/>
    <n v="0"/>
    <n v="0"/>
    <n v="0"/>
    <n v="0"/>
    <n v="0"/>
    <n v="0"/>
    <n v="0"/>
    <n v="0"/>
  </r>
  <r>
    <d v="1999-07-20T00:00:00"/>
    <n v="1999"/>
    <x v="16"/>
    <s v="R"/>
    <s v="RS"/>
    <x v="5"/>
    <s v="NYL"/>
    <s v="A"/>
    <n v="0"/>
    <n v="1"/>
    <n v="-1"/>
    <n v="1"/>
    <n v="-8"/>
    <n v="8"/>
    <n v="1476.663852796012"/>
    <n v="1556.1524616762208"/>
    <n v="0.26246041553525085"/>
    <n v="56"/>
    <n v="61"/>
    <n v="0"/>
    <n v="-5"/>
    <n v="0"/>
    <n v="0.3111455372017069"/>
    <n v="1"/>
    <n v="73.45"/>
    <n v="73.45"/>
    <n v="-5.9981757741142703"/>
    <n v="1470.6656770218976"/>
    <n v="0"/>
    <n v="1"/>
    <n v="0"/>
    <n v="0"/>
    <n v="0"/>
    <n v="0"/>
    <n v="0"/>
    <n v="0"/>
    <n v="0"/>
    <n v="0"/>
  </r>
  <r>
    <d v="1999-07-20T00:00:00"/>
    <n v="1999"/>
    <x v="15"/>
    <s v="R"/>
    <s v="RS"/>
    <x v="3"/>
    <s v="ORL"/>
    <s v="H"/>
    <n v="1"/>
    <n v="0"/>
    <n v="1"/>
    <n v="-1"/>
    <n v="8"/>
    <n v="-8"/>
    <n v="1556.1524616762208"/>
    <n v="1476.663852796012"/>
    <n v="0.7375395844647491"/>
    <n v="61"/>
    <n v="56"/>
    <n v="0"/>
    <n v="5"/>
    <n v="1"/>
    <n v="0.3111455372017069"/>
    <n v="1"/>
    <n v="73.599999999999994"/>
    <n v="73.599999999999994"/>
    <n v="6.0104252821621564"/>
    <n v="1562.1628869583831"/>
    <n v="1"/>
    <n v="0"/>
    <n v="0"/>
    <n v="0"/>
    <n v="0"/>
    <n v="0"/>
    <n v="0"/>
    <n v="0"/>
    <n v="0"/>
    <n v="0"/>
  </r>
  <r>
    <d v="1999-07-21T00:00:00"/>
    <n v="1999"/>
    <x v="15"/>
    <s v="R"/>
    <s v="RS"/>
    <x v="9"/>
    <s v="CHA"/>
    <s v="A"/>
    <n v="1"/>
    <n v="1"/>
    <n v="0"/>
    <n v="0"/>
    <n v="0"/>
    <n v="0"/>
    <n v="1533.0948774605997"/>
    <n v="1492.4251187294637"/>
    <n v="0.43796406658648612"/>
    <n v="76"/>
    <n v="67"/>
    <n v="0"/>
    <n v="9"/>
    <n v="1"/>
    <n v="0.39266358283362052"/>
    <n v="1"/>
    <n v="73.599999999999994"/>
    <n v="73.599999999999994"/>
    <n v="16.242860786540597"/>
    <n v="1549.3377382471404"/>
    <n v="1"/>
    <n v="0"/>
    <n v="0"/>
    <n v="0"/>
    <n v="0"/>
    <n v="0"/>
    <n v="0"/>
    <n v="0"/>
    <n v="0"/>
    <n v="0"/>
  </r>
  <r>
    <d v="1999-07-21T00:00:00"/>
    <n v="1999"/>
    <x v="16"/>
    <s v="R"/>
    <s v="RS"/>
    <x v="6"/>
    <s v="MIN"/>
    <s v="H"/>
    <n v="1"/>
    <n v="1"/>
    <n v="0"/>
    <n v="0"/>
    <n v="0"/>
    <n v="0"/>
    <n v="1492.4251187294637"/>
    <n v="1533.0948774605997"/>
    <n v="0.56203593341351377"/>
    <n v="67"/>
    <n v="76"/>
    <n v="0"/>
    <n v="-9"/>
    <n v="0"/>
    <n v="0.39266358283362052"/>
    <n v="1"/>
    <n v="73.45"/>
    <n v="73.45"/>
    <n v="-16.209757130046285"/>
    <n v="1476.2153615994175"/>
    <n v="0"/>
    <n v="1"/>
    <n v="0"/>
    <n v="0"/>
    <n v="0"/>
    <n v="0"/>
    <n v="0"/>
    <n v="0"/>
    <n v="0"/>
    <n v="0"/>
  </r>
  <r>
    <d v="1999-07-21T00:00:00"/>
    <n v="1999"/>
    <x v="16"/>
    <s v="R"/>
    <s v="RS"/>
    <x v="11"/>
    <s v="DET"/>
    <s v="A"/>
    <n v="1"/>
    <n v="3"/>
    <n v="-2"/>
    <n v="2"/>
    <n v="-16"/>
    <n v="16"/>
    <n v="1384.3116890417996"/>
    <n v="1499.3415361795878"/>
    <n v="0.20917347433293429"/>
    <n v="77"/>
    <n v="86"/>
    <n v="0"/>
    <n v="-9"/>
    <n v="0"/>
    <n v="0.37045990525388156"/>
    <n v="1"/>
    <n v="73.45"/>
    <n v="73.45"/>
    <n v="-5.6916688137266487"/>
    <n v="1378.6200202280729"/>
    <n v="0"/>
    <n v="1"/>
    <n v="0"/>
    <n v="0"/>
    <n v="0"/>
    <n v="0"/>
    <n v="0"/>
    <n v="0"/>
    <n v="0"/>
    <n v="0"/>
  </r>
  <r>
    <d v="1999-07-21T00:00:00"/>
    <n v="1999"/>
    <x v="16"/>
    <s v="R"/>
    <s v="RS"/>
    <x v="8"/>
    <s v="UTA"/>
    <s v="H"/>
    <n v="3"/>
    <n v="1"/>
    <n v="2"/>
    <n v="-2"/>
    <n v="16"/>
    <n v="-16"/>
    <n v="1499.3415361795878"/>
    <n v="1384.3116890417996"/>
    <n v="0.79082652566706568"/>
    <n v="86"/>
    <n v="77"/>
    <n v="0"/>
    <n v="9"/>
    <n v="1"/>
    <n v="0.37045990525388156"/>
    <n v="1"/>
    <n v="73.45"/>
    <n v="73.45"/>
    <n v="5.6916688137266496"/>
    <n v="1505.0332049933145"/>
    <n v="1"/>
    <n v="0"/>
    <n v="0"/>
    <n v="0"/>
    <n v="0"/>
    <n v="0"/>
    <n v="0"/>
    <n v="0"/>
    <n v="0"/>
    <n v="0"/>
  </r>
  <r>
    <d v="1999-07-21T00:00:00"/>
    <n v="1999"/>
    <x v="16"/>
    <s v="R"/>
    <s v="RS"/>
    <x v="10"/>
    <s v="LAS"/>
    <s v="A"/>
    <n v="1"/>
    <n v="2"/>
    <n v="-1"/>
    <n v="1"/>
    <n v="-8"/>
    <n v="8"/>
    <n v="1507.9119374922577"/>
    <n v="1565.5056359552138"/>
    <n v="0.28757678151681287"/>
    <n v="63"/>
    <n v="84"/>
    <n v="0"/>
    <n v="-21"/>
    <n v="0"/>
    <n v="0.56162141094386953"/>
    <n v="1"/>
    <n v="73.45"/>
    <n v="73.45"/>
    <n v="-11.86285645368794"/>
    <n v="1496.0490810385697"/>
    <n v="0"/>
    <n v="1"/>
    <n v="0"/>
    <n v="0"/>
    <n v="0"/>
    <n v="0"/>
    <n v="0"/>
    <n v="0"/>
    <n v="0"/>
    <n v="0"/>
  </r>
  <r>
    <d v="1999-07-21T00:00:00"/>
    <n v="1999"/>
    <x v="17"/>
    <s v="R"/>
    <s v="RS"/>
    <x v="1"/>
    <s v="PHX"/>
    <s v="H"/>
    <n v="2"/>
    <n v="1"/>
    <n v="1"/>
    <n v="-1"/>
    <n v="8"/>
    <n v="-8"/>
    <n v="1565.5056359552138"/>
    <n v="1507.9119374922577"/>
    <n v="0.71242321848318713"/>
    <n v="84"/>
    <n v="63"/>
    <n v="0"/>
    <n v="21"/>
    <n v="1"/>
    <n v="0.56162141094386953"/>
    <n v="1"/>
    <n v="73.3"/>
    <n v="73.3"/>
    <n v="11.838630062019412"/>
    <n v="1577.3442660172332"/>
    <n v="1"/>
    <n v="0"/>
    <n v="0"/>
    <n v="0"/>
    <n v="0"/>
    <n v="0"/>
    <n v="0"/>
    <n v="0"/>
    <n v="0"/>
    <n v="0"/>
  </r>
  <r>
    <d v="1999-07-21T00:00:00"/>
    <n v="1999"/>
    <x v="18"/>
    <s v="R"/>
    <s v="RS"/>
    <x v="2"/>
    <s v="WAS"/>
    <s v="A"/>
    <n v="3"/>
    <n v="1"/>
    <n v="2"/>
    <n v="-2"/>
    <n v="16"/>
    <n v="-16"/>
    <n v="1413.3385655228462"/>
    <n v="1341.652461006408"/>
    <n v="0.52830030230757408"/>
    <n v="85"/>
    <n v="68"/>
    <n v="0"/>
    <n v="17"/>
    <n v="1"/>
    <n v="0.50242782446801337"/>
    <n v="1"/>
    <n v="73.150000000000006"/>
    <n v="73.150000000000006"/>
    <n v="17.336188120646312"/>
    <n v="1430.6747536434925"/>
    <n v="1"/>
    <n v="0"/>
    <n v="0"/>
    <n v="0"/>
    <n v="0"/>
    <n v="0"/>
    <n v="0"/>
    <n v="0"/>
    <n v="0"/>
    <n v="0"/>
  </r>
  <r>
    <d v="1999-07-21T00:00:00"/>
    <n v="1999"/>
    <x v="17"/>
    <s v="R"/>
    <s v="RS"/>
    <x v="7"/>
    <s v="CLE"/>
    <s v="H"/>
    <n v="1"/>
    <n v="3"/>
    <n v="-2"/>
    <n v="2"/>
    <n v="-16"/>
    <n v="16"/>
    <n v="1341.652461006408"/>
    <n v="1413.3385655228462"/>
    <n v="0.47169969769242598"/>
    <n v="68"/>
    <n v="85"/>
    <n v="0"/>
    <n v="-17"/>
    <n v="0"/>
    <n v="0.50242782446801337"/>
    <n v="1"/>
    <n v="73.3"/>
    <n v="73.3"/>
    <n v="-17.371737378583383"/>
    <n v="1324.2807236278245"/>
    <n v="0"/>
    <n v="1"/>
    <n v="0"/>
    <n v="0"/>
    <n v="0"/>
    <n v="0"/>
    <n v="0"/>
    <n v="0"/>
    <n v="0"/>
    <n v="0"/>
  </r>
  <r>
    <d v="1999-07-22T00:00:00"/>
    <n v="1999"/>
    <x v="16"/>
    <s v="R"/>
    <s v="RS"/>
    <x v="3"/>
    <s v="SAC"/>
    <s v="A"/>
    <n v="1"/>
    <n v="2"/>
    <n v="-1"/>
    <n v="1"/>
    <n v="-8"/>
    <n v="8"/>
    <n v="1562.1628869583831"/>
    <n v="1569.8858567372361"/>
    <n v="0.3497579666962316"/>
    <n v="55"/>
    <n v="71"/>
    <n v="0"/>
    <n v="-16"/>
    <n v="0"/>
    <n v="0.51447497007517284"/>
    <n v="1"/>
    <n v="73.45"/>
    <n v="73.45"/>
    <n v="-13.216719293572906"/>
    <n v="1548.9461676648102"/>
    <n v="0"/>
    <n v="1"/>
    <n v="0"/>
    <n v="0"/>
    <n v="0"/>
    <n v="0"/>
    <n v="0"/>
    <n v="0"/>
    <n v="0"/>
    <n v="0"/>
  </r>
  <r>
    <d v="1999-07-22T00:00:00"/>
    <n v="1999"/>
    <x v="18"/>
    <s v="R"/>
    <s v="RS"/>
    <x v="0"/>
    <s v="NYL"/>
    <s v="H"/>
    <n v="2"/>
    <n v="1"/>
    <n v="1"/>
    <n v="-1"/>
    <n v="8"/>
    <n v="-8"/>
    <n v="1569.8858567372361"/>
    <n v="1562.1628869583831"/>
    <n v="0.6502420333037684"/>
    <n v="71"/>
    <n v="55"/>
    <n v="0"/>
    <n v="16"/>
    <n v="1"/>
    <n v="0.51447497007517284"/>
    <n v="1"/>
    <n v="73.150000000000006"/>
    <n v="73.150000000000006"/>
    <n v="13.162736777738026"/>
    <n v="1583.0485935149741"/>
    <n v="1"/>
    <n v="0"/>
    <n v="0"/>
    <n v="0"/>
    <n v="0"/>
    <n v="0"/>
    <n v="0"/>
    <n v="0"/>
    <n v="0"/>
    <n v="0"/>
  </r>
  <r>
    <d v="1999-07-23T00:00:00"/>
    <n v="1999"/>
    <x v="18"/>
    <s v="R"/>
    <s v="RS"/>
    <x v="4"/>
    <s v="CHA"/>
    <s v="A"/>
    <n v="3"/>
    <n v="1"/>
    <n v="2"/>
    <n v="-2"/>
    <n v="16"/>
    <n v="-16"/>
    <n v="1659.2607478145485"/>
    <n v="1476.2153615994175"/>
    <n v="0.68012751747258549"/>
    <n v="75"/>
    <n v="62"/>
    <n v="0"/>
    <n v="13"/>
    <n v="1"/>
    <n v="0.40956899348553277"/>
    <n v="1"/>
    <n v="73.150000000000006"/>
    <n v="73.150000000000006"/>
    <n v="9.5833705796173145"/>
    <n v="1668.8441183941659"/>
    <n v="1"/>
    <n v="0"/>
    <n v="0"/>
    <n v="0"/>
    <n v="0"/>
    <n v="0"/>
    <n v="0"/>
    <n v="0"/>
    <n v="0"/>
    <n v="0"/>
  </r>
  <r>
    <d v="1999-07-23T00:00:00"/>
    <n v="1999"/>
    <x v="17"/>
    <s v="R"/>
    <s v="RS"/>
    <x v="6"/>
    <s v="HOU"/>
    <s v="H"/>
    <n v="1"/>
    <n v="3"/>
    <n v="-2"/>
    <n v="2"/>
    <n v="-16"/>
    <n v="16"/>
    <n v="1476.2153615994175"/>
    <n v="1659.2607478145485"/>
    <n v="0.31987248252741451"/>
    <n v="62"/>
    <n v="75"/>
    <n v="0"/>
    <n v="-13"/>
    <n v="0"/>
    <n v="0.40956899348553277"/>
    <n v="1"/>
    <n v="73.3"/>
    <n v="73.3"/>
    <n v="-9.6030220572241838"/>
    <n v="1466.6123395421932"/>
    <n v="0"/>
    <n v="1"/>
    <n v="0"/>
    <n v="0"/>
    <n v="0"/>
    <n v="0"/>
    <n v="0"/>
    <n v="0"/>
    <n v="0"/>
    <n v="0"/>
  </r>
  <r>
    <d v="1999-07-23T00:00:00"/>
    <n v="1999"/>
    <x v="17"/>
    <s v="R"/>
    <s v="RS"/>
    <x v="8"/>
    <s v="CLE"/>
    <s v="A"/>
    <n v="1"/>
    <n v="1"/>
    <n v="0"/>
    <n v="0"/>
    <n v="0"/>
    <n v="0"/>
    <n v="1505.0332049933145"/>
    <n v="1430.6747536434925"/>
    <n v="0.48612825680419874"/>
    <n v="69"/>
    <n v="60"/>
    <n v="0"/>
    <n v="9"/>
    <n v="1"/>
    <n v="0.38228320458869097"/>
    <n v="1"/>
    <n v="73.3"/>
    <n v="73.3"/>
    <n v="14.399384542783087"/>
    <n v="1519.4325895360976"/>
    <n v="1"/>
    <n v="0"/>
    <n v="0"/>
    <n v="0"/>
    <n v="0"/>
    <n v="0"/>
    <n v="0"/>
    <n v="0"/>
    <n v="0"/>
    <n v="0"/>
  </r>
  <r>
    <d v="1999-07-23T00:00:00"/>
    <n v="1999"/>
    <x v="19"/>
    <s v="R"/>
    <s v="RS"/>
    <x v="2"/>
    <s v="DET"/>
    <s v="H"/>
    <n v="1"/>
    <n v="1"/>
    <n v="0"/>
    <n v="0"/>
    <n v="0"/>
    <n v="0"/>
    <n v="1430.6747536434925"/>
    <n v="1505.0332049933145"/>
    <n v="0.51387174319580131"/>
    <n v="60"/>
    <n v="69"/>
    <n v="0"/>
    <n v="-9"/>
    <n v="0"/>
    <n v="0.38228320458869097"/>
    <n v="1"/>
    <n v="73"/>
    <n v="73"/>
    <n v="-14.340451181762148"/>
    <n v="1416.3343024617304"/>
    <n v="0"/>
    <n v="1"/>
    <n v="0"/>
    <n v="0"/>
    <n v="0"/>
    <n v="0"/>
    <n v="0"/>
    <n v="0"/>
    <n v="0"/>
    <n v="0"/>
  </r>
  <r>
    <d v="1999-07-23T00:00:00"/>
    <n v="1999"/>
    <x v="18"/>
    <s v="R"/>
    <s v="RS"/>
    <x v="7"/>
    <s v="MIN"/>
    <s v="A"/>
    <n v="1"/>
    <n v="1"/>
    <n v="0"/>
    <n v="0"/>
    <n v="0"/>
    <n v="0"/>
    <n v="1324.2807236278245"/>
    <n v="1549.3377382471404"/>
    <n v="0.14441736734431707"/>
    <n v="60"/>
    <n v="55"/>
    <n v="0"/>
    <n v="5"/>
    <n v="1"/>
    <n v="0.27936227566294675"/>
    <n v="1"/>
    <n v="73.150000000000006"/>
    <n v="73.150000000000006"/>
    <n v="17.48413094986768"/>
    <n v="1341.7648545776922"/>
    <n v="1"/>
    <n v="0"/>
    <n v="0"/>
    <n v="0"/>
    <n v="0"/>
    <n v="0"/>
    <n v="0"/>
    <n v="0"/>
    <n v="0"/>
    <n v="0"/>
  </r>
  <r>
    <d v="1999-07-23T00:00:00"/>
    <n v="1999"/>
    <x v="16"/>
    <s v="R"/>
    <s v="RS"/>
    <x v="9"/>
    <s v="WAS"/>
    <s v="H"/>
    <n v="1"/>
    <n v="1"/>
    <n v="0"/>
    <n v="0"/>
    <n v="0"/>
    <n v="0"/>
    <n v="1549.3377382471404"/>
    <n v="1324.2807236278245"/>
    <n v="0.85558263265568291"/>
    <n v="55"/>
    <n v="60"/>
    <n v="0"/>
    <n v="-5"/>
    <n v="0"/>
    <n v="0.27936227566294675"/>
    <n v="1"/>
    <n v="73.45"/>
    <n v="73.45"/>
    <n v="-17.555836203250596"/>
    <n v="1531.7819020438897"/>
    <n v="0"/>
    <n v="1"/>
    <n v="0"/>
    <n v="0"/>
    <n v="0"/>
    <n v="0"/>
    <n v="0"/>
    <n v="0"/>
    <n v="0"/>
    <n v="0"/>
  </r>
  <r>
    <d v="1999-07-23T00:00:00"/>
    <n v="1999"/>
    <x v="17"/>
    <s v="R"/>
    <s v="RS"/>
    <x v="5"/>
    <s v="PHX"/>
    <s v="A"/>
    <n v="2"/>
    <n v="1"/>
    <n v="1"/>
    <n v="-1"/>
    <n v="8"/>
    <n v="-8"/>
    <n v="1470.6656770218976"/>
    <n v="1496.0490810385697"/>
    <n v="0.36875581653402428"/>
    <n v="67"/>
    <n v="73"/>
    <n v="0"/>
    <n v="-6"/>
    <n v="0"/>
    <n v="0.3440040985763626"/>
    <n v="1"/>
    <n v="73.3"/>
    <n v="73.3"/>
    <n v="-9.298362448773636"/>
    <n v="1461.3673145731241"/>
    <n v="0"/>
    <n v="1"/>
    <n v="0"/>
    <n v="0"/>
    <n v="0"/>
    <n v="0"/>
    <n v="0"/>
    <n v="0"/>
    <n v="0"/>
    <n v="0"/>
  </r>
  <r>
    <d v="1999-07-23T00:00:00"/>
    <n v="1999"/>
    <x v="17"/>
    <s v="R"/>
    <s v="RS"/>
    <x v="10"/>
    <s v="ORL"/>
    <s v="H"/>
    <n v="1"/>
    <n v="2"/>
    <n v="-1"/>
    <n v="1"/>
    <n v="-8"/>
    <n v="8"/>
    <n v="1496.0490810385697"/>
    <n v="1470.6656770218976"/>
    <n v="0.63124418346597566"/>
    <n v="73"/>
    <n v="67"/>
    <n v="0"/>
    <n v="6"/>
    <n v="1"/>
    <n v="0.3440040985763626"/>
    <n v="1"/>
    <n v="73.3"/>
    <n v="73.3"/>
    <n v="9.298362448773636"/>
    <n v="1505.3474434873433"/>
    <n v="1"/>
    <n v="0"/>
    <n v="0"/>
    <n v="0"/>
    <n v="0"/>
    <n v="0"/>
    <n v="0"/>
    <n v="0"/>
    <n v="0"/>
    <n v="0"/>
  </r>
  <r>
    <d v="1999-07-24T00:00:00"/>
    <n v="1999"/>
    <x v="17"/>
    <s v="R"/>
    <s v="RS"/>
    <x v="11"/>
    <s v="CLE"/>
    <s v="A"/>
    <n v="2"/>
    <n v="0"/>
    <n v="2"/>
    <n v="-2"/>
    <n v="16"/>
    <n v="-16"/>
    <n v="1378.6200202280729"/>
    <n v="1416.3343024617304"/>
    <n v="0.37368577717831952"/>
    <n v="76"/>
    <n v="70"/>
    <n v="0"/>
    <n v="6"/>
    <n v="1"/>
    <n v="0.34057691614292263"/>
    <n v="1"/>
    <n v="73.3"/>
    <n v="73.3"/>
    <n v="15.635488607752841"/>
    <n v="1394.2555088358258"/>
    <n v="1"/>
    <n v="0"/>
    <n v="0"/>
    <n v="0"/>
    <n v="0"/>
    <n v="0"/>
    <n v="0"/>
    <n v="0"/>
    <n v="0"/>
    <n v="0"/>
  </r>
  <r>
    <d v="1999-07-24T00:00:00"/>
    <n v="1999"/>
    <x v="20"/>
    <s v="R"/>
    <s v="RS"/>
    <x v="2"/>
    <s v="UTA"/>
    <s v="H"/>
    <n v="0"/>
    <n v="2"/>
    <n v="-2"/>
    <n v="2"/>
    <n v="-16"/>
    <n v="16"/>
    <n v="1416.3343024617304"/>
    <n v="1378.6200202280729"/>
    <n v="0.62631422282168048"/>
    <n v="70"/>
    <n v="76"/>
    <n v="0"/>
    <n v="-6"/>
    <n v="0"/>
    <n v="0.34057691614292263"/>
    <n v="1"/>
    <n v="72.849999999999994"/>
    <n v="72.849999999999994"/>
    <n v="-15.539499932807564"/>
    <n v="1400.7948025289229"/>
    <n v="0"/>
    <n v="1"/>
    <n v="0"/>
    <n v="0"/>
    <n v="0"/>
    <n v="0"/>
    <n v="0"/>
    <n v="0"/>
    <n v="0"/>
    <n v="0"/>
  </r>
  <r>
    <d v="1999-07-24T00:00:00"/>
    <n v="1999"/>
    <x v="17"/>
    <s v="R"/>
    <s v="RS"/>
    <x v="3"/>
    <s v="LAS"/>
    <s v="A"/>
    <n v="1"/>
    <n v="2"/>
    <n v="-1"/>
    <n v="1"/>
    <n v="-8"/>
    <n v="8"/>
    <n v="1548.9461676648102"/>
    <n v="1577.3442660172332"/>
    <n v="0.32319685309222812"/>
    <n v="72"/>
    <n v="75"/>
    <n v="1"/>
    <n v="-3"/>
    <n v="0"/>
    <n v="0.2551275545012216"/>
    <n v="1"/>
    <n v="73.3"/>
    <n v="73.3"/>
    <n v="-6.0440557877150569"/>
    <n v="1542.9021118770952"/>
    <n v="0"/>
    <n v="1"/>
    <n v="0"/>
    <n v="0"/>
    <n v="0"/>
    <n v="0"/>
    <n v="0"/>
    <n v="0"/>
    <n v="0"/>
    <n v="0"/>
  </r>
  <r>
    <d v="1999-07-24T00:00:00"/>
    <n v="1999"/>
    <x v="18"/>
    <s v="R"/>
    <s v="RS"/>
    <x v="1"/>
    <s v="NYL"/>
    <s v="H"/>
    <n v="2"/>
    <n v="1"/>
    <n v="1"/>
    <n v="-1"/>
    <n v="8"/>
    <n v="-8"/>
    <n v="1577.3442660172332"/>
    <n v="1548.9461676648102"/>
    <n v="0.67680314690777188"/>
    <n v="75"/>
    <n v="72"/>
    <n v="1"/>
    <n v="3"/>
    <n v="1"/>
    <n v="0.2551275545012216"/>
    <n v="1"/>
    <n v="73.150000000000006"/>
    <n v="73.150000000000006"/>
    <n v="6.0316873243022711"/>
    <n v="1583.3759533415355"/>
    <n v="1"/>
    <n v="0"/>
    <n v="0"/>
    <n v="0"/>
    <n v="0"/>
    <n v="0"/>
    <n v="0"/>
    <n v="0"/>
    <n v="0"/>
    <n v="0"/>
  </r>
  <r>
    <d v="1999-07-24T00:00:00"/>
    <n v="1999"/>
    <x v="18"/>
    <s v="R"/>
    <s v="RS"/>
    <x v="5"/>
    <s v="SAC"/>
    <s v="A"/>
    <n v="0"/>
    <n v="1"/>
    <n v="-1"/>
    <n v="1"/>
    <n v="-8"/>
    <n v="8"/>
    <n v="1461.3673145731241"/>
    <n v="1583.0485935149741"/>
    <n v="0.21821481757297928"/>
    <n v="73"/>
    <n v="64"/>
    <n v="0"/>
    <n v="9"/>
    <n v="1"/>
    <n v="0.3685955459448747"/>
    <n v="1"/>
    <n v="73.150000000000006"/>
    <n v="73.150000000000006"/>
    <n v="21.079089517785235"/>
    <n v="1482.4464040909093"/>
    <n v="1"/>
    <n v="0"/>
    <n v="0"/>
    <n v="0"/>
    <n v="0"/>
    <n v="0"/>
    <n v="0"/>
    <n v="0"/>
    <n v="0"/>
    <n v="0"/>
  </r>
  <r>
    <d v="1999-07-24T00:00:00"/>
    <n v="1999"/>
    <x v="19"/>
    <s v="R"/>
    <s v="RS"/>
    <x v="0"/>
    <s v="ORL"/>
    <s v="H"/>
    <n v="1"/>
    <n v="0"/>
    <n v="1"/>
    <n v="-1"/>
    <n v="8"/>
    <n v="-8"/>
    <n v="1583.0485935149741"/>
    <n v="1461.3673145731241"/>
    <n v="0.78178518242702066"/>
    <n v="64"/>
    <n v="73"/>
    <n v="0"/>
    <n v="-9"/>
    <n v="0"/>
    <n v="0.3685955459448747"/>
    <n v="1"/>
    <n v="73"/>
    <n v="73"/>
    <n v="-21.035865137365985"/>
    <n v="1562.012728377608"/>
    <n v="0"/>
    <n v="1"/>
    <n v="0"/>
    <n v="0"/>
    <n v="0"/>
    <n v="0"/>
    <n v="0"/>
    <n v="0"/>
    <n v="0"/>
    <n v="0"/>
  </r>
  <r>
    <d v="1999-07-25T00:00:00"/>
    <n v="1999"/>
    <x v="18"/>
    <s v="R"/>
    <s v="RS"/>
    <x v="6"/>
    <s v="DET"/>
    <s v="A"/>
    <n v="1"/>
    <n v="1"/>
    <n v="0"/>
    <n v="0"/>
    <n v="0"/>
    <n v="0"/>
    <n v="1466.6123395421932"/>
    <n v="1519.4325895360976"/>
    <n v="0.31268408409860382"/>
    <n v="78"/>
    <n v="66"/>
    <n v="0"/>
    <n v="12"/>
    <n v="1"/>
    <n v="0.43689853488121067"/>
    <n v="1"/>
    <n v="73.150000000000006"/>
    <n v="73.150000000000006"/>
    <n v="21.966017213522267"/>
    <n v="1488.5783567557155"/>
    <n v="1"/>
    <n v="0"/>
    <n v="0"/>
    <n v="0"/>
    <n v="0"/>
    <n v="0"/>
    <n v="0"/>
    <n v="0"/>
    <n v="0"/>
    <n v="0"/>
  </r>
  <r>
    <d v="1999-07-25T00:00:00"/>
    <n v="1999"/>
    <x v="18"/>
    <s v="R"/>
    <s v="RS"/>
    <x v="8"/>
    <s v="CHA"/>
    <s v="H"/>
    <n v="1"/>
    <n v="1"/>
    <n v="0"/>
    <n v="0"/>
    <n v="0"/>
    <n v="0"/>
    <n v="1519.4325895360976"/>
    <n v="1466.6123395421932"/>
    <n v="0.68731591590139607"/>
    <n v="66"/>
    <n v="78"/>
    <n v="0"/>
    <n v="-12"/>
    <n v="0"/>
    <n v="0.43689853488121067"/>
    <n v="1"/>
    <n v="73.150000000000006"/>
    <n v="73.150000000000006"/>
    <n v="-21.966017213522264"/>
    <n v="1497.4665723225753"/>
    <n v="0"/>
    <n v="1"/>
    <n v="0"/>
    <n v="0"/>
    <n v="0"/>
    <n v="0"/>
    <n v="0"/>
    <n v="0"/>
    <n v="0"/>
    <n v="0"/>
  </r>
  <r>
    <d v="1999-07-25T00:00:00"/>
    <n v="1999"/>
    <x v="19"/>
    <s v="R"/>
    <s v="RS"/>
    <x v="4"/>
    <s v="MIN"/>
    <s v="A"/>
    <n v="1"/>
    <n v="1"/>
    <n v="0"/>
    <n v="0"/>
    <n v="0"/>
    <n v="0"/>
    <n v="1668.8441183941659"/>
    <n v="1531.7819020438897"/>
    <n v="0.57577443488430646"/>
    <n v="62"/>
    <n v="57"/>
    <n v="0"/>
    <n v="5"/>
    <n v="1"/>
    <n v="0.29774767821963743"/>
    <n v="1"/>
    <n v="73"/>
    <n v="73"/>
    <n v="9.2207889249866302"/>
    <n v="1678.0649073191526"/>
    <n v="1"/>
    <n v="0"/>
    <n v="0"/>
    <n v="0"/>
    <n v="0"/>
    <n v="0"/>
    <n v="0"/>
    <n v="0"/>
    <n v="0"/>
    <n v="0"/>
  </r>
  <r>
    <d v="1999-07-25T00:00:00"/>
    <n v="1999"/>
    <x v="17"/>
    <s v="R"/>
    <s v="RS"/>
    <x v="9"/>
    <s v="HOU"/>
    <s v="H"/>
    <n v="1"/>
    <n v="1"/>
    <n v="0"/>
    <n v="0"/>
    <n v="0"/>
    <n v="0"/>
    <n v="1531.7819020438897"/>
    <n v="1668.8441183941659"/>
    <n v="0.42422556511569359"/>
    <n v="57"/>
    <n v="62"/>
    <n v="0"/>
    <n v="-5"/>
    <n v="0"/>
    <n v="0.29774767821963743"/>
    <n v="1"/>
    <n v="73.3"/>
    <n v="73.3"/>
    <n v="-9.2586825781030146"/>
    <n v="1522.5232194657867"/>
    <n v="0"/>
    <n v="1"/>
    <n v="0"/>
    <n v="0"/>
    <n v="0"/>
    <n v="0"/>
    <n v="0"/>
    <n v="0"/>
    <n v="0"/>
    <n v="0"/>
  </r>
  <r>
    <d v="1999-07-25T00:00:00"/>
    <n v="1999"/>
    <x v="19"/>
    <s v="R"/>
    <s v="RS"/>
    <x v="7"/>
    <s v="PHX"/>
    <s v="A"/>
    <n v="1"/>
    <n v="1"/>
    <n v="0"/>
    <n v="0"/>
    <n v="0"/>
    <n v="0"/>
    <n v="1341.7648545776922"/>
    <n v="1505.3474434873433"/>
    <n v="0.19384769015486955"/>
    <n v="59"/>
    <n v="72"/>
    <n v="0"/>
    <n v="-13"/>
    <n v="0"/>
    <n v="0.41541488677256305"/>
    <n v="1"/>
    <n v="73"/>
    <n v="73"/>
    <n v="-5.8784867867469854"/>
    <n v="1335.8863677909451"/>
    <n v="0"/>
    <n v="1"/>
    <n v="0"/>
    <n v="0"/>
    <n v="0"/>
    <n v="0"/>
    <n v="0"/>
    <n v="0"/>
    <n v="0"/>
    <n v="0"/>
  </r>
  <r>
    <d v="1999-07-25T00:00:00"/>
    <n v="1999"/>
    <x v="18"/>
    <s v="R"/>
    <s v="RS"/>
    <x v="10"/>
    <s v="WAS"/>
    <s v="H"/>
    <n v="1"/>
    <n v="1"/>
    <n v="0"/>
    <n v="0"/>
    <n v="0"/>
    <n v="0"/>
    <n v="1505.3474434873433"/>
    <n v="1341.7648545776922"/>
    <n v="0.80615230984513042"/>
    <n v="72"/>
    <n v="59"/>
    <n v="0"/>
    <n v="13"/>
    <n v="1"/>
    <n v="0.41541488677256305"/>
    <n v="1"/>
    <n v="73.150000000000006"/>
    <n v="73.150000000000006"/>
    <n v="5.8905658691855081"/>
    <n v="1511.2380093565289"/>
    <n v="1"/>
    <n v="0"/>
    <n v="0"/>
    <n v="0"/>
    <n v="0"/>
    <n v="0"/>
    <n v="0"/>
    <n v="0"/>
    <n v="0"/>
    <n v="0"/>
  </r>
  <r>
    <d v="1999-07-26T00:00:00"/>
    <n v="1999"/>
    <x v="19"/>
    <s v="R"/>
    <s v="RS"/>
    <x v="6"/>
    <s v="NYL"/>
    <s v="A"/>
    <n v="0"/>
    <n v="1"/>
    <n v="-1"/>
    <n v="1"/>
    <n v="-8"/>
    <n v="8"/>
    <n v="1488.5783567557155"/>
    <n v="1542.9021118770952"/>
    <n v="0.29144859961385294"/>
    <n v="75"/>
    <n v="69"/>
    <n v="1"/>
    <n v="6"/>
    <n v="1"/>
    <n v="0.30246036593762704"/>
    <n v="1"/>
    <n v="73"/>
    <n v="73"/>
    <n v="15.644536256788086"/>
    <n v="1504.2228930125036"/>
    <n v="1"/>
    <n v="0"/>
    <n v="0"/>
    <n v="0"/>
    <n v="0"/>
    <n v="0"/>
    <n v="0"/>
    <n v="0"/>
    <n v="0"/>
    <n v="0"/>
  </r>
  <r>
    <d v="1999-07-26T00:00:00"/>
    <n v="1999"/>
    <x v="18"/>
    <s v="R"/>
    <s v="RS"/>
    <x v="3"/>
    <s v="CHA"/>
    <s v="H"/>
    <n v="1"/>
    <n v="0"/>
    <n v="1"/>
    <n v="-1"/>
    <n v="8"/>
    <n v="-8"/>
    <n v="1542.9021118770952"/>
    <n v="1488.5783567557155"/>
    <n v="0.70855140038614706"/>
    <n v="69"/>
    <n v="75"/>
    <n v="1"/>
    <n v="-6"/>
    <n v="0"/>
    <n v="0.30246036593762704"/>
    <n v="1"/>
    <n v="73.150000000000006"/>
    <n v="73.150000000000006"/>
    <n v="-15.67668256416505"/>
    <n v="1527.2254293129301"/>
    <n v="0"/>
    <n v="1"/>
    <n v="0"/>
    <n v="0"/>
    <n v="0"/>
    <n v="0"/>
    <n v="0"/>
    <n v="0"/>
    <n v="0"/>
    <n v="0"/>
  </r>
  <r>
    <d v="1999-07-26T00:00:00"/>
    <n v="1999"/>
    <x v="20"/>
    <s v="R"/>
    <s v="RS"/>
    <x v="7"/>
    <s v="UTA"/>
    <s v="A"/>
    <n v="0"/>
    <n v="1"/>
    <n v="-1"/>
    <n v="1"/>
    <n v="-8"/>
    <n v="8"/>
    <n v="1335.8863677909451"/>
    <n v="1394.2555088358258"/>
    <n v="0.28666312091766244"/>
    <n v="61"/>
    <n v="73"/>
    <n v="0"/>
    <n v="-12"/>
    <n v="0"/>
    <n v="0.43497199179356466"/>
    <n v="1"/>
    <n v="72.849999999999994"/>
    <n v="72.849999999999994"/>
    <n v="-9.0836977292881045"/>
    <n v="1326.802670061657"/>
    <n v="0"/>
    <n v="1"/>
    <n v="0"/>
    <n v="0"/>
    <n v="0"/>
    <n v="0"/>
    <n v="0"/>
    <n v="0"/>
    <n v="0"/>
    <n v="0"/>
  </r>
  <r>
    <d v="1999-07-26T00:00:00"/>
    <n v="1999"/>
    <x v="18"/>
    <s v="R"/>
    <s v="RS"/>
    <x v="11"/>
    <s v="WAS"/>
    <s v="H"/>
    <n v="1"/>
    <n v="0"/>
    <n v="1"/>
    <n v="-1"/>
    <n v="8"/>
    <n v="-8"/>
    <n v="1394.2555088358258"/>
    <n v="1335.8863677909451"/>
    <n v="0.71333687908233756"/>
    <n v="73"/>
    <n v="61"/>
    <n v="0"/>
    <n v="12"/>
    <n v="1"/>
    <n v="0.43497199179356466"/>
    <n v="1"/>
    <n v="73.150000000000006"/>
    <n v="73.150000000000006"/>
    <n v="9.1211048578919005"/>
    <n v="1403.3766136937177"/>
    <n v="1"/>
    <n v="0"/>
    <n v="0"/>
    <n v="0"/>
    <n v="0"/>
    <n v="0"/>
    <n v="0"/>
    <n v="0"/>
    <n v="0"/>
    <n v="0"/>
  </r>
  <r>
    <d v="1999-07-27T00:00:00"/>
    <n v="1999"/>
    <x v="19"/>
    <s v="R"/>
    <s v="RS"/>
    <x v="8"/>
    <s v="HOU"/>
    <s v="A"/>
    <n v="1"/>
    <n v="1"/>
    <n v="0"/>
    <n v="0"/>
    <n v="0"/>
    <n v="0"/>
    <n v="1497.4665723225753"/>
    <n v="1678.0649073191526"/>
    <n v="0.17899806736890517"/>
    <n v="46"/>
    <n v="85"/>
    <n v="0"/>
    <n v="-39"/>
    <n v="0"/>
    <n v="0.70146218000472182"/>
    <n v="1"/>
    <n v="73"/>
    <n v="73"/>
    <n v="-9.1659073423853723"/>
    <n v="1488.3006649801898"/>
    <n v="0"/>
    <n v="1"/>
    <n v="0"/>
    <n v="0"/>
    <n v="0"/>
    <n v="0"/>
    <n v="0"/>
    <n v="0"/>
    <n v="0"/>
    <n v="0"/>
  </r>
  <r>
    <d v="1999-07-27T00:00:00"/>
    <n v="1999"/>
    <x v="20"/>
    <s v="R"/>
    <s v="RS"/>
    <x v="4"/>
    <s v="DET"/>
    <s v="H"/>
    <n v="1"/>
    <n v="1"/>
    <n v="0"/>
    <n v="0"/>
    <n v="0"/>
    <n v="0"/>
    <n v="1678.0649073191526"/>
    <n v="1497.4665723225753"/>
    <n v="0.82100193263109489"/>
    <n v="85"/>
    <n v="46"/>
    <n v="0"/>
    <n v="39"/>
    <n v="1"/>
    <n v="0.70146218000472182"/>
    <n v="1"/>
    <n v="72.849999999999994"/>
    <n v="72.849999999999994"/>
    <n v="9.1470732862023851"/>
    <n v="1687.2119806053549"/>
    <n v="1"/>
    <n v="0"/>
    <n v="0"/>
    <n v="0"/>
    <n v="0"/>
    <n v="0"/>
    <n v="0"/>
    <n v="0"/>
    <n v="0"/>
    <n v="0"/>
  </r>
  <r>
    <d v="1999-07-27T00:00:00"/>
    <n v="1999"/>
    <x v="19"/>
    <s v="R"/>
    <s v="RS"/>
    <x v="5"/>
    <s v="LAS"/>
    <s v="A"/>
    <n v="2"/>
    <n v="2"/>
    <n v="0"/>
    <n v="0"/>
    <n v="0"/>
    <n v="0"/>
    <n v="1482.4464040909093"/>
    <n v="1583.3759533415355"/>
    <n v="0.25644280003329467"/>
    <n v="60"/>
    <n v="81"/>
    <n v="0"/>
    <n v="-21"/>
    <n v="0"/>
    <n v="0.54291298689596945"/>
    <n v="1"/>
    <n v="73"/>
    <n v="73"/>
    <n v="-10.163507236985055"/>
    <n v="1472.2828968539243"/>
    <n v="0"/>
    <n v="1"/>
    <n v="0"/>
    <n v="0"/>
    <n v="0"/>
    <n v="0"/>
    <n v="0"/>
    <n v="0"/>
    <n v="0"/>
    <n v="0"/>
  </r>
  <r>
    <d v="1999-07-27T00:00:00"/>
    <n v="1999"/>
    <x v="19"/>
    <s v="R"/>
    <s v="RS"/>
    <x v="1"/>
    <s v="ORL"/>
    <s v="H"/>
    <n v="2"/>
    <n v="2"/>
    <n v="0"/>
    <n v="0"/>
    <n v="0"/>
    <n v="0"/>
    <n v="1583.3759533415355"/>
    <n v="1482.4464040909093"/>
    <n v="0.74355719996670533"/>
    <n v="81"/>
    <n v="60"/>
    <n v="0"/>
    <n v="21"/>
    <n v="1"/>
    <n v="0.54291298689596945"/>
    <n v="1"/>
    <n v="73"/>
    <n v="73"/>
    <n v="10.163507236985055"/>
    <n v="1593.5394605785204"/>
    <n v="1"/>
    <n v="0"/>
    <n v="0"/>
    <n v="0"/>
    <n v="0"/>
    <n v="0"/>
    <n v="0"/>
    <n v="0"/>
    <n v="0"/>
    <n v="0"/>
  </r>
  <r>
    <d v="1999-07-27T00:00:00"/>
    <n v="1999"/>
    <x v="19"/>
    <s v="R"/>
    <s v="RS"/>
    <x v="11"/>
    <s v="PHX"/>
    <s v="A"/>
    <n v="0"/>
    <n v="1"/>
    <n v="-1"/>
    <n v="1"/>
    <n v="-8"/>
    <n v="8"/>
    <n v="1403.3766136937177"/>
    <n v="1511.2380093565289"/>
    <n v="0.23209016639916019"/>
    <n v="73"/>
    <n v="86"/>
    <n v="0"/>
    <n v="-13"/>
    <n v="0"/>
    <n v="0.43311356131118811"/>
    <n v="1"/>
    <n v="73"/>
    <n v="73"/>
    <n v="-7.3380620915545958"/>
    <n v="1396.0385516021631"/>
    <n v="0"/>
    <n v="1"/>
    <n v="0"/>
    <n v="0"/>
    <n v="0"/>
    <n v="0"/>
    <n v="0"/>
    <n v="0"/>
    <n v="0"/>
    <n v="0"/>
  </r>
  <r>
    <d v="1999-07-27T00:00:00"/>
    <n v="1999"/>
    <x v="19"/>
    <s v="R"/>
    <s v="RS"/>
    <x v="10"/>
    <s v="UTA"/>
    <s v="H"/>
    <n v="1"/>
    <n v="0"/>
    <n v="1"/>
    <n v="-1"/>
    <n v="8"/>
    <n v="-8"/>
    <n v="1511.2380093565289"/>
    <n v="1403.3766136937177"/>
    <n v="0.76790983360083986"/>
    <n v="86"/>
    <n v="73"/>
    <n v="0"/>
    <n v="13"/>
    <n v="1"/>
    <n v="0.43311356131118811"/>
    <n v="1"/>
    <n v="73"/>
    <n v="73"/>
    <n v="7.3380620915545949"/>
    <n v="1518.5760714480834"/>
    <n v="1"/>
    <n v="0"/>
    <n v="0"/>
    <n v="0"/>
    <n v="0"/>
    <n v="0"/>
    <n v="0"/>
    <n v="0"/>
    <n v="0"/>
    <n v="0"/>
  </r>
  <r>
    <d v="1999-07-27T00:00:00"/>
    <n v="1999"/>
    <x v="18"/>
    <s v="R"/>
    <s v="RS"/>
    <x v="9"/>
    <s v="SAC"/>
    <s v="A"/>
    <n v="1"/>
    <n v="2"/>
    <n v="-1"/>
    <n v="1"/>
    <n v="-8"/>
    <n v="8"/>
    <n v="1522.5232194657867"/>
    <n v="1562.012728377608"/>
    <n v="0.30939138636268082"/>
    <n v="61"/>
    <n v="59"/>
    <n v="0"/>
    <n v="2"/>
    <n v="1"/>
    <n v="0.25930803178300177"/>
    <n v="1"/>
    <n v="73.150000000000006"/>
    <n v="73.150000000000006"/>
    <n v="13.099728358481899"/>
    <n v="1535.6229478242685"/>
    <n v="1"/>
    <n v="0"/>
    <n v="0"/>
    <n v="0"/>
    <n v="0"/>
    <n v="0"/>
    <n v="0"/>
    <n v="0"/>
    <n v="0"/>
    <n v="0"/>
  </r>
  <r>
    <d v="1999-07-27T00:00:00"/>
    <n v="1999"/>
    <x v="20"/>
    <s v="R"/>
    <s v="RS"/>
    <x v="0"/>
    <s v="MIN"/>
    <s v="H"/>
    <n v="2"/>
    <n v="1"/>
    <n v="1"/>
    <n v="-1"/>
    <n v="8"/>
    <n v="-8"/>
    <n v="1562.012728377608"/>
    <n v="1522.5232194657867"/>
    <n v="0.69060861363731907"/>
    <n v="59"/>
    <n v="61"/>
    <n v="0"/>
    <n v="-2"/>
    <n v="0"/>
    <n v="0.25930803178300177"/>
    <n v="1"/>
    <n v="72.849999999999994"/>
    <n v="72.849999999999994"/>
    <n v="-13.04600425038149"/>
    <n v="1548.9667241272266"/>
    <n v="0"/>
    <n v="1"/>
    <n v="0"/>
    <n v="0"/>
    <n v="0"/>
    <n v="0"/>
    <n v="0"/>
    <n v="0"/>
    <n v="0"/>
    <n v="0"/>
  </r>
  <r>
    <d v="1999-07-28T00:00:00"/>
    <n v="1999"/>
    <x v="20"/>
    <s v="R"/>
    <s v="RS"/>
    <x v="8"/>
    <s v="CHA"/>
    <s v="A"/>
    <n v="0"/>
    <n v="1"/>
    <n v="-1"/>
    <n v="1"/>
    <n v="-8"/>
    <n v="8"/>
    <n v="1488.3006649801898"/>
    <n v="1504.2228930125036"/>
    <n v="0.33910123436298284"/>
    <n v="65"/>
    <n v="84"/>
    <n v="0"/>
    <n v="-19"/>
    <n v="0"/>
    <n v="0.55363169761037523"/>
    <n v="1"/>
    <n v="72.849999999999994"/>
    <n v="72.849999999999994"/>
    <n v="-13.676654440270763"/>
    <n v="1474.624010539919"/>
    <n v="0"/>
    <n v="1"/>
    <n v="0"/>
    <n v="0"/>
    <n v="0"/>
    <n v="0"/>
    <n v="0"/>
    <n v="0"/>
    <n v="0"/>
    <n v="0"/>
  </r>
  <r>
    <d v="1999-07-28T00:00:00"/>
    <n v="1999"/>
    <x v="20"/>
    <s v="R"/>
    <s v="RS"/>
    <x v="6"/>
    <s v="DET"/>
    <s v="H"/>
    <n v="1"/>
    <n v="0"/>
    <n v="1"/>
    <n v="-1"/>
    <n v="8"/>
    <n v="-8"/>
    <n v="1504.2228930125036"/>
    <n v="1488.3006649801898"/>
    <n v="0.66089876563701722"/>
    <n v="84"/>
    <n v="65"/>
    <n v="0"/>
    <n v="19"/>
    <n v="1"/>
    <n v="0.55363169761037523"/>
    <n v="1"/>
    <n v="72.849999999999994"/>
    <n v="72.849999999999994"/>
    <n v="13.676654440270761"/>
    <n v="1517.8995474527744"/>
    <n v="1"/>
    <n v="0"/>
    <n v="0"/>
    <n v="0"/>
    <n v="0"/>
    <n v="0"/>
    <n v="0"/>
    <n v="0"/>
    <n v="0"/>
    <n v="0"/>
  </r>
  <r>
    <d v="1999-07-29T00:00:00"/>
    <n v="1999"/>
    <x v="21"/>
    <s v="R"/>
    <s v="RS"/>
    <x v="4"/>
    <s v="CLE"/>
    <s v="A"/>
    <n v="1"/>
    <n v="4"/>
    <n v="-3"/>
    <n v="3"/>
    <n v="-16"/>
    <n v="16"/>
    <n v="1687.2119806053549"/>
    <n v="1400.7948025289229"/>
    <n v="0.72730661981961597"/>
    <n v="71"/>
    <n v="65"/>
    <n v="0"/>
    <n v="6"/>
    <n v="1"/>
    <n v="0.28359260073588471"/>
    <n v="1"/>
    <n v="72.7"/>
    <n v="72.7"/>
    <n v="5.6221690694168123"/>
    <n v="1692.8341496747717"/>
    <n v="1"/>
    <n v="0"/>
    <n v="0"/>
    <n v="0"/>
    <n v="0"/>
    <n v="0"/>
    <n v="0"/>
    <n v="0"/>
    <n v="0"/>
    <n v="0"/>
  </r>
  <r>
    <d v="1999-07-29T00:00:00"/>
    <n v="1999"/>
    <x v="21"/>
    <s v="R"/>
    <s v="RS"/>
    <x v="2"/>
    <s v="HOU"/>
    <s v="H"/>
    <n v="4"/>
    <n v="1"/>
    <n v="3"/>
    <n v="-3"/>
    <n v="16"/>
    <n v="-16"/>
    <n v="1400.7948025289229"/>
    <n v="1687.2119806053549"/>
    <n v="0.27269338018038403"/>
    <n v="65"/>
    <n v="71"/>
    <n v="0"/>
    <n v="-6"/>
    <n v="0"/>
    <n v="0.28359260073588471"/>
    <n v="1"/>
    <n v="72.7"/>
    <n v="72.7"/>
    <n v="-5.6221690694168123"/>
    <n v="1395.1726334595062"/>
    <n v="0"/>
    <n v="1"/>
    <n v="0"/>
    <n v="0"/>
    <n v="0"/>
    <n v="0"/>
    <n v="0"/>
    <n v="0"/>
    <n v="0"/>
    <n v="0"/>
  </r>
  <r>
    <d v="1999-07-29T00:00:00"/>
    <n v="1999"/>
    <x v="19"/>
    <s v="R"/>
    <s v="RS"/>
    <x v="3"/>
    <s v="ORL"/>
    <s v="A"/>
    <n v="2"/>
    <n v="1"/>
    <n v="1"/>
    <n v="-1"/>
    <n v="8"/>
    <n v="-8"/>
    <n v="1527.2254293129301"/>
    <n v="1472.2828968539243"/>
    <n v="0.48121763582068056"/>
    <n v="73"/>
    <n v="65"/>
    <n v="1"/>
    <n v="8"/>
    <n v="1"/>
    <n v="0.33418325298249901"/>
    <n v="1"/>
    <n v="73"/>
    <n v="73"/>
    <n v="12.655891597751941"/>
    <n v="1539.881320910682"/>
    <n v="1"/>
    <n v="0"/>
    <n v="0"/>
    <n v="0"/>
    <n v="0"/>
    <n v="0"/>
    <n v="0"/>
    <n v="0"/>
    <n v="0"/>
    <n v="0"/>
  </r>
  <r>
    <d v="1999-07-29T00:00:00"/>
    <n v="1999"/>
    <x v="20"/>
    <s v="R"/>
    <s v="RS"/>
    <x v="5"/>
    <s v="NYL"/>
    <s v="H"/>
    <n v="1"/>
    <n v="2"/>
    <n v="-1"/>
    <n v="1"/>
    <n v="-8"/>
    <n v="8"/>
    <n v="1472.2828968539243"/>
    <n v="1527.2254293129301"/>
    <n v="0.51878236417931944"/>
    <n v="65"/>
    <n v="73"/>
    <n v="1"/>
    <n v="-8"/>
    <n v="0"/>
    <n v="0.33418325298249901"/>
    <n v="1"/>
    <n v="72.849999999999994"/>
    <n v="72.849999999999994"/>
    <n v="-12.62988634104423"/>
    <n v="1459.65301051288"/>
    <n v="0"/>
    <n v="1"/>
    <n v="0"/>
    <n v="0"/>
    <n v="0"/>
    <n v="0"/>
    <n v="0"/>
    <n v="0"/>
    <n v="0"/>
    <n v="0"/>
  </r>
  <r>
    <d v="1999-07-29T00:00:00"/>
    <n v="1999"/>
    <x v="19"/>
    <s v="R"/>
    <s v="RS"/>
    <x v="9"/>
    <s v="PHX"/>
    <s v="A"/>
    <n v="1"/>
    <n v="1"/>
    <n v="0"/>
    <n v="0"/>
    <n v="0"/>
    <n v="0"/>
    <n v="1535.6229478242685"/>
    <n v="1518.5760714480834"/>
    <n v="0.40482197474542936"/>
    <n v="46"/>
    <n v="79"/>
    <n v="0"/>
    <n v="-33"/>
    <n v="0"/>
    <n v="0.72872362914268785"/>
    <n v="1"/>
    <n v="73"/>
    <n v="73"/>
    <n v="-21.535243717303516"/>
    <n v="1514.087704106965"/>
    <n v="0"/>
    <n v="1"/>
    <n v="0"/>
    <n v="0"/>
    <n v="0"/>
    <n v="0"/>
    <n v="0"/>
    <n v="0"/>
    <n v="0"/>
    <n v="0"/>
  </r>
  <r>
    <d v="1999-07-29T00:00:00"/>
    <n v="1999"/>
    <x v="20"/>
    <s v="R"/>
    <s v="RS"/>
    <x v="10"/>
    <s v="MIN"/>
    <s v="H"/>
    <n v="1"/>
    <n v="1"/>
    <n v="0"/>
    <n v="0"/>
    <n v="0"/>
    <n v="0"/>
    <n v="1518.5760714480834"/>
    <n v="1535.6229478242685"/>
    <n v="0.59517802525457075"/>
    <n v="79"/>
    <n v="46"/>
    <n v="0"/>
    <n v="33"/>
    <n v="1"/>
    <n v="0.72872362914268785"/>
    <n v="1"/>
    <n v="72.849999999999994"/>
    <n v="72.849999999999994"/>
    <n v="21.490993216514525"/>
    <n v="1540.0670646645979"/>
    <n v="1"/>
    <n v="0"/>
    <n v="0"/>
    <n v="0"/>
    <n v="0"/>
    <n v="0"/>
    <n v="0"/>
    <n v="0"/>
    <n v="0"/>
    <n v="0"/>
  </r>
  <r>
    <d v="1999-07-29T00:00:00"/>
    <n v="1999"/>
    <x v="21"/>
    <s v="R"/>
    <s v="RS"/>
    <x v="7"/>
    <s v="SAC"/>
    <s v="A"/>
    <n v="2"/>
    <n v="1"/>
    <n v="1"/>
    <n v="-1"/>
    <n v="8"/>
    <n v="-8"/>
    <n v="1326.802670061657"/>
    <n v="1548.9667241272266"/>
    <n v="0.15838171067778023"/>
    <n v="54"/>
    <n v="70"/>
    <n v="0"/>
    <n v="-16"/>
    <n v="0"/>
    <n v="0.43689983371456165"/>
    <n v="1"/>
    <n v="72.7"/>
    <n v="72.7"/>
    <n v="-5.0306177603565851"/>
    <n v="1321.7720523013004"/>
    <n v="0"/>
    <n v="1"/>
    <n v="0"/>
    <n v="0"/>
    <n v="0"/>
    <n v="0"/>
    <n v="0"/>
    <n v="0"/>
    <n v="0"/>
    <n v="0"/>
  </r>
  <r>
    <d v="1999-07-29T00:00:00"/>
    <n v="1999"/>
    <x v="21"/>
    <s v="R"/>
    <s v="RS"/>
    <x v="0"/>
    <s v="WAS"/>
    <s v="H"/>
    <n v="1"/>
    <n v="2"/>
    <n v="-1"/>
    <n v="1"/>
    <n v="-8"/>
    <n v="8"/>
    <n v="1548.9667241272266"/>
    <n v="1326.802670061657"/>
    <n v="0.84161828932221971"/>
    <n v="70"/>
    <n v="54"/>
    <n v="0"/>
    <n v="16"/>
    <n v="1"/>
    <n v="0.43689983371456165"/>
    <n v="1"/>
    <n v="72.7"/>
    <n v="72.7"/>
    <n v="5.0306177603565869"/>
    <n v="1553.9973418875832"/>
    <n v="1"/>
    <n v="0"/>
    <n v="0"/>
    <n v="0"/>
    <n v="0"/>
    <n v="0"/>
    <n v="0"/>
    <n v="0"/>
    <n v="0"/>
    <n v="0"/>
  </r>
  <r>
    <d v="1999-07-30T00:00:00"/>
    <n v="1999"/>
    <x v="20"/>
    <s v="R"/>
    <s v="RS"/>
    <x v="3"/>
    <s v="CHA"/>
    <s v="A"/>
    <n v="0"/>
    <n v="1"/>
    <n v="-1"/>
    <n v="1"/>
    <n v="-8"/>
    <n v="8"/>
    <n v="1539.881320910682"/>
    <n v="1517.8995474527744"/>
    <n v="0.38957262693463818"/>
    <n v="58"/>
    <n v="62"/>
    <n v="0"/>
    <n v="-4"/>
    <n v="0"/>
    <n v="0.30583048782071576"/>
    <n v="1"/>
    <n v="72.849999999999994"/>
    <n v="72.849999999999994"/>
    <n v="-8.679581139221769"/>
    <n v="1531.2017397714603"/>
    <n v="0"/>
    <n v="1"/>
    <n v="0"/>
    <n v="0"/>
    <n v="0"/>
    <n v="0"/>
    <n v="0"/>
    <n v="0"/>
    <n v="0"/>
    <n v="0"/>
  </r>
  <r>
    <d v="1999-07-30T00:00:00"/>
    <n v="1999"/>
    <x v="21"/>
    <s v="R"/>
    <s v="RS"/>
    <x v="6"/>
    <s v="NYL"/>
    <s v="H"/>
    <n v="1"/>
    <n v="0"/>
    <n v="1"/>
    <n v="-1"/>
    <n v="8"/>
    <n v="-8"/>
    <n v="1517.8995474527744"/>
    <n v="1539.881320910682"/>
    <n v="0.61042737306536177"/>
    <n v="62"/>
    <n v="58"/>
    <n v="0"/>
    <n v="4"/>
    <n v="1"/>
    <n v="0.30583048782071576"/>
    <n v="1"/>
    <n v="72.7"/>
    <n v="72.7"/>
    <n v="8.6617096612412183"/>
    <n v="1526.5612571140157"/>
    <n v="1"/>
    <n v="0"/>
    <n v="0"/>
    <n v="0"/>
    <n v="0"/>
    <n v="0"/>
    <n v="0"/>
    <n v="0"/>
    <n v="0"/>
    <n v="0"/>
  </r>
  <r>
    <d v="1999-07-30T00:00:00"/>
    <n v="1999"/>
    <x v="20"/>
    <s v="R"/>
    <s v="RS"/>
    <x v="11"/>
    <s v="LAS"/>
    <s v="A"/>
    <n v="2"/>
    <n v="2"/>
    <n v="0"/>
    <n v="0"/>
    <n v="0"/>
    <n v="0"/>
    <n v="1396.0385516021631"/>
    <n v="1593.5394605785204"/>
    <n v="0.16514288912268146"/>
    <n v="77"/>
    <n v="87"/>
    <n v="0"/>
    <n v="-10"/>
    <n v="0"/>
    <n v="0.36333116918733316"/>
    <n v="1"/>
    <n v="72.849999999999994"/>
    <n v="72.849999999999994"/>
    <n v="-4.3711135722698247"/>
    <n v="1391.6674380298932"/>
    <n v="0"/>
    <n v="1"/>
    <n v="0"/>
    <n v="0"/>
    <n v="0"/>
    <n v="0"/>
    <n v="0"/>
    <n v="0"/>
    <n v="0"/>
    <n v="0"/>
  </r>
  <r>
    <d v="1999-07-30T00:00:00"/>
    <n v="1999"/>
    <x v="20"/>
    <s v="R"/>
    <s v="RS"/>
    <x v="1"/>
    <s v="UTA"/>
    <s v="H"/>
    <n v="2"/>
    <n v="2"/>
    <n v="0"/>
    <n v="0"/>
    <n v="0"/>
    <n v="0"/>
    <n v="1593.5394605785204"/>
    <n v="1396.0385516021631"/>
    <n v="0.83485711087731851"/>
    <n v="87"/>
    <n v="77"/>
    <n v="0"/>
    <n v="10"/>
    <n v="1"/>
    <n v="0.36333116918733316"/>
    <n v="1"/>
    <n v="72.849999999999994"/>
    <n v="72.849999999999994"/>
    <n v="4.3711135722698256"/>
    <n v="1597.9105741507904"/>
    <n v="1"/>
    <n v="0"/>
    <n v="0"/>
    <n v="0"/>
    <n v="0"/>
    <n v="0"/>
    <n v="0"/>
    <n v="0"/>
    <n v="0"/>
    <n v="0"/>
  </r>
  <r>
    <d v="1999-07-31T00:00:00"/>
    <n v="1999"/>
    <x v="22"/>
    <s v="R"/>
    <s v="RS"/>
    <x v="2"/>
    <s v="DET"/>
    <s v="A"/>
    <n v="1"/>
    <n v="2"/>
    <n v="-1"/>
    <n v="1"/>
    <n v="-8"/>
    <n v="8"/>
    <n v="1395.1726334595062"/>
    <n v="1474.624010539919"/>
    <n v="0.26250190530105111"/>
    <n v="55"/>
    <n v="53"/>
    <n v="0"/>
    <n v="2"/>
    <n v="1"/>
    <n v="0.2512089093256753"/>
    <n v="1"/>
    <n v="72.55"/>
    <n v="72.55"/>
    <n v="13.441054974533728"/>
    <n v="1408.6136884340399"/>
    <n v="1"/>
    <n v="0"/>
    <n v="0"/>
    <n v="0"/>
    <n v="0"/>
    <n v="0"/>
    <n v="0"/>
    <n v="0"/>
    <n v="0"/>
    <n v="0"/>
  </r>
  <r>
    <d v="1999-07-31T00:00:00"/>
    <n v="1999"/>
    <x v="21"/>
    <s v="R"/>
    <s v="RS"/>
    <x v="8"/>
    <s v="CLE"/>
    <s v="H"/>
    <n v="2"/>
    <n v="1"/>
    <n v="1"/>
    <n v="-1"/>
    <n v="8"/>
    <n v="-8"/>
    <n v="1474.624010539919"/>
    <n v="1395.1726334595062"/>
    <n v="0.737498094698949"/>
    <n v="53"/>
    <n v="55"/>
    <n v="0"/>
    <n v="-2"/>
    <n v="0"/>
    <n v="0.2512089093256753"/>
    <n v="1"/>
    <n v="72.7"/>
    <n v="72.7"/>
    <n v="-13.468844888333596"/>
    <n v="1461.1551656515853"/>
    <n v="0"/>
    <n v="1"/>
    <n v="0"/>
    <n v="0"/>
    <n v="0"/>
    <n v="0"/>
    <n v="0"/>
    <n v="0"/>
    <n v="0"/>
    <n v="0"/>
  </r>
  <r>
    <d v="1999-07-31T00:00:00"/>
    <n v="1999"/>
    <x v="21"/>
    <s v="R"/>
    <s v="RS"/>
    <x v="10"/>
    <s v="HOU"/>
    <s v="A"/>
    <n v="1"/>
    <n v="1"/>
    <n v="0"/>
    <n v="0"/>
    <n v="0"/>
    <n v="0"/>
    <n v="1540.0670646645979"/>
    <n v="1692.8341496747717"/>
    <n v="0.20376274451760606"/>
    <n v="70"/>
    <n v="77"/>
    <n v="0"/>
    <n v="-7"/>
    <n v="0"/>
    <n v="0.32831121625142423"/>
    <n v="1"/>
    <n v="72.7"/>
    <n v="72.7"/>
    <n v="-4.8634551186453621"/>
    <n v="1535.2036095459525"/>
    <n v="0"/>
    <n v="1"/>
    <n v="0"/>
    <n v="0"/>
    <n v="0"/>
    <n v="0"/>
    <n v="0"/>
    <n v="0"/>
    <n v="0"/>
    <n v="0"/>
  </r>
  <r>
    <d v="1999-07-31T00:00:00"/>
    <n v="1999"/>
    <x v="22"/>
    <s v="R"/>
    <s v="RS"/>
    <x v="4"/>
    <s v="PHX"/>
    <s v="H"/>
    <n v="1"/>
    <n v="1"/>
    <n v="0"/>
    <n v="0"/>
    <n v="0"/>
    <n v="0"/>
    <n v="1692.8341496747717"/>
    <n v="1540.0670646645979"/>
    <n v="0.79623725548239399"/>
    <n v="77"/>
    <n v="70"/>
    <n v="0"/>
    <n v="7"/>
    <n v="1"/>
    <n v="0.32831121625142423"/>
    <n v="1"/>
    <n v="72.55"/>
    <n v="72.55"/>
    <n v="4.8534204794734652"/>
    <n v="1697.6875701542451"/>
    <n v="1"/>
    <n v="0"/>
    <n v="0"/>
    <n v="0"/>
    <n v="0"/>
    <n v="0"/>
    <n v="0"/>
    <n v="0"/>
    <n v="0"/>
    <n v="0"/>
  </r>
  <r>
    <d v="1999-07-31T00:00:00"/>
    <n v="1999"/>
    <x v="22"/>
    <s v="R"/>
    <s v="RS"/>
    <x v="7"/>
    <s v="LAS"/>
    <s v="A"/>
    <n v="1"/>
    <n v="0"/>
    <n v="1"/>
    <n v="-1"/>
    <n v="8"/>
    <n v="-8"/>
    <n v="1321.7720523013004"/>
    <n v="1597.9105741507904"/>
    <n v="0.12121008595705131"/>
    <n v="64"/>
    <n v="81"/>
    <n v="0"/>
    <n v="-17"/>
    <n v="0"/>
    <n v="0.43283910923066027"/>
    <n v="1"/>
    <n v="72.55"/>
    <n v="72.55"/>
    <n v="-3.8062969818498553"/>
    <n v="1317.9657553194506"/>
    <n v="0"/>
    <n v="1"/>
    <n v="0"/>
    <n v="0"/>
    <n v="0"/>
    <n v="0"/>
    <n v="0"/>
    <n v="0"/>
    <n v="0"/>
    <n v="0"/>
  </r>
  <r>
    <d v="1999-07-31T00:00:00"/>
    <n v="1999"/>
    <x v="21"/>
    <s v="R"/>
    <s v="RS"/>
    <x v="1"/>
    <s v="WAS"/>
    <s v="H"/>
    <n v="0"/>
    <n v="1"/>
    <n v="-1"/>
    <n v="1"/>
    <n v="-8"/>
    <n v="8"/>
    <n v="1597.9105741507904"/>
    <n v="1321.7720523013004"/>
    <n v="0.87878991404294871"/>
    <n v="81"/>
    <n v="64"/>
    <n v="0"/>
    <n v="17"/>
    <n v="1"/>
    <n v="0.43283910923066027"/>
    <n v="1"/>
    <n v="72.7"/>
    <n v="72.7"/>
    <n v="3.8141666516951687"/>
    <n v="1601.7247408024855"/>
    <n v="1"/>
    <n v="0"/>
    <n v="0"/>
    <n v="0"/>
    <n v="0"/>
    <n v="0"/>
    <n v="0"/>
    <n v="0"/>
    <n v="0"/>
    <n v="0"/>
  </r>
  <r>
    <d v="1999-07-31T00:00:00"/>
    <n v="1999"/>
    <x v="22"/>
    <s v="R"/>
    <s v="RS"/>
    <x v="6"/>
    <s v="MIN"/>
    <s v="A"/>
    <n v="0"/>
    <n v="1"/>
    <n v="-1"/>
    <n v="1"/>
    <n v="-8"/>
    <n v="8"/>
    <n v="1526.5612571140157"/>
    <n v="1514.087704106965"/>
    <n v="0.37663803879975044"/>
    <n v="56"/>
    <n v="52"/>
    <n v="0"/>
    <n v="4"/>
    <n v="1"/>
    <n v="0.30822881122462059"/>
    <n v="1"/>
    <n v="72.55"/>
    <n v="72.55"/>
    <n v="13.939620334909742"/>
    <n v="1540.5008774489254"/>
    <n v="1"/>
    <n v="0"/>
    <n v="0"/>
    <n v="0"/>
    <n v="0"/>
    <n v="0"/>
    <n v="0"/>
    <n v="0"/>
    <n v="0"/>
    <n v="0"/>
  </r>
  <r>
    <d v="1999-07-31T00:00:00"/>
    <n v="1999"/>
    <x v="20"/>
    <s v="R"/>
    <s v="RS"/>
    <x v="9"/>
    <s v="CHA"/>
    <s v="H"/>
    <n v="1"/>
    <n v="0"/>
    <n v="1"/>
    <n v="-1"/>
    <n v="8"/>
    <n v="-8"/>
    <n v="1514.087704106965"/>
    <n v="1526.5612571140157"/>
    <n v="0.62336196120024956"/>
    <n v="52"/>
    <n v="56"/>
    <n v="0"/>
    <n v="-4"/>
    <n v="0"/>
    <n v="0.30822881122462059"/>
    <n v="1"/>
    <n v="72.849999999999994"/>
    <n v="72.849999999999994"/>
    <n v="-13.997261769788761"/>
    <n v="1500.0904423371762"/>
    <n v="0"/>
    <n v="1"/>
    <n v="0"/>
    <n v="0"/>
    <n v="0"/>
    <n v="0"/>
    <n v="0"/>
    <n v="0"/>
    <n v="0"/>
    <n v="0"/>
  </r>
  <r>
    <d v="1999-07-31T00:00:00"/>
    <n v="1999"/>
    <x v="22"/>
    <s v="R"/>
    <s v="RS"/>
    <x v="0"/>
    <s v="UTA"/>
    <s v="A"/>
    <n v="1"/>
    <n v="0"/>
    <n v="1"/>
    <n v="-1"/>
    <n v="8"/>
    <n v="-8"/>
    <n v="1553.9973418875832"/>
    <n v="1391.6674380298932"/>
    <n v="0.6325115463736366"/>
    <n v="59"/>
    <n v="63"/>
    <n v="0"/>
    <n v="-4"/>
    <n v="0"/>
    <n v="0.27432362809213812"/>
    <n v="1"/>
    <n v="72.55"/>
    <n v="72.55"/>
    <n v="-12.588358153435957"/>
    <n v="1541.4089837341471"/>
    <n v="0"/>
    <n v="1"/>
    <n v="0"/>
    <n v="0"/>
    <n v="0"/>
    <n v="0"/>
    <n v="0"/>
    <n v="0"/>
    <n v="0"/>
    <n v="0"/>
  </r>
  <r>
    <d v="1999-07-31T00:00:00"/>
    <n v="1999"/>
    <x v="21"/>
    <s v="R"/>
    <s v="RS"/>
    <x v="11"/>
    <s v="SAC"/>
    <s v="H"/>
    <n v="0"/>
    <n v="1"/>
    <n v="-1"/>
    <n v="1"/>
    <n v="-8"/>
    <n v="8"/>
    <n v="1391.6674380298932"/>
    <n v="1553.9973418875832"/>
    <n v="0.36748845362636345"/>
    <n v="63"/>
    <n v="59"/>
    <n v="0"/>
    <n v="4"/>
    <n v="1"/>
    <n v="0.27432362809213812"/>
    <n v="1"/>
    <n v="72.7"/>
    <n v="72.7"/>
    <n v="12.614385082767665"/>
    <n v="1404.281823112661"/>
    <n v="1"/>
    <n v="0"/>
    <n v="0"/>
    <n v="0"/>
    <n v="0"/>
    <n v="0"/>
    <n v="0"/>
    <n v="0"/>
    <n v="0"/>
    <n v="0"/>
  </r>
  <r>
    <d v="1999-08-01T00:00:00"/>
    <n v="1999"/>
    <x v="21"/>
    <s v="R"/>
    <s v="RS"/>
    <x v="5"/>
    <s v="NYL"/>
    <s v="A"/>
    <n v="2"/>
    <n v="1"/>
    <n v="1"/>
    <n v="-1"/>
    <n v="8"/>
    <n v="-8"/>
    <n v="1459.65301051288"/>
    <n v="1531.2017397714603"/>
    <n v="0.30931855161338861"/>
    <n v="61"/>
    <n v="74"/>
    <n v="0"/>
    <n v="-13"/>
    <n v="0"/>
    <n v="0.44548234270756609"/>
    <n v="1"/>
    <n v="72.7"/>
    <n v="72.7"/>
    <n v="-10.017765784237286"/>
    <n v="1449.6352447286426"/>
    <n v="0"/>
    <n v="1"/>
    <n v="0"/>
    <n v="0"/>
    <n v="0"/>
    <n v="0"/>
    <n v="0"/>
    <n v="0"/>
    <n v="0"/>
    <n v="0"/>
  </r>
  <r>
    <d v="1999-08-01T00:00:00"/>
    <n v="1999"/>
    <x v="21"/>
    <s v="R"/>
    <s v="RS"/>
    <x v="3"/>
    <s v="ORL"/>
    <s v="H"/>
    <n v="1"/>
    <n v="2"/>
    <n v="-1"/>
    <n v="1"/>
    <n v="-8"/>
    <n v="8"/>
    <n v="1531.2017397714603"/>
    <n v="1459.65301051288"/>
    <n v="0.69068144838661139"/>
    <n v="74"/>
    <n v="61"/>
    <n v="0"/>
    <n v="13"/>
    <n v="1"/>
    <n v="0.44548234270756609"/>
    <n v="1"/>
    <n v="72.7"/>
    <n v="72.7"/>
    <n v="10.017765784237286"/>
    <n v="1541.2195055556977"/>
    <n v="1"/>
    <n v="0"/>
    <n v="0"/>
    <n v="0"/>
    <n v="0"/>
    <n v="0"/>
    <n v="0"/>
    <n v="0"/>
    <n v="0"/>
    <n v="0"/>
  </r>
  <r>
    <d v="1999-08-02T00:00:00"/>
    <n v="1999"/>
    <x v="23"/>
    <s v="R"/>
    <s v="RS"/>
    <x v="2"/>
    <s v="CHA"/>
    <s v="A"/>
    <n v="1"/>
    <n v="1"/>
    <n v="0"/>
    <n v="0"/>
    <n v="0"/>
    <n v="0"/>
    <n v="1408.6136884340399"/>
    <n v="1540.5008774489254"/>
    <n v="0.22395826942093186"/>
    <n v="56"/>
    <n v="62"/>
    <n v="0"/>
    <n v="-6"/>
    <n v="0"/>
    <n v="0.31649595910669787"/>
    <n v="1"/>
    <n v="72.400000000000006"/>
    <n v="72.400000000000006"/>
    <n v="-5.1318486390903946"/>
    <n v="1403.4818397949496"/>
    <n v="0"/>
    <n v="1"/>
    <n v="0"/>
    <n v="0"/>
    <n v="0"/>
    <n v="0"/>
    <n v="0"/>
    <n v="0"/>
    <n v="0"/>
    <n v="0"/>
  </r>
  <r>
    <d v="1999-08-02T00:00:00"/>
    <n v="1999"/>
    <x v="23"/>
    <s v="R"/>
    <s v="RS"/>
    <x v="6"/>
    <s v="CLE"/>
    <s v="H"/>
    <n v="1"/>
    <n v="1"/>
    <n v="0"/>
    <n v="0"/>
    <n v="0"/>
    <n v="0"/>
    <n v="1540.5008774489254"/>
    <n v="1408.6136884340399"/>
    <n v="0.77604173057906811"/>
    <n v="62"/>
    <n v="56"/>
    <n v="0"/>
    <n v="6"/>
    <n v="1"/>
    <n v="0.31649595910669787"/>
    <n v="1"/>
    <n v="72.400000000000006"/>
    <n v="72.400000000000006"/>
    <n v="5.1318486390903955"/>
    <n v="1545.6327260880157"/>
    <n v="1"/>
    <n v="0"/>
    <n v="0"/>
    <n v="0"/>
    <n v="0"/>
    <n v="0"/>
    <n v="0"/>
    <n v="0"/>
    <n v="0"/>
    <n v="0"/>
  </r>
  <r>
    <d v="1999-08-02T00:00:00"/>
    <n v="1999"/>
    <x v="23"/>
    <s v="R"/>
    <s v="RS"/>
    <x v="7"/>
    <s v="DET"/>
    <s v="A"/>
    <n v="1"/>
    <n v="1"/>
    <n v="0"/>
    <n v="0"/>
    <n v="0"/>
    <n v="0"/>
    <n v="1317.9657553194506"/>
    <n v="1461.1551656515853"/>
    <n v="0.21285398112705636"/>
    <n v="75"/>
    <n v="70"/>
    <n v="0"/>
    <n v="5"/>
    <n v="1"/>
    <n v="0.29638944998461242"/>
    <n v="1"/>
    <n v="72.400000000000006"/>
    <n v="72.400000000000006"/>
    <n v="16.891048552812229"/>
    <n v="1334.8568038722628"/>
    <n v="1"/>
    <n v="0"/>
    <n v="0"/>
    <n v="0"/>
    <n v="0"/>
    <n v="0"/>
    <n v="0"/>
    <n v="0"/>
    <n v="0"/>
    <n v="0"/>
  </r>
  <r>
    <d v="1999-08-02T00:00:00"/>
    <n v="1999"/>
    <x v="22"/>
    <s v="R"/>
    <s v="RS"/>
    <x v="8"/>
    <s v="WAS"/>
    <s v="H"/>
    <n v="1"/>
    <n v="1"/>
    <n v="0"/>
    <n v="0"/>
    <n v="0"/>
    <n v="0"/>
    <n v="1461.1551656515853"/>
    <n v="1317.9657553194506"/>
    <n v="0.78714601887294366"/>
    <n v="70"/>
    <n v="75"/>
    <n v="0"/>
    <n v="-5"/>
    <n v="0"/>
    <n v="0.29638944998461242"/>
    <n v="1"/>
    <n v="72.55"/>
    <n v="72.55"/>
    <n v="-16.926043819150927"/>
    <n v="1444.2291218324344"/>
    <n v="0"/>
    <n v="1"/>
    <n v="0"/>
    <n v="0"/>
    <n v="0"/>
    <n v="0"/>
    <n v="0"/>
    <n v="0"/>
    <n v="0"/>
    <n v="0"/>
  </r>
  <r>
    <d v="1999-08-02T00:00:00"/>
    <n v="1999"/>
    <x v="23"/>
    <s v="R"/>
    <s v="RS"/>
    <x v="0"/>
    <s v="HOU"/>
    <s v="A"/>
    <n v="1"/>
    <n v="1"/>
    <n v="0"/>
    <n v="0"/>
    <n v="0"/>
    <n v="0"/>
    <n v="1541.4089837341471"/>
    <n v="1697.6875701542451"/>
    <n v="0.20050281445936791"/>
    <n v="70"/>
    <n v="75"/>
    <n v="0"/>
    <n v="-5"/>
    <n v="0"/>
    <n v="0.29352905408932428"/>
    <n v="1"/>
    <n v="72.400000000000006"/>
    <n v="72.400000000000006"/>
    <n v="-4.2609862664646023"/>
    <n v="1537.1479974676824"/>
    <n v="0"/>
    <n v="1"/>
    <n v="0"/>
    <n v="0"/>
    <n v="0"/>
    <n v="0"/>
    <n v="0"/>
    <n v="0"/>
    <n v="0"/>
    <n v="0"/>
  </r>
  <r>
    <d v="1999-08-02T00:00:00"/>
    <n v="1999"/>
    <x v="23"/>
    <s v="R"/>
    <s v="RS"/>
    <x v="4"/>
    <s v="SAC"/>
    <s v="H"/>
    <n v="1"/>
    <n v="1"/>
    <n v="0"/>
    <n v="0"/>
    <n v="0"/>
    <n v="0"/>
    <n v="1697.6875701542451"/>
    <n v="1541.4089837341471"/>
    <n v="0.79949718554063209"/>
    <n v="75"/>
    <n v="70"/>
    <n v="0"/>
    <n v="5"/>
    <n v="1"/>
    <n v="0.29352905408932428"/>
    <n v="1"/>
    <n v="72.400000000000006"/>
    <n v="72.400000000000006"/>
    <n v="4.2609862664646023"/>
    <n v="1701.9485564207098"/>
    <n v="1"/>
    <n v="0"/>
    <n v="0"/>
    <n v="0"/>
    <n v="0"/>
    <n v="0"/>
    <n v="0"/>
    <n v="0"/>
    <n v="0"/>
    <n v="0"/>
  </r>
  <r>
    <d v="1999-08-02T00:00:00"/>
    <n v="1999"/>
    <x v="22"/>
    <s v="R"/>
    <s v="RS"/>
    <x v="10"/>
    <s v="MIN"/>
    <s v="A"/>
    <n v="1"/>
    <n v="1"/>
    <n v="0"/>
    <n v="0"/>
    <n v="0"/>
    <n v="0"/>
    <n v="1535.2036095459525"/>
    <n v="1500.0904423371762"/>
    <n v="0.43010684751273459"/>
    <n v="56"/>
    <n v="73"/>
    <n v="0"/>
    <n v="-17"/>
    <n v="0"/>
    <n v="0.51730521531262708"/>
    <n v="1"/>
    <n v="72.55"/>
    <n v="72.55"/>
    <n v="-16.142122189368756"/>
    <n v="1519.0614873565837"/>
    <n v="0"/>
    <n v="1"/>
    <n v="0"/>
    <n v="0"/>
    <n v="0"/>
    <n v="0"/>
    <n v="0"/>
    <n v="0"/>
    <n v="0"/>
    <n v="0"/>
  </r>
  <r>
    <d v="1999-08-02T00:00:00"/>
    <n v="1999"/>
    <x v="21"/>
    <s v="R"/>
    <s v="RS"/>
    <x v="9"/>
    <s v="PHX"/>
    <s v="H"/>
    <n v="1"/>
    <n v="1"/>
    <n v="0"/>
    <n v="0"/>
    <n v="0"/>
    <n v="0"/>
    <n v="1500.0904423371762"/>
    <n v="1535.2036095459525"/>
    <n v="0.56989315248726546"/>
    <n v="73"/>
    <n v="56"/>
    <n v="0"/>
    <n v="17"/>
    <n v="1"/>
    <n v="0.51730521531262708"/>
    <n v="1"/>
    <n v="72.7"/>
    <n v="72.7"/>
    <n v="16.175496666672757"/>
    <n v="1516.2659390038489"/>
    <n v="1"/>
    <n v="0"/>
    <n v="0"/>
    <n v="0"/>
    <n v="0"/>
    <n v="0"/>
    <n v="0"/>
    <n v="0"/>
    <n v="0"/>
    <n v="0"/>
  </r>
  <r>
    <d v="1999-08-03T00:00:00"/>
    <n v="1999"/>
    <x v="22"/>
    <s v="R"/>
    <s v="RS"/>
    <x v="3"/>
    <s v="UTA"/>
    <s v="A"/>
    <n v="1"/>
    <n v="2"/>
    <n v="-1"/>
    <n v="1"/>
    <n v="-8"/>
    <n v="8"/>
    <n v="1541.2195055556977"/>
    <n v="1404.281823112661"/>
    <n v="0.55295822076232037"/>
    <n v="61"/>
    <n v="59"/>
    <n v="0"/>
    <n v="2"/>
    <n v="1"/>
    <n v="0.24040730483733541"/>
    <n v="1"/>
    <n v="72.55"/>
    <n v="72.55"/>
    <n v="7.7971015294405905"/>
    <n v="1549.0166070851383"/>
    <n v="1"/>
    <n v="0"/>
    <n v="0"/>
    <n v="0"/>
    <n v="0"/>
    <n v="0"/>
    <n v="0"/>
    <n v="0"/>
    <n v="0"/>
    <n v="0"/>
  </r>
  <r>
    <d v="1999-08-03T00:00:00"/>
    <n v="1999"/>
    <x v="22"/>
    <s v="R"/>
    <s v="RS"/>
    <x v="11"/>
    <s v="NYL"/>
    <s v="H"/>
    <n v="2"/>
    <n v="1"/>
    <n v="1"/>
    <n v="-1"/>
    <n v="8"/>
    <n v="-8"/>
    <n v="1404.281823112661"/>
    <n v="1541.2195055556977"/>
    <n v="0.44704177923767963"/>
    <n v="59"/>
    <n v="61"/>
    <n v="0"/>
    <n v="-2"/>
    <n v="0"/>
    <n v="0.24040730483733541"/>
    <n v="1"/>
    <n v="72.55"/>
    <n v="72.55"/>
    <n v="-7.7971015294405905"/>
    <n v="1396.4847215832203"/>
    <n v="0"/>
    <n v="1"/>
    <n v="0"/>
    <n v="0"/>
    <n v="0"/>
    <n v="0"/>
    <n v="0"/>
    <n v="0"/>
    <n v="0"/>
    <n v="0"/>
  </r>
  <r>
    <d v="1999-08-04T00:00:00"/>
    <n v="1999"/>
    <x v="24"/>
    <s v="R"/>
    <s v="RS"/>
    <x v="0"/>
    <s v="CHA"/>
    <s v="A"/>
    <n v="1"/>
    <n v="1"/>
    <n v="0"/>
    <n v="0"/>
    <n v="0"/>
    <n v="0"/>
    <n v="1537.1479974676824"/>
    <n v="1545.6327260880157"/>
    <n v="0.36996082143621489"/>
    <n v="68"/>
    <n v="62"/>
    <n v="0"/>
    <n v="6"/>
    <n v="1"/>
    <n v="0.34881443126752432"/>
    <n v="1"/>
    <n v="72.25"/>
    <n v="72.25"/>
    <n v="15.878148247219659"/>
    <n v="1553.0261457149022"/>
    <n v="1"/>
    <n v="0"/>
    <n v="0"/>
    <n v="0"/>
    <n v="0"/>
    <n v="0"/>
    <n v="0"/>
    <n v="0"/>
    <n v="0"/>
    <n v="0"/>
  </r>
  <r>
    <d v="1999-08-04T00:00:00"/>
    <n v="1999"/>
    <x v="24"/>
    <s v="R"/>
    <s v="RS"/>
    <x v="6"/>
    <s v="SAC"/>
    <s v="H"/>
    <n v="1"/>
    <n v="1"/>
    <n v="0"/>
    <n v="0"/>
    <n v="0"/>
    <n v="0"/>
    <n v="1545.6327260880157"/>
    <n v="1537.1479974676824"/>
    <n v="0.63003917856378511"/>
    <n v="62"/>
    <n v="68"/>
    <n v="0"/>
    <n v="-6"/>
    <n v="0"/>
    <n v="0.34881443126752432"/>
    <n v="1"/>
    <n v="72.25"/>
    <n v="72.25"/>
    <n v="-15.878148247219659"/>
    <n v="1529.7545778407959"/>
    <n v="0"/>
    <n v="1"/>
    <n v="0"/>
    <n v="0"/>
    <n v="0"/>
    <n v="0"/>
    <n v="0"/>
    <n v="0"/>
    <n v="0"/>
    <n v="0"/>
  </r>
  <r>
    <d v="1999-08-04T00:00:00"/>
    <n v="1999"/>
    <x v="22"/>
    <s v="R"/>
    <s v="RS"/>
    <x v="9"/>
    <s v="DET"/>
    <s v="A"/>
    <n v="1"/>
    <n v="1"/>
    <n v="0"/>
    <n v="0"/>
    <n v="0"/>
    <n v="0"/>
    <n v="1516.2659390038489"/>
    <n v="1444.2291218324344"/>
    <n v="0.48279039677381547"/>
    <n v="56"/>
    <n v="59"/>
    <n v="0"/>
    <n v="-3"/>
    <n v="0"/>
    <n v="0.27375011526221016"/>
    <n v="1"/>
    <n v="72.55"/>
    <n v="72.55"/>
    <n v="-9.5884928867514265"/>
    <n v="1506.6774461170974"/>
    <n v="0"/>
    <n v="1"/>
    <n v="0"/>
    <n v="0"/>
    <n v="0"/>
    <n v="0"/>
    <n v="0"/>
    <n v="0"/>
    <n v="0"/>
    <n v="0"/>
  </r>
  <r>
    <d v="1999-08-04T00:00:00"/>
    <n v="1999"/>
    <x v="23"/>
    <s v="R"/>
    <s v="RS"/>
    <x v="8"/>
    <s v="MIN"/>
    <s v="H"/>
    <n v="1"/>
    <n v="1"/>
    <n v="0"/>
    <n v="0"/>
    <n v="0"/>
    <n v="0"/>
    <n v="1444.2291218324344"/>
    <n v="1516.2659390038489"/>
    <n v="0.51720960322618459"/>
    <n v="59"/>
    <n v="56"/>
    <n v="0"/>
    <n v="3"/>
    <n v="1"/>
    <n v="0.27375011526221016"/>
    <n v="1"/>
    <n v="72.400000000000006"/>
    <n v="72.400000000000006"/>
    <n v="9.5686682977367781"/>
    <n v="1453.7977901301713"/>
    <n v="1"/>
    <n v="0"/>
    <n v="0"/>
    <n v="0"/>
    <n v="0"/>
    <n v="0"/>
    <n v="0"/>
    <n v="0"/>
    <n v="0"/>
    <n v="0"/>
  </r>
  <r>
    <d v="1999-08-04T00:00:00"/>
    <n v="1999"/>
    <x v="24"/>
    <s v="R"/>
    <s v="RS"/>
    <x v="2"/>
    <s v="ORL"/>
    <s v="A"/>
    <n v="1"/>
    <n v="2"/>
    <n v="-1"/>
    <n v="1"/>
    <n v="-8"/>
    <n v="8"/>
    <n v="1403.4818397949496"/>
    <n v="1449.6352447286426"/>
    <n v="0.3012554542400161"/>
    <n v="62"/>
    <n v="70"/>
    <n v="0"/>
    <n v="-8"/>
    <n v="0"/>
    <n v="0.37393361054805363"/>
    <n v="1"/>
    <n v="72.25"/>
    <n v="72.25"/>
    <n v="-8.1389292434162641"/>
    <n v="1395.3429105515334"/>
    <n v="0"/>
    <n v="1"/>
    <n v="0"/>
    <n v="0"/>
    <n v="0"/>
    <n v="0"/>
    <n v="0"/>
    <n v="0"/>
    <n v="0"/>
    <n v="0"/>
  </r>
  <r>
    <d v="1999-08-04T00:00:00"/>
    <n v="1999"/>
    <x v="22"/>
    <s v="R"/>
    <s v="RS"/>
    <x v="5"/>
    <s v="CLE"/>
    <s v="H"/>
    <n v="2"/>
    <n v="1"/>
    <n v="1"/>
    <n v="-1"/>
    <n v="8"/>
    <n v="-8"/>
    <n v="1449.6352447286426"/>
    <n v="1403.4818397949496"/>
    <n v="0.6987445457599839"/>
    <n v="70"/>
    <n v="62"/>
    <n v="0"/>
    <n v="8"/>
    <n v="1"/>
    <n v="0.37393361054805363"/>
    <n v="1"/>
    <n v="72.55"/>
    <n v="72.55"/>
    <n v="8.172724105326644"/>
    <n v="1457.8079688339692"/>
    <n v="1"/>
    <n v="0"/>
    <n v="0"/>
    <n v="0"/>
    <n v="0"/>
    <n v="0"/>
    <n v="0"/>
    <n v="0"/>
    <n v="0"/>
    <n v="0"/>
  </r>
  <r>
    <d v="1999-08-05T00:00:00"/>
    <n v="1999"/>
    <x v="22"/>
    <s v="R"/>
    <s v="RS"/>
    <x v="1"/>
    <s v="UTA"/>
    <s v="A"/>
    <n v="4"/>
    <n v="1"/>
    <n v="3"/>
    <n v="-3"/>
    <n v="16"/>
    <n v="-16"/>
    <n v="1601.7247408024855"/>
    <n v="1396.4847215832203"/>
    <n v="0.70726143966585164"/>
    <n v="75"/>
    <n v="81"/>
    <n v="0"/>
    <n v="-6"/>
    <n v="0"/>
    <n v="0.29997502742868865"/>
    <n v="1"/>
    <n v="72.55"/>
    <n v="72.55"/>
    <n v="-15.392263846306932"/>
    <n v="1586.3324769561787"/>
    <n v="0"/>
    <n v="1"/>
    <n v="0"/>
    <n v="0"/>
    <n v="0"/>
    <n v="0"/>
    <n v="0"/>
    <n v="0"/>
    <n v="0"/>
    <n v="0"/>
  </r>
  <r>
    <d v="1999-08-05T00:00:00"/>
    <n v="1999"/>
    <x v="23"/>
    <s v="R"/>
    <s v="RS"/>
    <x v="11"/>
    <s v="LAS"/>
    <s v="H"/>
    <n v="1"/>
    <n v="4"/>
    <n v="-3"/>
    <n v="3"/>
    <n v="-16"/>
    <n v="16"/>
    <n v="1396.4847215832203"/>
    <n v="1601.7247408024855"/>
    <n v="0.2927385603341483"/>
    <n v="81"/>
    <n v="75"/>
    <n v="0"/>
    <n v="6"/>
    <n v="1"/>
    <n v="0.29997502742868865"/>
    <n v="1"/>
    <n v="72.400000000000006"/>
    <n v="72.400000000000006"/>
    <n v="15.360439730842479"/>
    <n v="1411.8451613140628"/>
    <n v="1"/>
    <n v="0"/>
    <n v="0"/>
    <n v="0"/>
    <n v="0"/>
    <n v="0"/>
    <n v="0"/>
    <n v="0"/>
    <n v="0"/>
    <n v="0"/>
  </r>
  <r>
    <d v="1999-08-05T00:00:00"/>
    <n v="1999"/>
    <x v="23"/>
    <s v="R"/>
    <s v="RS"/>
    <x v="5"/>
    <s v="WAS"/>
    <s v="A"/>
    <n v="0"/>
    <n v="2"/>
    <n v="-2"/>
    <n v="2"/>
    <n v="-16"/>
    <n v="16"/>
    <n v="1457.8079688339692"/>
    <n v="1334.8568038722628"/>
    <n v="0.51000219597999341"/>
    <n v="68"/>
    <n v="72"/>
    <n v="0"/>
    <n v="-4"/>
    <n v="0"/>
    <n v="0.2824890984509415"/>
    <n v="1"/>
    <n v="72.400000000000006"/>
    <n v="72.400000000000006"/>
    <n v="-10.430672383848144"/>
    <n v="1447.3772964501211"/>
    <n v="0"/>
    <n v="1"/>
    <n v="0"/>
    <n v="0"/>
    <n v="0"/>
    <n v="0"/>
    <n v="0"/>
    <n v="0"/>
    <n v="0"/>
    <n v="0"/>
  </r>
  <r>
    <d v="1999-08-05T00:00:00"/>
    <n v="1999"/>
    <x v="24"/>
    <s v="R"/>
    <s v="RS"/>
    <x v="7"/>
    <s v="ORL"/>
    <s v="H"/>
    <n v="2"/>
    <n v="0"/>
    <n v="2"/>
    <n v="-2"/>
    <n v="16"/>
    <n v="-16"/>
    <n v="1334.8568038722628"/>
    <n v="1457.8079688339692"/>
    <n v="0.48999780402000659"/>
    <n v="72"/>
    <n v="68"/>
    <n v="0"/>
    <n v="4"/>
    <n v="1"/>
    <n v="0.2824890984509415"/>
    <n v="1"/>
    <n v="72.25"/>
    <n v="72.25"/>
    <n v="10.409061874765586"/>
    <n v="1345.2658657470283"/>
    <n v="1"/>
    <n v="0"/>
    <n v="0"/>
    <n v="0"/>
    <n v="0"/>
    <n v="0"/>
    <n v="0"/>
    <n v="0"/>
    <n v="0"/>
    <n v="0"/>
  </r>
  <r>
    <d v="1999-08-06T00:00:00"/>
    <n v="1999"/>
    <x v="25"/>
    <s v="R"/>
    <s v="RS"/>
    <x v="6"/>
    <s v="HOU"/>
    <s v="A"/>
    <n v="1"/>
    <n v="3"/>
    <n v="-2"/>
    <n v="2"/>
    <n v="-16"/>
    <n v="16"/>
    <n v="1529.7545778407959"/>
    <n v="1701.9485564207098"/>
    <n v="0.15989924977190376"/>
    <n v="51"/>
    <n v="81"/>
    <n v="0"/>
    <n v="-30"/>
    <n v="0"/>
    <n v="0.61521273574123059"/>
    <n v="1"/>
    <n v="72.099999999999994"/>
    <n v="72.099999999999994"/>
    <n v="-7.0926251579398283"/>
    <n v="1522.6619526828561"/>
    <n v="0"/>
    <n v="1"/>
    <n v="0"/>
    <n v="0"/>
    <n v="0"/>
    <n v="0"/>
    <n v="0"/>
    <n v="0"/>
    <n v="0"/>
    <n v="0"/>
  </r>
  <r>
    <d v="1999-08-06T00:00:00"/>
    <n v="1999"/>
    <x v="24"/>
    <s v="R"/>
    <s v="RS"/>
    <x v="4"/>
    <s v="CHA"/>
    <s v="H"/>
    <n v="3"/>
    <n v="1"/>
    <n v="2"/>
    <n v="-2"/>
    <n v="16"/>
    <n v="-16"/>
    <n v="1701.9485564207098"/>
    <n v="1529.7545778407959"/>
    <n v="0.84010075022809616"/>
    <n v="81"/>
    <n v="51"/>
    <n v="0"/>
    <n v="30"/>
    <n v="1"/>
    <n v="0.61521273574123059"/>
    <n v="1"/>
    <n v="72.25"/>
    <n v="72.25"/>
    <n v="7.1073809661741034"/>
    <n v="1709.0559373868839"/>
    <n v="1"/>
    <n v="0"/>
    <n v="0"/>
    <n v="0"/>
    <n v="0"/>
    <n v="0"/>
    <n v="0"/>
    <n v="0"/>
    <n v="0"/>
    <n v="0"/>
  </r>
  <r>
    <d v="1999-08-06T00:00:00"/>
    <n v="1999"/>
    <x v="23"/>
    <s v="R"/>
    <s v="RS"/>
    <x v="1"/>
    <s v="MIN"/>
    <s v="A"/>
    <n v="0"/>
    <n v="1"/>
    <n v="-1"/>
    <n v="1"/>
    <n v="-8"/>
    <n v="8"/>
    <n v="1586.3324769561787"/>
    <n v="1506.6774461170974"/>
    <n v="0.47075465544308337"/>
    <n v="77"/>
    <n v="59"/>
    <n v="0"/>
    <n v="18"/>
    <n v="1"/>
    <n v="0.51279501329456634"/>
    <n v="1"/>
    <n v="72.400000000000006"/>
    <n v="72.400000000000006"/>
    <n v="19.648952641266167"/>
    <n v="1605.9814295974447"/>
    <n v="1"/>
    <n v="0"/>
    <n v="0"/>
    <n v="0"/>
    <n v="0"/>
    <n v="0"/>
    <n v="0"/>
    <n v="0"/>
    <n v="0"/>
    <n v="0"/>
  </r>
  <r>
    <d v="1999-08-06T00:00:00"/>
    <n v="1999"/>
    <x v="23"/>
    <s v="R"/>
    <s v="RS"/>
    <x v="9"/>
    <s v="LAS"/>
    <s v="H"/>
    <n v="1"/>
    <n v="0"/>
    <n v="1"/>
    <n v="-1"/>
    <n v="8"/>
    <n v="-8"/>
    <n v="1506.6774461170974"/>
    <n v="1586.3324769561787"/>
    <n v="0.52924534455691652"/>
    <n v="59"/>
    <n v="77"/>
    <n v="0"/>
    <n v="-18"/>
    <n v="0"/>
    <n v="0.51279501329456634"/>
    <n v="1"/>
    <n v="72.400000000000006"/>
    <n v="72.400000000000006"/>
    <n v="-19.64895264126616"/>
    <n v="1487.0284934758313"/>
    <n v="0"/>
    <n v="1"/>
    <n v="0"/>
    <n v="0"/>
    <n v="0"/>
    <n v="0"/>
    <n v="0"/>
    <n v="0"/>
    <n v="0"/>
    <n v="0"/>
  </r>
  <r>
    <d v="1999-08-06T00:00:00"/>
    <n v="1999"/>
    <x v="23"/>
    <s v="R"/>
    <s v="RS"/>
    <x v="3"/>
    <s v="PHX"/>
    <s v="A"/>
    <n v="2"/>
    <n v="3"/>
    <n v="-1"/>
    <n v="1"/>
    <n v="-8"/>
    <n v="8"/>
    <n v="1549.0166070851383"/>
    <n v="1519.0614873565837"/>
    <n v="0.40054116942397011"/>
    <n v="55"/>
    <n v="68"/>
    <n v="0"/>
    <n v="-13"/>
    <n v="0"/>
    <n v="0.4605472977761616"/>
    <n v="1"/>
    <n v="72.400000000000006"/>
    <n v="72.400000000000006"/>
    <n v="-13.355494293585075"/>
    <n v="1535.6611127915533"/>
    <n v="0"/>
    <n v="1"/>
    <n v="0"/>
    <n v="0"/>
    <n v="0"/>
    <n v="0"/>
    <n v="0"/>
    <n v="0"/>
    <n v="0"/>
    <n v="0"/>
  </r>
  <r>
    <d v="1999-08-06T00:00:00"/>
    <n v="1999"/>
    <x v="23"/>
    <s v="R"/>
    <s v="RS"/>
    <x v="10"/>
    <s v="NYL"/>
    <s v="H"/>
    <n v="3"/>
    <n v="2"/>
    <n v="1"/>
    <n v="-1"/>
    <n v="8"/>
    <n v="-8"/>
    <n v="1519.0614873565837"/>
    <n v="1549.0166070851383"/>
    <n v="0.59945883057602989"/>
    <n v="68"/>
    <n v="55"/>
    <n v="0"/>
    <n v="13"/>
    <n v="1"/>
    <n v="0.4605472977761616"/>
    <n v="1"/>
    <n v="72.400000000000006"/>
    <n v="72.400000000000006"/>
    <n v="13.355494293585075"/>
    <n v="1532.4169816501687"/>
    <n v="1"/>
    <n v="0"/>
    <n v="0"/>
    <n v="0"/>
    <n v="0"/>
    <n v="0"/>
    <n v="0"/>
    <n v="0"/>
    <n v="0"/>
    <n v="0"/>
  </r>
  <r>
    <d v="1999-08-06T00:00:00"/>
    <n v="1999"/>
    <x v="24"/>
    <s v="R"/>
    <s v="RS"/>
    <x v="8"/>
    <s v="SAC"/>
    <s v="A"/>
    <n v="1"/>
    <n v="1"/>
    <n v="0"/>
    <n v="0"/>
    <n v="0"/>
    <n v="0"/>
    <n v="1453.7977901301713"/>
    <n v="1553.0261457149022"/>
    <n v="0.2583145505042328"/>
    <n v="58"/>
    <n v="71"/>
    <n v="0"/>
    <n v="-13"/>
    <n v="0"/>
    <n v="0.4359914901349296"/>
    <n v="1"/>
    <n v="72.25"/>
    <n v="72.25"/>
    <n v="-8.1370078338964689"/>
    <n v="1445.6607822962749"/>
    <n v="0"/>
    <n v="1"/>
    <n v="0"/>
    <n v="0"/>
    <n v="0"/>
    <n v="0"/>
    <n v="0"/>
    <n v="0"/>
    <n v="0"/>
    <n v="0"/>
  </r>
  <r>
    <d v="1999-08-06T00:00:00"/>
    <n v="1999"/>
    <x v="25"/>
    <s v="R"/>
    <s v="RS"/>
    <x v="0"/>
    <s v="DET"/>
    <s v="H"/>
    <n v="1"/>
    <n v="1"/>
    <n v="0"/>
    <n v="0"/>
    <n v="0"/>
    <n v="0"/>
    <n v="1553.0261457149022"/>
    <n v="1453.7977901301713"/>
    <n v="0.7416854494957672"/>
    <n v="71"/>
    <n v="58"/>
    <n v="0"/>
    <n v="13"/>
    <n v="1"/>
    <n v="0.4359914901349296"/>
    <n v="1"/>
    <n v="72.099999999999994"/>
    <n v="72.099999999999994"/>
    <n v="8.1201143920267871"/>
    <n v="1561.146260106929"/>
    <n v="1"/>
    <n v="0"/>
    <n v="0"/>
    <n v="0"/>
    <n v="0"/>
    <n v="0"/>
    <n v="0"/>
    <n v="0"/>
    <n v="0"/>
    <n v="0"/>
  </r>
  <r>
    <d v="1999-08-07T00:00:00"/>
    <n v="1999"/>
    <x v="24"/>
    <s v="R"/>
    <s v="RS"/>
    <x v="5"/>
    <s v="CHA"/>
    <s v="A"/>
    <n v="1"/>
    <n v="0"/>
    <n v="1"/>
    <n v="-1"/>
    <n v="8"/>
    <n v="-8"/>
    <n v="1447.3772964501211"/>
    <n v="1522.6619526828561"/>
    <n v="0.30474299559155155"/>
    <n v="60"/>
    <n v="64"/>
    <n v="0"/>
    <n v="-4"/>
    <n v="0"/>
    <n v="0.29304773648625532"/>
    <n v="1"/>
    <n v="72.25"/>
    <n v="72.25"/>
    <n v="-6.4522317061734809"/>
    <n v="1440.9250647439476"/>
    <n v="0"/>
    <n v="1"/>
    <n v="0"/>
    <n v="0"/>
    <n v="0"/>
    <n v="0"/>
    <n v="0"/>
    <n v="0"/>
    <n v="0"/>
    <n v="0"/>
  </r>
  <r>
    <d v="1999-08-07T00:00:00"/>
    <n v="1999"/>
    <x v="26"/>
    <s v="R"/>
    <s v="RS"/>
    <x v="6"/>
    <s v="ORL"/>
    <s v="H"/>
    <n v="0"/>
    <n v="1"/>
    <n v="-1"/>
    <n v="1"/>
    <n v="-8"/>
    <n v="8"/>
    <n v="1522.6619526828561"/>
    <n v="1447.3772964501211"/>
    <n v="0.6952570044084484"/>
    <n v="64"/>
    <n v="60"/>
    <n v="0"/>
    <n v="4"/>
    <n v="1"/>
    <n v="0.29304773648625532"/>
    <n v="1"/>
    <n v="71.95"/>
    <n v="71.95"/>
    <n v="6.4254404326530388"/>
    <n v="1529.087393115509"/>
    <n v="1"/>
    <n v="0"/>
    <n v="0"/>
    <n v="0"/>
    <n v="0"/>
    <n v="0"/>
    <n v="0"/>
    <n v="0"/>
    <n v="0"/>
    <n v="0"/>
  </r>
  <r>
    <d v="1999-08-07T00:00:00"/>
    <n v="1999"/>
    <x v="25"/>
    <s v="R"/>
    <s v="RS"/>
    <x v="7"/>
    <s v="CLE"/>
    <s v="A"/>
    <n v="1"/>
    <n v="2"/>
    <n v="-1"/>
    <n v="1"/>
    <n v="-8"/>
    <n v="8"/>
    <n v="1345.2658657470283"/>
    <n v="1395.3429105515334"/>
    <n v="0.29652247429970296"/>
    <n v="63"/>
    <n v="62"/>
    <n v="0"/>
    <n v="1"/>
    <n v="1"/>
    <n v="0.23439803680594401"/>
    <n v="1"/>
    <n v="72.099999999999994"/>
    <n v="72.099999999999994"/>
    <n v="11.888839444306313"/>
    <n v="1357.1547051913346"/>
    <n v="1"/>
    <n v="0"/>
    <n v="0"/>
    <n v="0"/>
    <n v="0"/>
    <n v="0"/>
    <n v="0"/>
    <n v="0"/>
    <n v="0"/>
    <n v="0"/>
  </r>
  <r>
    <d v="1999-08-07T00:00:00"/>
    <n v="1999"/>
    <x v="25"/>
    <s v="R"/>
    <s v="RS"/>
    <x v="2"/>
    <s v="WAS"/>
    <s v="H"/>
    <n v="2"/>
    <n v="1"/>
    <n v="1"/>
    <n v="-1"/>
    <n v="8"/>
    <n v="-8"/>
    <n v="1395.3429105515334"/>
    <n v="1345.2658657470283"/>
    <n v="0.70347752570029709"/>
    <n v="62"/>
    <n v="63"/>
    <n v="0"/>
    <n v="-1"/>
    <n v="0"/>
    <n v="0.23439803680594401"/>
    <n v="1"/>
    <n v="72.099999999999994"/>
    <n v="72.099999999999994"/>
    <n v="-11.888839444306317"/>
    <n v="1383.454071107227"/>
    <n v="0"/>
    <n v="1"/>
    <n v="0"/>
    <n v="0"/>
    <n v="0"/>
    <n v="0"/>
    <n v="0"/>
    <n v="0"/>
    <n v="0"/>
    <n v="0"/>
  </r>
  <r>
    <d v="1999-08-07T00:00:00"/>
    <n v="1999"/>
    <x v="24"/>
    <s v="R"/>
    <s v="RS"/>
    <x v="10"/>
    <s v="SAC"/>
    <s v="A"/>
    <n v="0"/>
    <n v="0"/>
    <n v="0"/>
    <n v="0"/>
    <n v="0"/>
    <n v="0"/>
    <n v="1532.4169816501687"/>
    <n v="1561.146260106929"/>
    <n v="0.34323252799292331"/>
    <n v="60"/>
    <n v="71"/>
    <n v="0"/>
    <n v="-11"/>
    <n v="0"/>
    <n v="0.42955203685881033"/>
    <n v="1"/>
    <n v="72.25"/>
    <n v="72.25"/>
    <n v="-10.652267726999126"/>
    <n v="1521.7647139231697"/>
    <n v="0"/>
    <n v="1"/>
    <n v="0"/>
    <n v="0"/>
    <n v="0"/>
    <n v="0"/>
    <n v="0"/>
    <n v="0"/>
    <n v="0"/>
    <n v="0"/>
  </r>
  <r>
    <d v="1999-08-07T00:00:00"/>
    <n v="1999"/>
    <x v="26"/>
    <s v="R"/>
    <s v="RS"/>
    <x v="0"/>
    <s v="PHX"/>
    <s v="H"/>
    <n v="0"/>
    <n v="0"/>
    <n v="0"/>
    <n v="0"/>
    <n v="0"/>
    <n v="0"/>
    <n v="1561.146260106929"/>
    <n v="1532.4169816501687"/>
    <n v="0.65676747200707664"/>
    <n v="71"/>
    <n v="60"/>
    <n v="0"/>
    <n v="11"/>
    <n v="1"/>
    <n v="0.42955203685881033"/>
    <n v="1"/>
    <n v="71.95"/>
    <n v="71.95"/>
    <n v="10.608036857544461"/>
    <n v="1571.7542969644735"/>
    <n v="1"/>
    <n v="0"/>
    <n v="0"/>
    <n v="0"/>
    <n v="0"/>
    <n v="0"/>
    <n v="0"/>
    <n v="0"/>
    <n v="0"/>
    <n v="0"/>
  </r>
  <r>
    <d v="1999-08-07T00:00:00"/>
    <n v="1999"/>
    <x v="24"/>
    <s v="R"/>
    <s v="RS"/>
    <x v="9"/>
    <s v="UTA"/>
    <s v="A"/>
    <n v="0"/>
    <n v="1"/>
    <n v="-1"/>
    <n v="1"/>
    <n v="-8"/>
    <n v="8"/>
    <n v="1487.0284934758313"/>
    <n v="1411.8451613140628"/>
    <n v="0.46434655782290907"/>
    <n v="70"/>
    <n v="80"/>
    <n v="0"/>
    <n v="-10"/>
    <n v="0"/>
    <n v="0.39818246238990784"/>
    <n v="1"/>
    <n v="72.25"/>
    <n v="72.25"/>
    <n v="-13.358638881275713"/>
    <n v="1473.6698545945555"/>
    <n v="0"/>
    <n v="1"/>
    <n v="0"/>
    <n v="0"/>
    <n v="0"/>
    <n v="0"/>
    <n v="0"/>
    <n v="0"/>
    <n v="0"/>
    <n v="0"/>
  </r>
  <r>
    <d v="1999-08-07T00:00:00"/>
    <n v="1999"/>
    <x v="24"/>
    <s v="R"/>
    <s v="RS"/>
    <x v="11"/>
    <s v="MIN"/>
    <s v="H"/>
    <n v="1"/>
    <n v="0"/>
    <n v="1"/>
    <n v="-1"/>
    <n v="8"/>
    <n v="-8"/>
    <n v="1411.8451613140628"/>
    <n v="1487.0284934758313"/>
    <n v="0.53565344217709088"/>
    <n v="80"/>
    <n v="70"/>
    <n v="0"/>
    <n v="10"/>
    <n v="1"/>
    <n v="0.39818246238990784"/>
    <n v="1"/>
    <n v="72.25"/>
    <n v="72.25"/>
    <n v="13.358638881275715"/>
    <n v="1425.2038001953385"/>
    <n v="1"/>
    <n v="0"/>
    <n v="0"/>
    <n v="0"/>
    <n v="0"/>
    <n v="0"/>
    <n v="0"/>
    <n v="0"/>
    <n v="0"/>
    <n v="0"/>
  </r>
  <r>
    <d v="1999-08-08T00:00:00"/>
    <n v="1999"/>
    <x v="25"/>
    <s v="R"/>
    <s v="RS"/>
    <x v="4"/>
    <s v="NYL"/>
    <s v="A"/>
    <n v="1"/>
    <n v="1"/>
    <n v="0"/>
    <n v="0"/>
    <n v="0"/>
    <n v="0"/>
    <n v="1709.0559373868839"/>
    <n v="1535.6611127915533"/>
    <n v="0.62588372735141329"/>
    <n v="71"/>
    <n v="74"/>
    <n v="0"/>
    <n v="-3"/>
    <n v="0"/>
    <n v="0.25354706387586129"/>
    <n v="1"/>
    <n v="72.099999999999994"/>
    <n v="72.099999999999994"/>
    <n v="-11.441619758769189"/>
    <n v="1697.6143176281148"/>
    <n v="0"/>
    <n v="1"/>
    <n v="0"/>
    <n v="0"/>
    <n v="0"/>
    <n v="0"/>
    <n v="0"/>
    <n v="0"/>
    <n v="0"/>
    <n v="0"/>
  </r>
  <r>
    <d v="1999-08-08T00:00:00"/>
    <n v="1999"/>
    <x v="24"/>
    <s v="R"/>
    <s v="RS"/>
    <x v="3"/>
    <s v="HOU"/>
    <s v="H"/>
    <n v="1"/>
    <n v="1"/>
    <n v="0"/>
    <n v="0"/>
    <n v="0"/>
    <n v="0"/>
    <n v="1535.6611127915533"/>
    <n v="1709.0559373868839"/>
    <n v="0.37411627264858666"/>
    <n v="74"/>
    <n v="71"/>
    <n v="0"/>
    <n v="3"/>
    <n v="1"/>
    <n v="0.25354706387586129"/>
    <n v="1"/>
    <n v="72.25"/>
    <n v="72.25"/>
    <n v="11.465423405978834"/>
    <n v="1547.126536197532"/>
    <n v="1"/>
    <n v="0"/>
    <n v="0"/>
    <n v="0"/>
    <n v="0"/>
    <n v="0"/>
    <n v="0"/>
    <n v="0"/>
    <n v="0"/>
    <n v="0"/>
  </r>
  <r>
    <d v="1999-08-08T00:00:00"/>
    <n v="1999"/>
    <x v="26"/>
    <s v="R"/>
    <s v="RS"/>
    <x v="2"/>
    <s v="WAS"/>
    <s v="A"/>
    <n v="0"/>
    <n v="0"/>
    <n v="0"/>
    <n v="0"/>
    <n v="0"/>
    <n v="0"/>
    <n v="1383.454071107227"/>
    <n v="1357.1547051913346"/>
    <n v="0.4177172102370148"/>
    <n v="45"/>
    <n v="80"/>
    <n v="0"/>
    <n v="-35"/>
    <n v="0"/>
    <n v="0.74582938658828457"/>
    <n v="1"/>
    <n v="71.95"/>
    <n v="71.95"/>
    <n v="-22.415718200313922"/>
    <n v="1361.0383529069131"/>
    <n v="0"/>
    <n v="1"/>
    <n v="0"/>
    <n v="0"/>
    <n v="0"/>
    <n v="0"/>
    <n v="0"/>
    <n v="0"/>
    <n v="0"/>
    <n v="0"/>
  </r>
  <r>
    <d v="1999-08-08T00:00:00"/>
    <n v="1999"/>
    <x v="26"/>
    <s v="R"/>
    <s v="RS"/>
    <x v="7"/>
    <s v="CLE"/>
    <s v="H"/>
    <n v="0"/>
    <n v="0"/>
    <n v="0"/>
    <n v="0"/>
    <n v="0"/>
    <n v="0"/>
    <n v="1357.1547051913346"/>
    <n v="1383.454071107227"/>
    <n v="0.5822827897629852"/>
    <n v="80"/>
    <n v="45"/>
    <n v="0"/>
    <n v="35"/>
    <n v="1"/>
    <n v="0.74582938658828457"/>
    <n v="1"/>
    <n v="71.95"/>
    <n v="71.95"/>
    <n v="22.415718200313922"/>
    <n v="1379.5704233916485"/>
    <n v="1"/>
    <n v="0"/>
    <n v="0"/>
    <n v="0"/>
    <n v="0"/>
    <n v="0"/>
    <n v="0"/>
    <n v="0"/>
    <n v="0"/>
    <n v="0"/>
  </r>
  <r>
    <d v="1999-08-09T00:00:00"/>
    <n v="1999"/>
    <x v="25"/>
    <s v="R"/>
    <s v="RS"/>
    <x v="8"/>
    <s v="LAS"/>
    <s v="A"/>
    <n v="2"/>
    <n v="2"/>
    <n v="0"/>
    <n v="0"/>
    <n v="0"/>
    <n v="0"/>
    <n v="1445.6607822962749"/>
    <n v="1605.9814295974447"/>
    <n v="0.19679890352825666"/>
    <n v="84"/>
    <n v="59"/>
    <n v="0"/>
    <n v="25"/>
    <n v="1"/>
    <n v="0.56575898895565191"/>
    <n v="1"/>
    <n v="72.099999999999994"/>
    <n v="72.099999999999994"/>
    <n v="32.763555123317353"/>
    <n v="1478.4243374195921"/>
    <n v="1"/>
    <n v="0"/>
    <n v="0"/>
    <n v="0"/>
    <n v="0"/>
    <n v="0"/>
    <n v="0"/>
    <n v="0"/>
    <n v="0"/>
    <n v="0"/>
  </r>
  <r>
    <d v="1999-08-09T00:00:00"/>
    <n v="1999"/>
    <x v="24"/>
    <s v="R"/>
    <s v="RS"/>
    <x v="1"/>
    <s v="DET"/>
    <s v="H"/>
    <n v="2"/>
    <n v="2"/>
    <n v="0"/>
    <n v="0"/>
    <n v="0"/>
    <n v="0"/>
    <n v="1605.9814295974447"/>
    <n v="1445.6607822962749"/>
    <n v="0.80320109647174331"/>
    <n v="59"/>
    <n v="84"/>
    <n v="0"/>
    <n v="-25"/>
    <n v="0"/>
    <n v="0.56575898895565191"/>
    <n v="1"/>
    <n v="72.25"/>
    <n v="72.25"/>
    <n v="-32.831717859357546"/>
    <n v="1573.1497117380873"/>
    <n v="0"/>
    <n v="1"/>
    <n v="0"/>
    <n v="0"/>
    <n v="0"/>
    <n v="0"/>
    <n v="0"/>
    <n v="0"/>
    <n v="0"/>
    <n v="0"/>
  </r>
  <r>
    <d v="1999-08-09T00:00:00"/>
    <n v="1999"/>
    <x v="25"/>
    <s v="R"/>
    <s v="RS"/>
    <x v="3"/>
    <s v="ORL"/>
    <s v="A"/>
    <n v="0"/>
    <n v="1"/>
    <n v="-1"/>
    <n v="1"/>
    <n v="-8"/>
    <n v="8"/>
    <n v="1547.126536197532"/>
    <n v="1440.9250647439476"/>
    <n v="0.50892368716246106"/>
    <n v="80"/>
    <n v="75"/>
    <n v="0"/>
    <n v="5"/>
    <n v="1"/>
    <n v="0.3047823626400224"/>
    <n v="1"/>
    <n v="72.099999999999994"/>
    <n v="72.099999999999994"/>
    <n v="10.791307858034981"/>
    <n v="1557.917844055567"/>
    <n v="1"/>
    <n v="0"/>
    <n v="0"/>
    <n v="0"/>
    <n v="0"/>
    <n v="0"/>
    <n v="0"/>
    <n v="0"/>
    <n v="0"/>
    <n v="0"/>
  </r>
  <r>
    <d v="1999-08-09T00:00:00"/>
    <n v="1999"/>
    <x v="25"/>
    <s v="R"/>
    <s v="RS"/>
    <x v="5"/>
    <s v="NYL"/>
    <s v="H"/>
    <n v="1"/>
    <n v="0"/>
    <n v="1"/>
    <n v="-1"/>
    <n v="8"/>
    <n v="-8"/>
    <n v="1440.9250647439476"/>
    <n v="1547.126536197532"/>
    <n v="0.49107631283753894"/>
    <n v="75"/>
    <n v="80"/>
    <n v="0"/>
    <n v="-5"/>
    <n v="0"/>
    <n v="0.3047823626400224"/>
    <n v="1"/>
    <n v="72.099999999999994"/>
    <n v="72.099999999999994"/>
    <n v="-10.791307858034981"/>
    <n v="1430.1337568859126"/>
    <n v="0"/>
    <n v="1"/>
    <n v="0"/>
    <n v="0"/>
    <n v="0"/>
    <n v="0"/>
    <n v="0"/>
    <n v="0"/>
    <n v="0"/>
    <n v="0"/>
  </r>
  <r>
    <d v="1999-08-09T00:00:00"/>
    <n v="1999"/>
    <x v="25"/>
    <s v="R"/>
    <s v="RS"/>
    <x v="9"/>
    <s v="PHX"/>
    <s v="A"/>
    <n v="1"/>
    <n v="1"/>
    <n v="0"/>
    <n v="0"/>
    <n v="0"/>
    <n v="0"/>
    <n v="1473.6698545945555"/>
    <n v="1521.7647139231697"/>
    <n v="0.31855961598231358"/>
    <n v="55"/>
    <n v="64"/>
    <n v="0"/>
    <n v="-9"/>
    <n v="0"/>
    <n v="0.39032756920315481"/>
    <n v="1"/>
    <n v="72.099999999999994"/>
    <n v="72.099999999999994"/>
    <n v="-8.9651014998472842"/>
    <n v="1464.7047530947082"/>
    <n v="0"/>
    <n v="1"/>
    <n v="0"/>
    <n v="0"/>
    <n v="0"/>
    <n v="0"/>
    <n v="0"/>
    <n v="0"/>
    <n v="0"/>
    <n v="0"/>
  </r>
  <r>
    <d v="1999-08-09T00:00:00"/>
    <n v="1999"/>
    <x v="25"/>
    <s v="R"/>
    <s v="RS"/>
    <x v="10"/>
    <s v="MIN"/>
    <s v="H"/>
    <n v="1"/>
    <n v="1"/>
    <n v="0"/>
    <n v="0"/>
    <n v="0"/>
    <n v="0"/>
    <n v="1521.7647139231697"/>
    <n v="1473.6698545945555"/>
    <n v="0.68144038401768636"/>
    <n v="64"/>
    <n v="55"/>
    <n v="0"/>
    <n v="9"/>
    <n v="1"/>
    <n v="0.39032756920315481"/>
    <n v="1"/>
    <n v="72.099999999999994"/>
    <n v="72.099999999999994"/>
    <n v="8.965101499847286"/>
    <n v="1530.729815423017"/>
    <n v="1"/>
    <n v="0"/>
    <n v="0"/>
    <n v="0"/>
    <n v="0"/>
    <n v="0"/>
    <n v="0"/>
    <n v="0"/>
    <n v="0"/>
    <n v="0"/>
  </r>
  <r>
    <d v="1999-08-09T00:00:00"/>
    <n v="1999"/>
    <x v="27"/>
    <s v="R"/>
    <s v="RS"/>
    <x v="6"/>
    <s v="UTA"/>
    <s v="A"/>
    <n v="1"/>
    <n v="1"/>
    <n v="0"/>
    <n v="0"/>
    <n v="0"/>
    <n v="0"/>
    <n v="1529.087393115509"/>
    <n v="1425.2038001953385"/>
    <n v="0.52858359132297517"/>
    <n v="65"/>
    <n v="67"/>
    <n v="0"/>
    <n v="-2"/>
    <n v="0"/>
    <n v="0.24650174809836875"/>
    <n v="1"/>
    <n v="71.8"/>
    <n v="71.8"/>
    <n v="-9.3553087521049072"/>
    <n v="1519.7320843634041"/>
    <n v="0"/>
    <n v="1"/>
    <n v="0"/>
    <n v="0"/>
    <n v="0"/>
    <n v="0"/>
    <n v="0"/>
    <n v="0"/>
    <n v="0"/>
    <n v="0"/>
  </r>
  <r>
    <d v="1999-08-09T00:00:00"/>
    <n v="1999"/>
    <x v="25"/>
    <s v="R"/>
    <s v="RS"/>
    <x v="11"/>
    <s v="CHA"/>
    <s v="H"/>
    <n v="1"/>
    <n v="1"/>
    <n v="0"/>
    <n v="0"/>
    <n v="0"/>
    <n v="0"/>
    <n v="1425.2038001953385"/>
    <n v="1529.087393115509"/>
    <n v="0.47141640867702472"/>
    <n v="67"/>
    <n v="65"/>
    <n v="0"/>
    <n v="2"/>
    <n v="1"/>
    <n v="0.24650174809836875"/>
    <n v="1"/>
    <n v="72.099999999999994"/>
    <n v="72.099999999999994"/>
    <n v="9.3943977858880761"/>
    <n v="1434.5981979812266"/>
    <n v="1"/>
    <n v="0"/>
    <n v="0"/>
    <n v="0"/>
    <n v="0"/>
    <n v="0"/>
    <n v="0"/>
    <n v="0"/>
    <n v="0"/>
    <n v="0"/>
  </r>
  <r>
    <d v="1999-08-10T00:00:00"/>
    <n v="1999"/>
    <x v="25"/>
    <s v="R"/>
    <s v="RS"/>
    <x v="1"/>
    <s v="SAC"/>
    <s v="A"/>
    <n v="0"/>
    <n v="2"/>
    <n v="-2"/>
    <n v="2"/>
    <n v="-16"/>
    <n v="16"/>
    <n v="1573.1497117380873"/>
    <n v="1571.7542969644735"/>
    <n v="0.34080318108494445"/>
    <n v="80"/>
    <n v="82"/>
    <n v="0"/>
    <n v="-2"/>
    <n v="0"/>
    <n v="0.26753022445334451"/>
    <n v="1"/>
    <n v="72.099999999999994"/>
    <n v="72.099999999999994"/>
    <n v="-6.5737284253179737"/>
    <n v="1566.5759833127693"/>
    <n v="0"/>
    <n v="1"/>
    <n v="0"/>
    <n v="0"/>
    <n v="0"/>
    <n v="0"/>
    <n v="0"/>
    <n v="0"/>
    <n v="0"/>
    <n v="0"/>
  </r>
  <r>
    <d v="1999-08-10T00:00:00"/>
    <n v="1999"/>
    <x v="27"/>
    <s v="R"/>
    <s v="RS"/>
    <x v="0"/>
    <s v="LAS"/>
    <s v="H"/>
    <n v="2"/>
    <n v="0"/>
    <n v="2"/>
    <n v="-2"/>
    <n v="16"/>
    <n v="-16"/>
    <n v="1571.7542969644735"/>
    <n v="1573.1497117380873"/>
    <n v="0.65919681891505555"/>
    <n v="82"/>
    <n v="80"/>
    <n v="0"/>
    <n v="2"/>
    <n v="1"/>
    <n v="0.26753022445334451"/>
    <n v="1"/>
    <n v="71.8"/>
    <n v="71.8"/>
    <n v="6.546375879858954"/>
    <n v="1578.3006728443324"/>
    <n v="1"/>
    <n v="0"/>
    <n v="0"/>
    <n v="0"/>
    <n v="0"/>
    <n v="0"/>
    <n v="0"/>
    <n v="0"/>
    <n v="0"/>
    <n v="0"/>
  </r>
  <r>
    <d v="1999-08-11T00:00:00"/>
    <n v="1999"/>
    <x v="26"/>
    <s v="R"/>
    <s v="RS"/>
    <x v="11"/>
    <s v="MIN"/>
    <s v="A"/>
    <n v="1"/>
    <n v="1"/>
    <n v="0"/>
    <n v="0"/>
    <n v="0"/>
    <n v="0"/>
    <n v="1434.5981979812266"/>
    <n v="1464.7047530947082"/>
    <n v="0.341447540238832"/>
    <n v="73"/>
    <n v="83"/>
    <n v="0"/>
    <n v="-10"/>
    <n v="0"/>
    <n v="0.41277370410557523"/>
    <n v="1"/>
    <n v="71.95"/>
    <n v="71.95"/>
    <n v="-10.140673719535544"/>
    <n v="1424.4575242616911"/>
    <n v="0"/>
    <n v="1"/>
    <n v="0"/>
    <n v="0"/>
    <n v="0"/>
    <n v="0"/>
    <n v="0"/>
    <n v="0"/>
    <n v="0"/>
    <n v="0"/>
  </r>
  <r>
    <d v="1999-08-11T00:00:00"/>
    <n v="1999"/>
    <x v="26"/>
    <s v="R"/>
    <s v="RS"/>
    <x v="9"/>
    <s v="UTA"/>
    <s v="H"/>
    <n v="1"/>
    <n v="1"/>
    <n v="0"/>
    <n v="0"/>
    <n v="0"/>
    <n v="0"/>
    <n v="1464.7047530947082"/>
    <n v="1434.5981979812266"/>
    <n v="0.65855245976116794"/>
    <n v="83"/>
    <n v="73"/>
    <n v="0"/>
    <n v="10"/>
    <n v="1"/>
    <n v="0.41277370410557523"/>
    <n v="1"/>
    <n v="71.95"/>
    <n v="71.95"/>
    <n v="10.140673719535545"/>
    <n v="1474.8454268142436"/>
    <n v="1"/>
    <n v="0"/>
    <n v="0"/>
    <n v="0"/>
    <n v="0"/>
    <n v="0"/>
    <n v="0"/>
    <n v="0"/>
    <n v="0"/>
    <n v="0"/>
  </r>
  <r>
    <d v="1999-08-11T00:00:00"/>
    <n v="1999"/>
    <x v="26"/>
    <s v="R"/>
    <s v="RS"/>
    <x v="8"/>
    <s v="PHX"/>
    <s v="A"/>
    <n v="1"/>
    <n v="1"/>
    <n v="0"/>
    <n v="0"/>
    <n v="0"/>
    <n v="0"/>
    <n v="1478.4243374195921"/>
    <n v="1530.729815423017"/>
    <n v="0.31332128090972611"/>
    <n v="57"/>
    <n v="68"/>
    <n v="0"/>
    <n v="-11"/>
    <n v="0"/>
    <n v="0.42146518847034398"/>
    <n v="1"/>
    <n v="71.95"/>
    <n v="71.95"/>
    <n v="-9.5012862145123673"/>
    <n v="1468.9230512050797"/>
    <n v="0"/>
    <n v="1"/>
    <n v="0"/>
    <n v="0"/>
    <n v="0"/>
    <n v="0"/>
    <n v="0"/>
    <n v="0"/>
    <n v="0"/>
    <n v="0"/>
  </r>
  <r>
    <d v="1999-08-11T00:00:00"/>
    <n v="1999"/>
    <x v="26"/>
    <s v="R"/>
    <s v="RS"/>
    <x v="10"/>
    <s v="DET"/>
    <s v="H"/>
    <n v="1"/>
    <n v="1"/>
    <n v="0"/>
    <n v="0"/>
    <n v="0"/>
    <n v="0"/>
    <n v="1530.729815423017"/>
    <n v="1478.4243374195921"/>
    <n v="0.68667871909027389"/>
    <n v="68"/>
    <n v="57"/>
    <n v="0"/>
    <n v="11"/>
    <n v="1"/>
    <n v="0.42146518847034398"/>
    <n v="1"/>
    <n v="71.95"/>
    <n v="71.95"/>
    <n v="9.5012862145123673"/>
    <n v="1540.2311016375295"/>
    <n v="1"/>
    <n v="0"/>
    <n v="0"/>
    <n v="0"/>
    <n v="0"/>
    <n v="0"/>
    <n v="0"/>
    <n v="0"/>
    <n v="0"/>
    <n v="0"/>
  </r>
  <r>
    <d v="1999-08-11T00:00:00"/>
    <n v="1999"/>
    <x v="26"/>
    <s v="R"/>
    <s v="RS"/>
    <x v="3"/>
    <s v="WAS"/>
    <s v="A"/>
    <n v="1"/>
    <n v="2"/>
    <n v="-1"/>
    <n v="1"/>
    <n v="-8"/>
    <n v="8"/>
    <n v="1557.917844055567"/>
    <n v="1379.5704233916485"/>
    <n v="0.61087791913209621"/>
    <n v="56"/>
    <n v="59"/>
    <n v="1"/>
    <n v="-3"/>
    <n v="0"/>
    <n v="0.22737243026554796"/>
    <n v="1"/>
    <n v="71.95"/>
    <n v="71.95"/>
    <n v="-9.9936245490876132"/>
    <n v="1547.9242195064794"/>
    <n v="0"/>
    <n v="1"/>
    <n v="0"/>
    <n v="0"/>
    <n v="0"/>
    <n v="0"/>
    <n v="0"/>
    <n v="0"/>
    <n v="0"/>
    <n v="0"/>
  </r>
  <r>
    <d v="1999-08-11T00:00:00"/>
    <n v="1999"/>
    <x v="27"/>
    <s v="R"/>
    <s v="RS"/>
    <x v="7"/>
    <s v="NYL"/>
    <s v="H"/>
    <n v="2"/>
    <n v="1"/>
    <n v="1"/>
    <n v="-1"/>
    <n v="8"/>
    <n v="-8"/>
    <n v="1379.5704233916485"/>
    <n v="1557.917844055567"/>
    <n v="0.38912208086790379"/>
    <n v="59"/>
    <n v="56"/>
    <n v="1"/>
    <n v="3"/>
    <n v="1"/>
    <n v="0.22737243026554796"/>
    <n v="1"/>
    <n v="71.8"/>
    <n v="71.8"/>
    <n v="9.9727900295273173"/>
    <n v="1389.5432134211758"/>
    <n v="1"/>
    <n v="0"/>
    <n v="0"/>
    <n v="0"/>
    <n v="0"/>
    <n v="0"/>
    <n v="0"/>
    <n v="0"/>
    <n v="0"/>
    <n v="0"/>
  </r>
  <r>
    <d v="1999-08-12T00:00:00"/>
    <n v="1999"/>
    <x v="26"/>
    <s v="R"/>
    <s v="RS"/>
    <x v="1"/>
    <s v="HOU"/>
    <s v="A"/>
    <n v="1"/>
    <n v="3"/>
    <n v="-2"/>
    <n v="2"/>
    <n v="-16"/>
    <n v="16"/>
    <n v="1566.5759833127693"/>
    <n v="1697.6143176281148"/>
    <n v="0.19433775318457222"/>
    <n v="61"/>
    <n v="83"/>
    <n v="0"/>
    <n v="-22"/>
    <n v="0"/>
    <n v="0.54278482216353874"/>
    <n v="1"/>
    <n v="71.95"/>
    <n v="71.95"/>
    <n v="-7.5895437826002823"/>
    <n v="1558.986439530169"/>
    <n v="0"/>
    <n v="1"/>
    <n v="0"/>
    <n v="0"/>
    <n v="0"/>
    <n v="0"/>
    <n v="0"/>
    <n v="0"/>
    <n v="0"/>
    <n v="0"/>
  </r>
  <r>
    <d v="1999-08-12T00:00:00"/>
    <n v="1999"/>
    <x v="26"/>
    <s v="R"/>
    <s v="RS"/>
    <x v="4"/>
    <s v="LAS"/>
    <s v="H"/>
    <n v="3"/>
    <n v="1"/>
    <n v="2"/>
    <n v="-2"/>
    <n v="16"/>
    <n v="-16"/>
    <n v="1697.6143176281148"/>
    <n v="1566.5759833127693"/>
    <n v="0.80566224681542775"/>
    <n v="83"/>
    <n v="61"/>
    <n v="0"/>
    <n v="22"/>
    <n v="1"/>
    <n v="0.54278482216353874"/>
    <n v="1"/>
    <n v="71.95"/>
    <n v="71.95"/>
    <n v="7.5895437826002832"/>
    <n v="1705.203861410715"/>
    <n v="1"/>
    <n v="0"/>
    <n v="0"/>
    <n v="0"/>
    <n v="0"/>
    <n v="0"/>
    <n v="0"/>
    <n v="0"/>
    <n v="0"/>
    <n v="0"/>
  </r>
  <r>
    <d v="1999-08-12T00:00:00"/>
    <n v="1999"/>
    <x v="27"/>
    <s v="R"/>
    <s v="RS"/>
    <x v="2"/>
    <s v="ORL"/>
    <s v="A"/>
    <n v="3"/>
    <n v="2"/>
    <n v="1"/>
    <n v="-1"/>
    <n v="8"/>
    <n v="-8"/>
    <n v="1361.0383529069131"/>
    <n v="1430.1337568859126"/>
    <n v="0.31234378189786743"/>
    <n v="54"/>
    <n v="55"/>
    <n v="0"/>
    <n v="-1"/>
    <n v="0"/>
    <n v="0.2308854040757371"/>
    <n v="1"/>
    <n v="71.8"/>
    <n v="71.8"/>
    <n v="-5.1779015371115706"/>
    <n v="1355.8604513698015"/>
    <n v="0"/>
    <n v="1"/>
    <n v="0"/>
    <n v="0"/>
    <n v="0"/>
    <n v="0"/>
    <n v="0"/>
    <n v="0"/>
    <n v="0"/>
    <n v="0"/>
  </r>
  <r>
    <d v="1999-08-12T00:00:00"/>
    <n v="1999"/>
    <x v="26"/>
    <s v="R"/>
    <s v="RS"/>
    <x v="5"/>
    <s v="CLE"/>
    <s v="H"/>
    <n v="2"/>
    <n v="3"/>
    <n v="-1"/>
    <n v="1"/>
    <n v="-8"/>
    <n v="8"/>
    <n v="1430.1337568859126"/>
    <n v="1361.0383529069131"/>
    <n v="0.68765621810213251"/>
    <n v="55"/>
    <n v="54"/>
    <n v="0"/>
    <n v="1"/>
    <n v="1"/>
    <n v="0.2308854040757371"/>
    <n v="1"/>
    <n v="71.95"/>
    <n v="71.95"/>
    <n v="5.1887188801556769"/>
    <n v="1435.3224757660682"/>
    <n v="1"/>
    <n v="0"/>
    <n v="0"/>
    <n v="0"/>
    <n v="0"/>
    <n v="0"/>
    <n v="0"/>
    <n v="0"/>
    <n v="0"/>
    <n v="0"/>
  </r>
  <r>
    <d v="1999-08-13T00:00:00"/>
    <n v="1999"/>
    <x v="27"/>
    <s v="R"/>
    <s v="RS"/>
    <x v="3"/>
    <s v="DET"/>
    <s v="A"/>
    <n v="1"/>
    <n v="1"/>
    <n v="0"/>
    <n v="0"/>
    <n v="0"/>
    <n v="0"/>
    <n v="1547.9242195064794"/>
    <n v="1468.9230512050797"/>
    <n v="0.49280659926373438"/>
    <n v="60"/>
    <n v="56"/>
    <n v="0"/>
    <n v="4"/>
    <n v="1"/>
    <n v="0.29219620055623541"/>
    <n v="1"/>
    <n v="71.8"/>
    <n v="71.8"/>
    <n v="10.640758897319504"/>
    <n v="1558.5649784037989"/>
    <n v="1"/>
    <n v="0"/>
    <n v="0"/>
    <n v="0"/>
    <n v="0"/>
    <n v="0"/>
    <n v="0"/>
    <n v="0"/>
    <n v="0"/>
    <n v="0"/>
  </r>
  <r>
    <d v="1999-08-13T00:00:00"/>
    <n v="1999"/>
    <x v="27"/>
    <s v="R"/>
    <s v="RS"/>
    <x v="8"/>
    <s v="NYL"/>
    <s v="H"/>
    <n v="1"/>
    <n v="1"/>
    <n v="0"/>
    <n v="0"/>
    <n v="0"/>
    <n v="0"/>
    <n v="1468.9230512050797"/>
    <n v="1547.9242195064794"/>
    <n v="0.50719340073626562"/>
    <n v="56"/>
    <n v="60"/>
    <n v="0"/>
    <n v="-4"/>
    <n v="0"/>
    <n v="0.29219620055623541"/>
    <n v="1"/>
    <n v="71.8"/>
    <n v="71.8"/>
    <n v="-10.640758897319504"/>
    <n v="1458.2822923077601"/>
    <n v="0"/>
    <n v="1"/>
    <n v="0"/>
    <n v="0"/>
    <n v="0"/>
    <n v="0"/>
    <n v="0"/>
    <n v="0"/>
    <n v="0"/>
    <n v="0"/>
  </r>
  <r>
    <d v="1999-08-13T00:00:00"/>
    <n v="1999"/>
    <x v="28"/>
    <s v="R"/>
    <s v="RS"/>
    <x v="6"/>
    <s v="SAC"/>
    <s v="A"/>
    <n v="3"/>
    <n v="2"/>
    <n v="1"/>
    <n v="-1"/>
    <n v="8"/>
    <n v="-8"/>
    <n v="1519.7320843634041"/>
    <n v="1578.3006728443324"/>
    <n v="0.3255047974669476"/>
    <n v="64"/>
    <n v="78"/>
    <n v="0"/>
    <n v="-14"/>
    <n v="0"/>
    <n v="0.46491683456613475"/>
    <n v="1"/>
    <n v="71.650000000000006"/>
    <n v="71.650000000000006"/>
    <n v="-10.842985094332487"/>
    <n v="1508.8890992690715"/>
    <n v="0"/>
    <n v="1"/>
    <n v="0"/>
    <n v="0"/>
    <n v="0"/>
    <n v="0"/>
    <n v="0"/>
    <n v="0"/>
    <n v="0"/>
    <n v="0"/>
  </r>
  <r>
    <d v="1999-08-13T00:00:00"/>
    <n v="1999"/>
    <x v="28"/>
    <s v="R"/>
    <s v="RS"/>
    <x v="0"/>
    <s v="CHA"/>
    <s v="H"/>
    <n v="2"/>
    <n v="3"/>
    <n v="-1"/>
    <n v="1"/>
    <n v="-8"/>
    <n v="8"/>
    <n v="1578.3006728443324"/>
    <n v="1519.7320843634041"/>
    <n v="0.67449520253305251"/>
    <n v="78"/>
    <n v="64"/>
    <n v="0"/>
    <n v="14"/>
    <n v="1"/>
    <n v="0.46491683456613475"/>
    <n v="1"/>
    <n v="71.650000000000006"/>
    <n v="71.650000000000006"/>
    <n v="10.842985094332484"/>
    <n v="1589.143657938665"/>
    <n v="1"/>
    <n v="0"/>
    <n v="0"/>
    <n v="0"/>
    <n v="0"/>
    <n v="0"/>
    <n v="0"/>
    <n v="0"/>
    <n v="0"/>
    <n v="0"/>
  </r>
  <r>
    <d v="1999-08-13T00:00:00"/>
    <n v="1999"/>
    <x v="27"/>
    <s v="R"/>
    <s v="RS"/>
    <x v="10"/>
    <s v="UTA"/>
    <s v="A"/>
    <n v="1"/>
    <n v="1"/>
    <n v="0"/>
    <n v="0"/>
    <n v="0"/>
    <n v="0"/>
    <n v="1540.2311016375295"/>
    <n v="1424.4575242616911"/>
    <n v="0.54559880376267511"/>
    <n v="64"/>
    <n v="67"/>
    <n v="0"/>
    <n v="-3"/>
    <n v="0"/>
    <n v="0.26465056853697844"/>
    <n v="1"/>
    <n v="71.8"/>
    <n v="71.8"/>
    <n v="-10.367419813118108"/>
    <n v="1529.8636818244113"/>
    <n v="0"/>
    <n v="1"/>
    <n v="0"/>
    <n v="0"/>
    <n v="0"/>
    <n v="0"/>
    <n v="0"/>
    <n v="0"/>
    <n v="0"/>
    <n v="0"/>
  </r>
  <r>
    <d v="1999-08-13T00:00:00"/>
    <n v="1999"/>
    <x v="27"/>
    <s v="R"/>
    <s v="RS"/>
    <x v="11"/>
    <s v="PHX"/>
    <s v="H"/>
    <n v="1"/>
    <n v="1"/>
    <n v="0"/>
    <n v="0"/>
    <n v="0"/>
    <n v="0"/>
    <n v="1424.4575242616911"/>
    <n v="1540.2311016375295"/>
    <n v="0.45440119623732494"/>
    <n v="67"/>
    <n v="64"/>
    <n v="0"/>
    <n v="3"/>
    <n v="1"/>
    <n v="0.26465056853697844"/>
    <n v="1"/>
    <n v="71.8"/>
    <n v="71.8"/>
    <n v="10.367419813118108"/>
    <n v="1434.8249440748093"/>
    <n v="1"/>
    <n v="0"/>
    <n v="0"/>
    <n v="0"/>
    <n v="0"/>
    <n v="0"/>
    <n v="0"/>
    <n v="0"/>
    <n v="0"/>
    <n v="0"/>
  </r>
  <r>
    <d v="1999-08-14T00:00:00"/>
    <n v="1999"/>
    <x v="27"/>
    <s v="R"/>
    <s v="RS"/>
    <x v="5"/>
    <s v="CLE"/>
    <s v="A"/>
    <n v="1"/>
    <n v="1"/>
    <n v="0"/>
    <n v="0"/>
    <n v="0"/>
    <n v="0"/>
    <n v="1435.3224757660682"/>
    <n v="1355.8604513698015"/>
    <n v="0.49346969948841457"/>
    <n v="73"/>
    <n v="61"/>
    <n v="0"/>
    <n v="12"/>
    <n v="1"/>
    <n v="0.42780115490346554"/>
    <n v="1"/>
    <n v="71.8"/>
    <n v="71.8"/>
    <n v="15.558646974266319"/>
    <n v="1450.8811227403346"/>
    <n v="1"/>
    <n v="0"/>
    <n v="0"/>
    <n v="0"/>
    <n v="0"/>
    <n v="0"/>
    <n v="0"/>
    <n v="0"/>
    <n v="0"/>
    <n v="0"/>
  </r>
  <r>
    <d v="1999-08-14T00:00:00"/>
    <n v="1999"/>
    <x v="28"/>
    <s v="R"/>
    <s v="RS"/>
    <x v="2"/>
    <s v="ORL"/>
    <s v="H"/>
    <n v="1"/>
    <n v="1"/>
    <n v="0"/>
    <n v="0"/>
    <n v="0"/>
    <n v="0"/>
    <n v="1355.8604513698015"/>
    <n v="1435.3224757660682"/>
    <n v="0.50653030051158543"/>
    <n v="61"/>
    <n v="73"/>
    <n v="0"/>
    <n v="-12"/>
    <n v="0"/>
    <n v="0.42780115490346554"/>
    <n v="1"/>
    <n v="71.650000000000006"/>
    <n v="71.650000000000006"/>
    <n v="-15.526142837133454"/>
    <n v="1340.334308532668"/>
    <n v="0"/>
    <n v="1"/>
    <n v="0"/>
    <n v="0"/>
    <n v="0"/>
    <n v="0"/>
    <n v="0"/>
    <n v="0"/>
    <n v="0"/>
    <n v="0"/>
  </r>
  <r>
    <d v="1999-08-14T00:00:00"/>
    <n v="1999"/>
    <x v="27"/>
    <s v="R"/>
    <s v="RS"/>
    <x v="9"/>
    <s v="HOU"/>
    <s v="A"/>
    <n v="2"/>
    <n v="1"/>
    <n v="1"/>
    <n v="-1"/>
    <n v="8"/>
    <n v="-8"/>
    <n v="1474.8454268142436"/>
    <n v="1705.203861410715"/>
    <n v="0.15219485206065889"/>
    <n v="53"/>
    <n v="71"/>
    <n v="0"/>
    <n v="-18"/>
    <n v="0"/>
    <n v="0.45876662987393851"/>
    <n v="1"/>
    <n v="71.8"/>
    <n v="71.8"/>
    <n v="-5.0132138103374349"/>
    <n v="1469.8322130039062"/>
    <n v="0"/>
    <n v="1"/>
    <n v="0"/>
    <n v="0"/>
    <n v="0"/>
    <n v="0"/>
    <n v="0"/>
    <n v="0"/>
    <n v="0"/>
    <n v="0"/>
  </r>
  <r>
    <d v="1999-08-14T00:00:00"/>
    <n v="1999"/>
    <x v="27"/>
    <s v="R"/>
    <s v="RS"/>
    <x v="4"/>
    <s v="MIN"/>
    <s v="H"/>
    <n v="1"/>
    <n v="2"/>
    <n v="-1"/>
    <n v="1"/>
    <n v="-8"/>
    <n v="8"/>
    <n v="1705.203861410715"/>
    <n v="1474.8454268142436"/>
    <n v="0.84780514793934114"/>
    <n v="71"/>
    <n v="53"/>
    <n v="0"/>
    <n v="18"/>
    <n v="1"/>
    <n v="0.45876662987393851"/>
    <n v="1"/>
    <n v="71.8"/>
    <n v="71.8"/>
    <n v="5.013213810337434"/>
    <n v="1710.2170752210525"/>
    <n v="1"/>
    <n v="0"/>
    <n v="0"/>
    <n v="0"/>
    <n v="0"/>
    <n v="0"/>
    <n v="0"/>
    <n v="0"/>
    <n v="0"/>
    <n v="0"/>
  </r>
  <r>
    <d v="1999-08-14T00:00:00"/>
    <n v="1999"/>
    <x v="28"/>
    <s v="R"/>
    <s v="RS"/>
    <x v="11"/>
    <s v="SAC"/>
    <s v="A"/>
    <n v="0"/>
    <n v="0"/>
    <n v="0"/>
    <n v="0"/>
    <n v="0"/>
    <n v="0"/>
    <n v="1434.8249440748093"/>
    <n v="1589.143657938665"/>
    <n v="0.20231743676459518"/>
    <n v="97"/>
    <n v="89"/>
    <n v="0"/>
    <n v="8"/>
    <n v="1"/>
    <n v="0.34406867248712447"/>
    <n v="1"/>
    <n v="71.650000000000006"/>
    <n v="71.650000000000006"/>
    <n v="19.664885649884852"/>
    <n v="1454.4898297246941"/>
    <n v="1"/>
    <n v="0"/>
    <n v="0"/>
    <n v="0"/>
    <n v="0"/>
    <n v="0"/>
    <n v="0"/>
    <n v="0"/>
    <n v="0"/>
    <n v="0"/>
  </r>
  <r>
    <d v="1999-08-14T00:00:00"/>
    <n v="1999"/>
    <x v="29"/>
    <s v="R"/>
    <s v="RS"/>
    <x v="0"/>
    <s v="UTA"/>
    <s v="H"/>
    <n v="0"/>
    <n v="0"/>
    <n v="0"/>
    <n v="0"/>
    <n v="0"/>
    <n v="0"/>
    <n v="1589.143657938665"/>
    <n v="1434.8249440748093"/>
    <n v="0.79768256323540476"/>
    <n v="89"/>
    <n v="97"/>
    <n v="0"/>
    <n v="-8"/>
    <n v="0"/>
    <n v="0.34406867248712447"/>
    <n v="1"/>
    <n v="71.5"/>
    <n v="71.5"/>
    <n v="-19.623717012795069"/>
    <n v="1569.5199409258698"/>
    <n v="0"/>
    <n v="1"/>
    <n v="0"/>
    <n v="0"/>
    <n v="0"/>
    <n v="0"/>
    <n v="0"/>
    <n v="0"/>
    <n v="0"/>
    <n v="0"/>
  </r>
  <r>
    <d v="1999-08-14T00:00:00"/>
    <n v="1999"/>
    <x v="27"/>
    <s v="R"/>
    <s v="RS"/>
    <x v="1"/>
    <s v="WAS"/>
    <s v="A"/>
    <n v="1"/>
    <n v="2"/>
    <n v="-1"/>
    <n v="1"/>
    <n v="-8"/>
    <n v="8"/>
    <n v="1558.986439530169"/>
    <n v="1389.5432134211758"/>
    <n v="0.59862695506873242"/>
    <n v="53"/>
    <n v="55"/>
    <n v="0"/>
    <n v="-2"/>
    <n v="0"/>
    <n v="0.23470091993870143"/>
    <n v="1"/>
    <n v="71.8"/>
    <n v="71.8"/>
    <n v="-10.087777728529986"/>
    <n v="1548.898661801639"/>
    <n v="0"/>
    <n v="1"/>
    <n v="0"/>
    <n v="0"/>
    <n v="0"/>
    <n v="0"/>
    <n v="0"/>
    <n v="0"/>
    <n v="0"/>
    <n v="0"/>
  </r>
  <r>
    <d v="1999-08-14T00:00:00"/>
    <n v="1999"/>
    <x v="28"/>
    <s v="R"/>
    <s v="RS"/>
    <x v="7"/>
    <s v="LAS"/>
    <s v="H"/>
    <n v="2"/>
    <n v="1"/>
    <n v="1"/>
    <n v="-1"/>
    <n v="8"/>
    <n v="-8"/>
    <n v="1389.5432134211758"/>
    <n v="1558.986439530169"/>
    <n v="0.40137304493126758"/>
    <n v="55"/>
    <n v="53"/>
    <n v="0"/>
    <n v="2"/>
    <n v="1"/>
    <n v="0.23470091993870143"/>
    <n v="1"/>
    <n v="71.650000000000006"/>
    <n v="71.650000000000006"/>
    <n v="10.066702983971778"/>
    <n v="1399.6099164051475"/>
    <n v="1"/>
    <n v="0"/>
    <n v="0"/>
    <n v="0"/>
    <n v="0"/>
    <n v="0"/>
    <n v="0"/>
    <n v="0"/>
    <n v="0"/>
    <n v="0"/>
  </r>
  <r>
    <d v="1999-08-15T00:00:00"/>
    <n v="1999"/>
    <x v="28"/>
    <s v="R"/>
    <s v="RS"/>
    <x v="8"/>
    <s v="NYL"/>
    <s v="A"/>
    <n v="1"/>
    <n v="1"/>
    <n v="0"/>
    <n v="0"/>
    <n v="0"/>
    <n v="0"/>
    <n v="1458.2822923077601"/>
    <n v="1558.5649784037989"/>
    <n v="0.2571534676924303"/>
    <n v="63"/>
    <n v="57"/>
    <n v="0"/>
    <n v="6"/>
    <n v="1"/>
    <n v="0.32418866898459597"/>
    <n v="1"/>
    <n v="71.650000000000006"/>
    <n v="71.650000000000006"/>
    <n v="17.254927006941173"/>
    <n v="1475.5372193147014"/>
    <n v="1"/>
    <n v="0"/>
    <n v="0"/>
    <n v="0"/>
    <n v="0"/>
    <n v="0"/>
    <n v="0"/>
    <n v="0"/>
    <n v="0"/>
    <n v="0"/>
  </r>
  <r>
    <d v="1999-08-15T00:00:00"/>
    <n v="1999"/>
    <x v="28"/>
    <s v="R"/>
    <s v="RS"/>
    <x v="3"/>
    <s v="DET"/>
    <s v="H"/>
    <n v="1"/>
    <n v="1"/>
    <n v="0"/>
    <n v="0"/>
    <n v="0"/>
    <n v="0"/>
    <n v="1558.5649784037989"/>
    <n v="1458.2822923077601"/>
    <n v="0.7428465323075697"/>
    <n v="57"/>
    <n v="63"/>
    <n v="0"/>
    <n v="-6"/>
    <n v="0"/>
    <n v="0.32418866898459597"/>
    <n v="1"/>
    <n v="71.650000000000006"/>
    <n v="71.650000000000006"/>
    <n v="-17.254927006941173"/>
    <n v="1541.3100513968577"/>
    <n v="0"/>
    <n v="1"/>
    <n v="0"/>
    <n v="0"/>
    <n v="0"/>
    <n v="0"/>
    <n v="0"/>
    <n v="0"/>
    <n v="0"/>
    <n v="0"/>
  </r>
  <r>
    <d v="1999-08-15T00:00:00"/>
    <n v="1999"/>
    <x v="29"/>
    <s v="R"/>
    <s v="RS"/>
    <x v="7"/>
    <s v="ORL"/>
    <s v="A"/>
    <n v="0"/>
    <n v="0"/>
    <n v="0"/>
    <n v="0"/>
    <n v="0"/>
    <n v="0"/>
    <n v="1399.6099164051475"/>
    <n v="1450.8811227403346"/>
    <n v="0.31460365720863609"/>
    <n v="54"/>
    <n v="81"/>
    <n v="0"/>
    <n v="-27"/>
    <n v="0"/>
    <n v="0.63934980358342708"/>
    <n v="1"/>
    <n v="71.5"/>
    <n v="71.5"/>
    <n v="-14.381637730672306"/>
    <n v="1385.2282786744752"/>
    <n v="0"/>
    <n v="1"/>
    <n v="0"/>
    <n v="0"/>
    <n v="0"/>
    <n v="0"/>
    <n v="0"/>
    <n v="0"/>
    <n v="0"/>
    <n v="0"/>
  </r>
  <r>
    <d v="1999-08-15T00:00:00"/>
    <n v="1999"/>
    <x v="28"/>
    <s v="R"/>
    <s v="RS"/>
    <x v="5"/>
    <s v="WAS"/>
    <s v="H"/>
    <n v="0"/>
    <n v="0"/>
    <n v="0"/>
    <n v="0"/>
    <n v="0"/>
    <n v="0"/>
    <n v="1450.8811227403346"/>
    <n v="1399.6099164051475"/>
    <n v="0.68539634279136397"/>
    <n v="81"/>
    <n v="54"/>
    <n v="0"/>
    <n v="27"/>
    <n v="1"/>
    <n v="0.63934980358342708"/>
    <n v="1"/>
    <n v="71.650000000000006"/>
    <n v="71.650000000000006"/>
    <n v="14.411808998638751"/>
    <n v="1465.2929317389733"/>
    <n v="1"/>
    <n v="0"/>
    <n v="0"/>
    <n v="0"/>
    <n v="0"/>
    <n v="0"/>
    <n v="0"/>
    <n v="0"/>
    <n v="0"/>
    <n v="0"/>
  </r>
  <r>
    <d v="1999-08-15T00:00:00"/>
    <n v="1999"/>
    <x v="29"/>
    <s v="R"/>
    <s v="RS"/>
    <x v="6"/>
    <s v="PHX"/>
    <s v="A"/>
    <n v="1"/>
    <n v="1"/>
    <n v="0"/>
    <n v="0"/>
    <n v="0"/>
    <n v="0"/>
    <n v="1508.8890992690715"/>
    <n v="1529.8636818244113"/>
    <n v="0.35336458955258876"/>
    <n v="54"/>
    <n v="65"/>
    <n v="0"/>
    <n v="-11"/>
    <n v="0"/>
    <n v="0.43228022257804483"/>
    <n v="1"/>
    <n v="71.5"/>
    <n v="71.5"/>
    <n v="-10.921805424743965"/>
    <n v="1497.9672938443275"/>
    <n v="0"/>
    <n v="1"/>
    <n v="0"/>
    <n v="0"/>
    <n v="0"/>
    <n v="0"/>
    <n v="0"/>
    <n v="0"/>
    <n v="0"/>
    <n v="0"/>
  </r>
  <r>
    <d v="1999-08-15T00:00:00"/>
    <n v="1999"/>
    <x v="28"/>
    <s v="R"/>
    <s v="RS"/>
    <x v="10"/>
    <s v="CHA"/>
    <s v="H"/>
    <n v="1"/>
    <n v="1"/>
    <n v="0"/>
    <n v="0"/>
    <n v="0"/>
    <n v="0"/>
    <n v="1529.8636818244113"/>
    <n v="1508.8890992690715"/>
    <n v="0.64663541044741124"/>
    <n v="65"/>
    <n v="54"/>
    <n v="0"/>
    <n v="11"/>
    <n v="1"/>
    <n v="0.43228022257804483"/>
    <n v="1"/>
    <n v="71.650000000000006"/>
    <n v="71.650000000000006"/>
    <n v="10.944718303257416"/>
    <n v="1540.8084001276686"/>
    <n v="1"/>
    <n v="0"/>
    <n v="0"/>
    <n v="0"/>
    <n v="0"/>
    <n v="0"/>
    <n v="0"/>
    <n v="0"/>
    <n v="0"/>
    <n v="0"/>
  </r>
  <r>
    <d v="1999-08-16T00:00:00"/>
    <n v="1999"/>
    <x v="29"/>
    <s v="R"/>
    <s v="RS"/>
    <x v="11"/>
    <s v="HOU"/>
    <s v="A"/>
    <n v="1"/>
    <n v="1"/>
    <n v="0"/>
    <n v="0"/>
    <n v="0"/>
    <n v="0"/>
    <n v="1454.4898297246941"/>
    <n v="1710.2170752210525"/>
    <n v="0.12394106150335017"/>
    <n v="71"/>
    <n v="80"/>
    <n v="0"/>
    <n v="-9"/>
    <n v="0"/>
    <n v="0.33465460929157975"/>
    <n v="1"/>
    <n v="71.5"/>
    <n v="71.5"/>
    <n v="-2.9656374971499924"/>
    <n v="1451.5241922275441"/>
    <n v="0"/>
    <n v="1"/>
    <n v="0"/>
    <n v="0"/>
    <n v="0"/>
    <n v="0"/>
    <n v="0"/>
    <n v="0"/>
    <n v="0"/>
    <n v="0"/>
  </r>
  <r>
    <d v="1999-08-16T00:00:00"/>
    <n v="1999"/>
    <x v="28"/>
    <s v="R"/>
    <s v="RS"/>
    <x v="4"/>
    <s v="UTA"/>
    <s v="H"/>
    <n v="1"/>
    <n v="1"/>
    <n v="0"/>
    <n v="0"/>
    <n v="0"/>
    <n v="0"/>
    <n v="1710.2170752210525"/>
    <n v="1454.4898297246941"/>
    <n v="0.87605893849664984"/>
    <n v="80"/>
    <n v="71"/>
    <n v="0"/>
    <n v="9"/>
    <n v="1"/>
    <n v="0.33465460929157975"/>
    <n v="1"/>
    <n v="71.650000000000006"/>
    <n v="71.650000000000006"/>
    <n v="2.9718591142768807"/>
    <n v="1713.1889343353293"/>
    <n v="1"/>
    <n v="0"/>
    <n v="0"/>
    <n v="0"/>
    <n v="0"/>
    <n v="0"/>
    <n v="0"/>
    <n v="0"/>
    <n v="0"/>
    <n v="0"/>
  </r>
  <r>
    <d v="1999-08-16T00:00:00"/>
    <n v="1999"/>
    <x v="30"/>
    <s v="R"/>
    <s v="RS"/>
    <x v="6"/>
    <s v="LAS"/>
    <s v="A"/>
    <n v="0"/>
    <n v="1"/>
    <n v="-1"/>
    <n v="1"/>
    <n v="-8"/>
    <n v="8"/>
    <n v="1497.9672938443275"/>
    <n v="1548.898661801639"/>
    <n v="0.29549764750833513"/>
    <n v="65"/>
    <n v="76"/>
    <n v="0"/>
    <n v="-11"/>
    <n v="0"/>
    <n v="0.42192815515612619"/>
    <n v="1"/>
    <n v="71.349999999999994"/>
    <n v="71.349999999999994"/>
    <n v="-8.8958307579410221"/>
    <n v="1489.0714630863865"/>
    <n v="0"/>
    <n v="1"/>
    <n v="0"/>
    <n v="0"/>
    <n v="0"/>
    <n v="0"/>
    <n v="0"/>
    <n v="0"/>
    <n v="0"/>
    <n v="0"/>
  </r>
  <r>
    <d v="1999-08-16T00:00:00"/>
    <n v="1999"/>
    <x v="28"/>
    <s v="R"/>
    <s v="RS"/>
    <x v="1"/>
    <s v="CHA"/>
    <s v="H"/>
    <n v="1"/>
    <n v="0"/>
    <n v="1"/>
    <n v="-1"/>
    <n v="8"/>
    <n v="-8"/>
    <n v="1548.898661801639"/>
    <n v="1497.9672938443275"/>
    <n v="0.70450235249166482"/>
    <n v="76"/>
    <n v="65"/>
    <n v="0"/>
    <n v="11"/>
    <n v="1"/>
    <n v="0.42192815515612619"/>
    <n v="1"/>
    <n v="71.650000000000006"/>
    <n v="71.650000000000006"/>
    <n v="8.9332343911208767"/>
    <n v="1557.8318961927598"/>
    <n v="1"/>
    <n v="0"/>
    <n v="0"/>
    <n v="0"/>
    <n v="0"/>
    <n v="0"/>
    <n v="0"/>
    <n v="0"/>
    <n v="0"/>
    <n v="0"/>
  </r>
  <r>
    <d v="1999-08-16T00:00:00"/>
    <n v="1999"/>
    <x v="29"/>
    <s v="R"/>
    <s v="RS"/>
    <x v="2"/>
    <s v="MIN"/>
    <s v="A"/>
    <n v="1"/>
    <n v="1"/>
    <n v="0"/>
    <n v="0"/>
    <n v="0"/>
    <n v="0"/>
    <n v="1340.334308532668"/>
    <n v="1469.8322130039062"/>
    <n v="0.22635777006475022"/>
    <n v="50"/>
    <n v="57"/>
    <n v="0"/>
    <n v="-7"/>
    <n v="0"/>
    <n v="0.33405739526999917"/>
    <n v="1"/>
    <n v="71.5"/>
    <n v="71.5"/>
    <n v="-5.4065788252873439"/>
    <n v="1334.9277297073806"/>
    <n v="0"/>
    <n v="1"/>
    <n v="0"/>
    <n v="0"/>
    <n v="0"/>
    <n v="0"/>
    <n v="0"/>
    <n v="0"/>
    <n v="0"/>
    <n v="0"/>
  </r>
  <r>
    <d v="1999-08-16T00:00:00"/>
    <n v="1999"/>
    <x v="28"/>
    <s v="R"/>
    <s v="RS"/>
    <x v="9"/>
    <s v="CLE"/>
    <s v="H"/>
    <n v="1"/>
    <n v="1"/>
    <n v="0"/>
    <n v="0"/>
    <n v="0"/>
    <n v="0"/>
    <n v="1469.8322130039062"/>
    <n v="1340.334308532668"/>
    <n v="0.77364222993524978"/>
    <n v="57"/>
    <n v="50"/>
    <n v="0"/>
    <n v="7"/>
    <n v="1"/>
    <n v="0.33405739526999917"/>
    <n v="1"/>
    <n v="71.650000000000006"/>
    <n v="71.650000000000006"/>
    <n v="5.4179212983473874"/>
    <n v="1475.2501343022536"/>
    <n v="1"/>
    <n v="0"/>
    <n v="0"/>
    <n v="0"/>
    <n v="0"/>
    <n v="0"/>
    <n v="0"/>
    <n v="0"/>
    <n v="0"/>
    <n v="0"/>
  </r>
  <r>
    <d v="1999-08-17T00:00:00"/>
    <n v="1999"/>
    <x v="30"/>
    <s v="R"/>
    <s v="RS"/>
    <x v="7"/>
    <s v="NYL"/>
    <s v="A"/>
    <n v="1"/>
    <n v="1"/>
    <n v="0"/>
    <n v="0"/>
    <n v="0"/>
    <n v="0"/>
    <n v="1385.2282786744752"/>
    <n v="1541.3100513968577"/>
    <n v="0.20068448971172184"/>
    <n v="54"/>
    <n v="66"/>
    <n v="0"/>
    <n v="-12"/>
    <n v="0"/>
    <n v="0.40363003375011336"/>
    <n v="1"/>
    <n v="71.349999999999994"/>
    <n v="71.349999999999994"/>
    <n v="-5.7795132028125389"/>
    <n v="1379.4487654716627"/>
    <n v="0"/>
    <n v="1"/>
    <n v="0"/>
    <n v="0"/>
    <n v="0"/>
    <n v="0"/>
    <n v="0"/>
    <n v="0"/>
    <n v="0"/>
    <n v="0"/>
  </r>
  <r>
    <d v="1999-08-17T00:00:00"/>
    <n v="1999"/>
    <x v="29"/>
    <s v="R"/>
    <s v="RS"/>
    <x v="3"/>
    <s v="WAS"/>
    <s v="H"/>
    <n v="1"/>
    <n v="1"/>
    <n v="0"/>
    <n v="0"/>
    <n v="0"/>
    <n v="0"/>
    <n v="1541.3100513968577"/>
    <n v="1385.2282786744752"/>
    <n v="0.79931551028827819"/>
    <n v="66"/>
    <n v="54"/>
    <n v="0"/>
    <n v="12"/>
    <n v="1"/>
    <n v="0.40363003375011336"/>
    <n v="1"/>
    <n v="71.5"/>
    <n v="71.5"/>
    <n v="5.7916635459158581"/>
    <n v="1547.1017149427735"/>
    <n v="1"/>
    <n v="0"/>
    <n v="0"/>
    <n v="0"/>
    <n v="0"/>
    <n v="0"/>
    <n v="0"/>
    <n v="0"/>
    <n v="0"/>
    <n v="0"/>
  </r>
  <r>
    <d v="1999-08-17T00:00:00"/>
    <n v="1999"/>
    <x v="30"/>
    <s v="R"/>
    <s v="RS"/>
    <x v="0"/>
    <s v="PHX"/>
    <s v="A"/>
    <n v="2"/>
    <n v="1"/>
    <n v="1"/>
    <n v="-1"/>
    <n v="8"/>
    <n v="-8"/>
    <n v="1569.5199409258698"/>
    <n v="1540.8084001276686"/>
    <n v="0.44369913794147792"/>
    <n v="59"/>
    <n v="71"/>
    <n v="0"/>
    <n v="-12"/>
    <n v="0"/>
    <n v="0.4454709779451354"/>
    <n v="1"/>
    <n v="71.349999999999994"/>
    <n v="71.349999999999994"/>
    <n v="-14.102690592458732"/>
    <n v="1555.4172503334112"/>
    <n v="0"/>
    <n v="1"/>
    <n v="0"/>
    <n v="0"/>
    <n v="0"/>
    <n v="0"/>
    <n v="0"/>
    <n v="0"/>
    <n v="0"/>
    <n v="0"/>
  </r>
  <r>
    <d v="1999-08-17T00:00:00"/>
    <n v="1999"/>
    <x v="29"/>
    <s v="R"/>
    <s v="RS"/>
    <x v="10"/>
    <s v="SAC"/>
    <s v="H"/>
    <n v="1"/>
    <n v="2"/>
    <n v="-1"/>
    <n v="1"/>
    <n v="-8"/>
    <n v="8"/>
    <n v="1540.8084001276686"/>
    <n v="1569.5199409258698"/>
    <n v="0.55630086205852214"/>
    <n v="71"/>
    <n v="59"/>
    <n v="0"/>
    <n v="12"/>
    <n v="1"/>
    <n v="0.4454709779451354"/>
    <n v="1"/>
    <n v="71.5"/>
    <n v="71.5"/>
    <n v="14.132338855792563"/>
    <n v="1554.9407389834612"/>
    <n v="1"/>
    <n v="0"/>
    <n v="0"/>
    <n v="0"/>
    <n v="0"/>
    <n v="0"/>
    <n v="0"/>
    <n v="0"/>
    <n v="0"/>
    <n v="0"/>
  </r>
  <r>
    <d v="1999-08-18T00:00:00"/>
    <n v="1999"/>
    <x v="30"/>
    <s v="R"/>
    <s v="RS"/>
    <x v="10"/>
    <s v="HOU"/>
    <s v="A"/>
    <n v="0"/>
    <n v="1"/>
    <n v="-1"/>
    <n v="1"/>
    <n v="-8"/>
    <n v="8"/>
    <n v="1554.9407389834612"/>
    <n v="1713.1889343353293"/>
    <n v="0.18443318211054949"/>
    <n v="60"/>
    <n v="70"/>
    <n v="0"/>
    <n v="-10"/>
    <n v="0"/>
    <n v="0.37383126363528973"/>
    <n v="1"/>
    <n v="71.349999999999994"/>
    <n v="71.349999999999994"/>
    <n v="-4.9193605675847927"/>
    <n v="1550.0213784158764"/>
    <n v="0"/>
    <n v="1"/>
    <n v="0"/>
    <n v="0"/>
    <n v="0"/>
    <n v="0"/>
    <n v="0"/>
    <n v="0"/>
    <n v="0"/>
    <n v="0"/>
  </r>
  <r>
    <d v="1999-08-18T00:00:00"/>
    <n v="1999"/>
    <x v="29"/>
    <s v="R"/>
    <s v="RS"/>
    <x v="4"/>
    <s v="PHX"/>
    <s v="H"/>
    <n v="1"/>
    <n v="0"/>
    <n v="1"/>
    <n v="-1"/>
    <n v="8"/>
    <n v="-8"/>
    <n v="1713.1889343353293"/>
    <n v="1554.9407389834612"/>
    <n v="0.81556681788945051"/>
    <n v="70"/>
    <n v="60"/>
    <n v="0"/>
    <n v="10"/>
    <n v="1"/>
    <n v="0.37383126363528973"/>
    <n v="1"/>
    <n v="71.5"/>
    <n v="71.5"/>
    <n v="4.9297026010134921"/>
    <n v="1718.1186369363429"/>
    <n v="1"/>
    <n v="0"/>
    <n v="0"/>
    <n v="0"/>
    <n v="0"/>
    <n v="0"/>
    <n v="0"/>
    <n v="0"/>
    <n v="0"/>
    <n v="0"/>
  </r>
  <r>
    <d v="1999-08-18T00:00:00"/>
    <n v="1999"/>
    <x v="29"/>
    <s v="R"/>
    <s v="RS"/>
    <x v="9"/>
    <s v="LAS"/>
    <s v="A"/>
    <n v="1"/>
    <n v="1"/>
    <n v="0"/>
    <n v="0"/>
    <n v="0"/>
    <n v="0"/>
    <n v="1475.2501343022536"/>
    <n v="1557.8318961927598"/>
    <n v="0.2770941395858677"/>
    <n v="54"/>
    <n v="72"/>
    <n v="0"/>
    <n v="-18"/>
    <n v="0"/>
    <n v="0.51162486326357515"/>
    <n v="1"/>
    <n v="71.5"/>
    <n v="71.5"/>
    <n v="-10.136429966288167"/>
    <n v="1465.1137043359654"/>
    <n v="0"/>
    <n v="1"/>
    <n v="0"/>
    <n v="0"/>
    <n v="0"/>
    <n v="0"/>
    <n v="0"/>
    <n v="0"/>
    <n v="0"/>
    <n v="0"/>
  </r>
  <r>
    <d v="1999-08-18T00:00:00"/>
    <n v="1999"/>
    <x v="29"/>
    <s v="R"/>
    <s v="RS"/>
    <x v="1"/>
    <s v="MIN"/>
    <s v="H"/>
    <n v="1"/>
    <n v="1"/>
    <n v="0"/>
    <n v="0"/>
    <n v="0"/>
    <n v="0"/>
    <n v="1557.8318961927598"/>
    <n v="1475.2501343022536"/>
    <n v="0.7229058604141323"/>
    <n v="72"/>
    <n v="54"/>
    <n v="0"/>
    <n v="18"/>
    <n v="1"/>
    <n v="0.51162486326357515"/>
    <n v="1"/>
    <n v="71.5"/>
    <n v="71.5"/>
    <n v="10.136429966288167"/>
    <n v="1567.968326159048"/>
    <n v="1"/>
    <n v="0"/>
    <n v="0"/>
    <n v="0"/>
    <n v="0"/>
    <n v="0"/>
    <n v="0"/>
    <n v="0"/>
    <n v="0"/>
    <n v="0"/>
  </r>
  <r>
    <d v="1999-08-18T00:00:00"/>
    <n v="1999"/>
    <x v="29"/>
    <s v="R"/>
    <s v="RS"/>
    <x v="8"/>
    <s v="ORL"/>
    <s v="A"/>
    <n v="2"/>
    <n v="2"/>
    <n v="0"/>
    <n v="0"/>
    <n v="0"/>
    <n v="0"/>
    <n v="1475.5372193147014"/>
    <n v="1465.2929317389733"/>
    <n v="0.39542322760666354"/>
    <n v="81"/>
    <n v="93"/>
    <n v="0"/>
    <n v="-12"/>
    <n v="0"/>
    <n v="0.45226846952384347"/>
    <n v="1"/>
    <n v="71.5"/>
    <n v="71.5"/>
    <n v="-12.786878244414856"/>
    <n v="1462.7503410702866"/>
    <n v="0"/>
    <n v="1"/>
    <n v="0"/>
    <n v="0"/>
    <n v="0"/>
    <n v="0"/>
    <n v="0"/>
    <n v="0"/>
    <n v="0"/>
    <n v="0"/>
  </r>
  <r>
    <d v="1999-08-18T00:00:00"/>
    <n v="1999"/>
    <x v="29"/>
    <s v="R"/>
    <s v="RS"/>
    <x v="5"/>
    <s v="DET"/>
    <s v="H"/>
    <n v="2"/>
    <n v="2"/>
    <n v="0"/>
    <n v="0"/>
    <n v="0"/>
    <n v="0"/>
    <n v="1465.2929317389733"/>
    <n v="1475.5372193147014"/>
    <n v="0.6045767723933364"/>
    <n v="93"/>
    <n v="81"/>
    <n v="0"/>
    <n v="12"/>
    <n v="1"/>
    <n v="0.45226846952384347"/>
    <n v="1"/>
    <n v="71.5"/>
    <n v="71.5"/>
    <n v="12.786878244414858"/>
    <n v="1478.079809983388"/>
    <n v="1"/>
    <n v="0"/>
    <n v="0"/>
    <n v="0"/>
    <n v="0"/>
    <n v="0"/>
    <n v="0"/>
    <n v="0"/>
    <n v="0"/>
    <n v="0"/>
  </r>
  <r>
    <d v="1999-08-19T00:00:00"/>
    <n v="1999"/>
    <x v="30"/>
    <s v="R"/>
    <s v="RS"/>
    <x v="2"/>
    <s v="NYL"/>
    <s v="A"/>
    <n v="2"/>
    <n v="1"/>
    <n v="1"/>
    <n v="-1"/>
    <n v="8"/>
    <n v="-8"/>
    <n v="1334.9277297073806"/>
    <n v="1547.1017149427735"/>
    <n v="0.1661986943825948"/>
    <n v="55"/>
    <n v="72"/>
    <n v="0"/>
    <n v="-17"/>
    <n v="0"/>
    <n v="0.45244459222345368"/>
    <n v="1"/>
    <n v="71.349999999999994"/>
    <n v="71.349999999999994"/>
    <n v="-5.3652132312460505"/>
    <n v="1329.5625164761345"/>
    <n v="0"/>
    <n v="1"/>
    <n v="0"/>
    <n v="0"/>
    <n v="0"/>
    <n v="0"/>
    <n v="0"/>
    <n v="0"/>
    <n v="0"/>
    <n v="0"/>
  </r>
  <r>
    <d v="1999-08-19T00:00:00"/>
    <n v="1999"/>
    <x v="30"/>
    <s v="R"/>
    <s v="RS"/>
    <x v="3"/>
    <s v="CLE"/>
    <s v="H"/>
    <n v="1"/>
    <n v="2"/>
    <n v="-1"/>
    <n v="1"/>
    <n v="-8"/>
    <n v="8"/>
    <n v="1547.1017149427735"/>
    <n v="1334.9277297073806"/>
    <n v="0.83380130561740518"/>
    <n v="72"/>
    <n v="55"/>
    <n v="0"/>
    <n v="17"/>
    <n v="1"/>
    <n v="0.45244459222345368"/>
    <n v="1"/>
    <n v="71.349999999999994"/>
    <n v="71.349999999999994"/>
    <n v="5.3652132312460514"/>
    <n v="1552.4669281740196"/>
    <n v="1"/>
    <n v="0"/>
    <n v="0"/>
    <n v="0"/>
    <n v="0"/>
    <n v="0"/>
    <n v="0"/>
    <n v="0"/>
    <n v="0"/>
    <n v="0"/>
  </r>
  <r>
    <d v="1999-08-20T00:00:00"/>
    <n v="1999"/>
    <x v="30"/>
    <s v="R"/>
    <s v="RS"/>
    <x v="8"/>
    <s v="CHA"/>
    <s v="A"/>
    <n v="1"/>
    <n v="3"/>
    <n v="-2"/>
    <n v="2"/>
    <n v="-16"/>
    <n v="16"/>
    <n v="1462.7503410702866"/>
    <n v="1489.0714630863865"/>
    <n v="0.30591944004523342"/>
    <n v="58"/>
    <n v="57"/>
    <n v="0"/>
    <n v="1"/>
    <n v="1"/>
    <n v="0.23893872485587445"/>
    <n v="1"/>
    <n v="71.349999999999994"/>
    <n v="71.349999999999994"/>
    <n v="11.832878353321863"/>
    <n v="1474.5832194236084"/>
    <n v="1"/>
    <n v="0"/>
    <n v="0"/>
    <n v="0"/>
    <n v="0"/>
    <n v="0"/>
    <n v="0"/>
    <n v="0"/>
    <n v="0"/>
    <n v="0"/>
  </r>
  <r>
    <d v="1999-08-20T00:00:00"/>
    <n v="1999"/>
    <x v="31"/>
    <s v="R"/>
    <s v="RS"/>
    <x v="6"/>
    <s v="DET"/>
    <s v="H"/>
    <n v="3"/>
    <n v="1"/>
    <n v="2"/>
    <n v="-2"/>
    <n v="16"/>
    <n v="-16"/>
    <n v="1489.0714630863865"/>
    <n v="1462.7503410702866"/>
    <n v="0.69408055995476658"/>
    <n v="57"/>
    <n v="58"/>
    <n v="0"/>
    <n v="-1"/>
    <n v="0"/>
    <n v="0.23893872485587445"/>
    <n v="1"/>
    <n v="71.2"/>
    <n v="71.2"/>
    <n v="-11.808001944730441"/>
    <n v="1477.2634611416561"/>
    <n v="0"/>
    <n v="1"/>
    <n v="0"/>
    <n v="0"/>
    <n v="0"/>
    <n v="0"/>
    <n v="0"/>
    <n v="0"/>
    <n v="0"/>
    <n v="0"/>
  </r>
  <r>
    <d v="1999-08-20T00:00:00"/>
    <n v="1999"/>
    <x v="30"/>
    <s v="R"/>
    <s v="RS"/>
    <x v="4"/>
    <s v="LAS"/>
    <s v="A"/>
    <n v="1"/>
    <n v="1"/>
    <n v="0"/>
    <n v="0"/>
    <n v="0"/>
    <n v="0"/>
    <n v="1718.1186369363429"/>
    <n v="1567.968326159048"/>
    <n v="0.59406406095679387"/>
    <n v="64"/>
    <n v="68"/>
    <n v="0"/>
    <n v="-4"/>
    <n v="0"/>
    <n v="0.27679827860758799"/>
    <n v="1"/>
    <n v="71.349999999999994"/>
    <n v="71.349999999999994"/>
    <n v="-11.732502139648052"/>
    <n v="1706.3861347966949"/>
    <n v="0"/>
    <n v="1"/>
    <n v="0"/>
    <n v="0"/>
    <n v="0"/>
    <n v="0"/>
    <n v="0"/>
    <n v="0"/>
    <n v="0"/>
    <n v="0"/>
  </r>
  <r>
    <d v="1999-08-20T00:00:00"/>
    <n v="1999"/>
    <x v="30"/>
    <s v="R"/>
    <s v="RS"/>
    <x v="1"/>
    <s v="HOU"/>
    <s v="H"/>
    <n v="1"/>
    <n v="1"/>
    <n v="0"/>
    <n v="0"/>
    <n v="0"/>
    <n v="0"/>
    <n v="1567.968326159048"/>
    <n v="1718.1186369363429"/>
    <n v="0.40593593904320618"/>
    <n v="68"/>
    <n v="64"/>
    <n v="0"/>
    <n v="4"/>
    <n v="1"/>
    <n v="0.27679827860758799"/>
    <n v="1"/>
    <n v="71.349999999999994"/>
    <n v="71.349999999999994"/>
    <n v="11.73250213964805"/>
    <n v="1579.700828298696"/>
    <n v="1"/>
    <n v="0"/>
    <n v="0"/>
    <n v="0"/>
    <n v="0"/>
    <n v="0"/>
    <n v="0"/>
    <n v="0"/>
    <n v="0"/>
    <n v="0"/>
  </r>
  <r>
    <d v="1999-08-20T00:00:00"/>
    <n v="1999"/>
    <x v="30"/>
    <s v="R"/>
    <s v="RS"/>
    <x v="5"/>
    <s v="MIN"/>
    <s v="A"/>
    <n v="1"/>
    <n v="1"/>
    <n v="0"/>
    <n v="0"/>
    <n v="0"/>
    <n v="0"/>
    <n v="1478.079809983388"/>
    <n v="1465.1137043359654"/>
    <n v="0.39917495873881537"/>
    <n v="83"/>
    <n v="80"/>
    <n v="1"/>
    <n v="3"/>
    <n v="1"/>
    <n v="0.25837342142328695"/>
    <n v="1"/>
    <n v="71.349999999999994"/>
    <n v="71.349999999999994"/>
    <n v="11.07617576026383"/>
    <n v="1489.1559857436519"/>
    <n v="1"/>
    <n v="0"/>
    <n v="0"/>
    <n v="0"/>
    <n v="0"/>
    <n v="0"/>
    <n v="0"/>
    <n v="0"/>
    <n v="0"/>
    <n v="0"/>
  </r>
  <r>
    <d v="1999-08-20T00:00:00"/>
    <n v="1999"/>
    <x v="30"/>
    <s v="R"/>
    <s v="RS"/>
    <x v="9"/>
    <s v="ORL"/>
    <s v="H"/>
    <n v="1"/>
    <n v="1"/>
    <n v="0"/>
    <n v="0"/>
    <n v="0"/>
    <n v="0"/>
    <n v="1465.1137043359654"/>
    <n v="1478.079809983388"/>
    <n v="0.60082504126118463"/>
    <n v="80"/>
    <n v="83"/>
    <n v="1"/>
    <n v="-3"/>
    <n v="0"/>
    <n v="0.25837342142328695"/>
    <n v="1"/>
    <n v="71.349999999999994"/>
    <n v="71.349999999999994"/>
    <n v="-11.07617576026383"/>
    <n v="1454.0375285757016"/>
    <n v="0"/>
    <n v="1"/>
    <n v="0"/>
    <n v="0"/>
    <n v="0"/>
    <n v="0"/>
    <n v="0"/>
    <n v="0"/>
    <n v="0"/>
    <n v="0"/>
  </r>
  <r>
    <d v="1999-08-20T00:00:00"/>
    <n v="1999"/>
    <x v="30"/>
    <s v="R"/>
    <s v="RS"/>
    <x v="11"/>
    <s v="PHX"/>
    <s v="A"/>
    <n v="3"/>
    <n v="1"/>
    <n v="2"/>
    <n v="-2"/>
    <n v="16"/>
    <n v="-16"/>
    <n v="1451.5241922275441"/>
    <n v="1550.0213784158764"/>
    <n v="0.29601822521407117"/>
    <n v="70"/>
    <n v="62"/>
    <n v="0"/>
    <n v="8"/>
    <n v="1"/>
    <n v="0.3588599551543592"/>
    <n v="1"/>
    <n v="71.349999999999994"/>
    <n v="71.349999999999994"/>
    <n v="18.025212441015896"/>
    <n v="1469.5494046685599"/>
    <n v="1"/>
    <n v="0"/>
    <n v="0"/>
    <n v="0"/>
    <n v="0"/>
    <n v="0"/>
    <n v="0"/>
    <n v="0"/>
    <n v="0"/>
    <n v="0"/>
  </r>
  <r>
    <d v="1999-08-20T00:00:00"/>
    <n v="1999"/>
    <x v="31"/>
    <s v="R"/>
    <s v="RS"/>
    <x v="10"/>
    <s v="UTA"/>
    <s v="H"/>
    <n v="1"/>
    <n v="3"/>
    <n v="-2"/>
    <n v="2"/>
    <n v="-16"/>
    <n v="16"/>
    <n v="1550.0213784158764"/>
    <n v="1451.5241922275441"/>
    <n v="0.70398177478592883"/>
    <n v="62"/>
    <n v="70"/>
    <n v="0"/>
    <n v="-8"/>
    <n v="0"/>
    <n v="0.3588599551543592"/>
    <n v="1"/>
    <n v="71.2"/>
    <n v="71.2"/>
    <n v="-17.987317810796522"/>
    <n v="1532.03406060508"/>
    <n v="0"/>
    <n v="1"/>
    <n v="0"/>
    <n v="0"/>
    <n v="0"/>
    <n v="0"/>
    <n v="0"/>
    <n v="0"/>
    <n v="0"/>
    <n v="0"/>
  </r>
  <r>
    <d v="1999-08-21T00:00:00"/>
    <n v="1999"/>
    <x v="31"/>
    <s v="R"/>
    <s v="RS"/>
    <x v="3"/>
    <s v="CLE"/>
    <s v="A"/>
    <n v="1"/>
    <n v="1"/>
    <n v="0"/>
    <n v="0"/>
    <n v="0"/>
    <n v="0"/>
    <n v="1552.4669281740196"/>
    <n v="1329.5625164761345"/>
    <n v="0.68988849769287086"/>
    <n v="56"/>
    <n v="66"/>
    <n v="0"/>
    <n v="-10"/>
    <n v="0"/>
    <n v="0.35684451817312152"/>
    <n v="1"/>
    <n v="71.2"/>
    <n v="71.2"/>
    <n v="-17.528224512930251"/>
    <n v="1534.9387036610892"/>
    <n v="0"/>
    <n v="1"/>
    <n v="0"/>
    <n v="0"/>
    <n v="0"/>
    <n v="0"/>
    <n v="0"/>
    <n v="0"/>
    <n v="0"/>
    <n v="0"/>
  </r>
  <r>
    <d v="1999-08-21T00:00:00"/>
    <n v="1999"/>
    <x v="31"/>
    <s v="R"/>
    <s v="RS"/>
    <x v="2"/>
    <s v="NYL"/>
    <s v="H"/>
    <n v="1"/>
    <n v="1"/>
    <n v="0"/>
    <n v="0"/>
    <n v="0"/>
    <n v="0"/>
    <n v="1329.5625164761345"/>
    <n v="1552.4669281740196"/>
    <n v="0.31011150230712914"/>
    <n v="66"/>
    <n v="56"/>
    <n v="0"/>
    <n v="10"/>
    <n v="1"/>
    <n v="0.35684451817312152"/>
    <n v="1"/>
    <n v="71.2"/>
    <n v="71.2"/>
    <n v="17.528224512930251"/>
    <n v="1347.0907409890647"/>
    <n v="1"/>
    <n v="0"/>
    <n v="0"/>
    <n v="0"/>
    <n v="0"/>
    <n v="0"/>
    <n v="0"/>
    <n v="0"/>
    <n v="0"/>
    <n v="0"/>
  </r>
  <r>
    <d v="1999-08-21T00:00:00"/>
    <n v="1999"/>
    <x v="31"/>
    <s v="R"/>
    <s v="RS"/>
    <x v="5"/>
    <s v="DET"/>
    <s v="A"/>
    <n v="0"/>
    <n v="0"/>
    <n v="0"/>
    <n v="0"/>
    <n v="0"/>
    <n v="0"/>
    <n v="1489.1559857436519"/>
    <n v="1474.5832194236084"/>
    <n v="0.40139516459620789"/>
    <n v="68"/>
    <n v="74"/>
    <n v="0"/>
    <n v="-6"/>
    <n v="0"/>
    <n v="0.34706600131203158"/>
    <n v="1"/>
    <n v="71.2"/>
    <n v="71.2"/>
    <n v="-9.9189157682342124"/>
    <n v="1479.2370699754176"/>
    <n v="0"/>
    <n v="1"/>
    <n v="0"/>
    <n v="0"/>
    <n v="0"/>
    <n v="0"/>
    <n v="0"/>
    <n v="0"/>
    <n v="0"/>
    <n v="0"/>
  </r>
  <r>
    <d v="1999-08-21T00:00:00"/>
    <n v="1999"/>
    <x v="31"/>
    <s v="R"/>
    <s v="RS"/>
    <x v="8"/>
    <s v="ORL"/>
    <s v="H"/>
    <n v="0"/>
    <n v="0"/>
    <n v="0"/>
    <n v="0"/>
    <n v="0"/>
    <n v="0"/>
    <n v="1474.5832194236084"/>
    <n v="1489.1559857436519"/>
    <n v="0.59860483540379206"/>
    <n v="74"/>
    <n v="68"/>
    <n v="0"/>
    <n v="6"/>
    <n v="1"/>
    <n v="0.34706600131203158"/>
    <n v="1"/>
    <n v="71.2"/>
    <n v="71.2"/>
    <n v="9.9189157682342142"/>
    <n v="1484.5021351918426"/>
    <n v="1"/>
    <n v="0"/>
    <n v="0"/>
    <n v="0"/>
    <n v="0"/>
    <n v="0"/>
    <n v="0"/>
    <n v="0"/>
    <n v="0"/>
    <n v="0"/>
  </r>
  <r>
    <d v="1999-08-21T00:00:00"/>
    <n v="1999"/>
    <x v="31"/>
    <s v="R"/>
    <s v="RS"/>
    <x v="4"/>
    <s v="SAC"/>
    <s v="A"/>
    <n v="0"/>
    <n v="3"/>
    <n v="-3"/>
    <n v="3"/>
    <n v="-16"/>
    <n v="16"/>
    <n v="1706.3861347966949"/>
    <n v="1555.4172503334112"/>
    <n v="0.55015502536461669"/>
    <n v="74"/>
    <n v="65"/>
    <n v="0"/>
    <n v="9"/>
    <n v="1"/>
    <n v="0.36060477645288913"/>
    <n v="1"/>
    <n v="71.2"/>
    <n v="71.2"/>
    <n v="11.549796751999576"/>
    <n v="1717.9359315486945"/>
    <n v="1"/>
    <n v="0"/>
    <n v="0"/>
    <n v="0"/>
    <n v="0"/>
    <n v="0"/>
    <n v="0"/>
    <n v="0"/>
    <n v="0"/>
    <n v="0"/>
  </r>
  <r>
    <d v="1999-08-21T00:00:00"/>
    <n v="1999"/>
    <x v="31"/>
    <s v="R"/>
    <s v="RS"/>
    <x v="0"/>
    <s v="HOU"/>
    <s v="H"/>
    <n v="3"/>
    <n v="0"/>
    <n v="3"/>
    <n v="-3"/>
    <n v="16"/>
    <n v="-16"/>
    <n v="1555.4172503334112"/>
    <n v="1706.3861347966949"/>
    <n v="0.44984497463538337"/>
    <n v="65"/>
    <n v="74"/>
    <n v="0"/>
    <n v="-9"/>
    <n v="0"/>
    <n v="0.36060477645288913"/>
    <n v="1"/>
    <n v="71.2"/>
    <n v="71.2"/>
    <n v="-11.549796751999578"/>
    <n v="1543.8674535814116"/>
    <n v="0"/>
    <n v="1"/>
    <n v="0"/>
    <n v="0"/>
    <n v="0"/>
    <n v="0"/>
    <n v="0"/>
    <n v="0"/>
    <n v="0"/>
    <n v="0"/>
  </r>
  <r>
    <d v="1999-08-21T00:00:00"/>
    <n v="1999"/>
    <x v="31"/>
    <s v="R"/>
    <s v="RS"/>
    <x v="1"/>
    <s v="UTA"/>
    <s v="A"/>
    <n v="0"/>
    <n v="0"/>
    <n v="0"/>
    <n v="0"/>
    <n v="0"/>
    <n v="0"/>
    <n v="1579.700828298696"/>
    <n v="1469.5494046685599"/>
    <n v="0.53756401040250823"/>
    <n v="81"/>
    <n v="89"/>
    <n v="0"/>
    <n v="-8"/>
    <n v="0"/>
    <n v="0.35566777518928622"/>
    <n v="1"/>
    <n v="71.2"/>
    <n v="71.2"/>
    <n v="-13.613026726840358"/>
    <n v="1566.0878015718556"/>
    <n v="0"/>
    <n v="1"/>
    <n v="0"/>
    <n v="0"/>
    <n v="0"/>
    <n v="0"/>
    <n v="0"/>
    <n v="0"/>
    <n v="0"/>
    <n v="0"/>
  </r>
  <r>
    <d v="1999-08-21T00:00:00"/>
    <n v="1999"/>
    <x v="31"/>
    <s v="R"/>
    <s v="RS"/>
    <x v="11"/>
    <s v="LAS"/>
    <s v="H"/>
    <n v="0"/>
    <n v="0"/>
    <n v="0"/>
    <n v="0"/>
    <n v="0"/>
    <n v="0"/>
    <n v="1469.5494046685599"/>
    <n v="1579.700828298696"/>
    <n v="0.46243598959749171"/>
    <n v="89"/>
    <n v="81"/>
    <n v="0"/>
    <n v="8"/>
    <n v="1"/>
    <n v="0.35566777518928622"/>
    <n v="1"/>
    <n v="71.2"/>
    <n v="71.2"/>
    <n v="13.613026726840362"/>
    <n v="1483.1624313954003"/>
    <n v="1"/>
    <n v="0"/>
    <n v="0"/>
    <n v="0"/>
    <n v="0"/>
    <n v="0"/>
    <n v="0"/>
    <n v="0"/>
    <n v="0"/>
    <n v="0"/>
  </r>
  <r>
    <d v="1999-08-21T00:00:00"/>
    <n v="1999"/>
    <x v="31"/>
    <s v="R"/>
    <s v="RS"/>
    <x v="9"/>
    <s v="WAS"/>
    <s v="A"/>
    <n v="0"/>
    <n v="3"/>
    <n v="-3"/>
    <n v="3"/>
    <n v="-16"/>
    <n v="16"/>
    <n v="1454.0375285757016"/>
    <n v="1379.4487654716627"/>
    <n v="0.44068506021537845"/>
    <n v="48"/>
    <n v="45"/>
    <n v="0"/>
    <n v="3"/>
    <n v="1"/>
    <n v="0.27320202044651637"/>
    <n v="1"/>
    <n v="71.2"/>
    <n v="71.2"/>
    <n v="10.879785178993714"/>
    <n v="1464.9173137546952"/>
    <n v="1"/>
    <n v="0"/>
    <n v="0"/>
    <n v="0"/>
    <n v="0"/>
    <n v="0"/>
    <n v="0"/>
    <n v="0"/>
    <n v="0"/>
    <n v="0"/>
  </r>
  <r>
    <d v="1999-08-21T00:00:00"/>
    <n v="1999"/>
    <x v="31"/>
    <s v="R"/>
    <s v="RS"/>
    <x v="7"/>
    <s v="MIN"/>
    <s v="H"/>
    <n v="3"/>
    <n v="0"/>
    <n v="3"/>
    <n v="-3"/>
    <n v="16"/>
    <n v="-16"/>
    <n v="1379.4487654716627"/>
    <n v="1454.0375285757016"/>
    <n v="0.55931493978462155"/>
    <n v="45"/>
    <n v="48"/>
    <n v="0"/>
    <n v="-3"/>
    <n v="0"/>
    <n v="0.27320202044651637"/>
    <n v="1"/>
    <n v="71.2"/>
    <n v="71.2"/>
    <n v="-10.879785178993714"/>
    <n v="1368.568980292669"/>
    <n v="0"/>
    <n v="1"/>
    <n v="0"/>
    <n v="0"/>
    <n v="0"/>
    <n v="0"/>
    <n v="0"/>
    <n v="0"/>
    <n v="0"/>
    <n v="0"/>
  </r>
  <r>
    <d v="1999-08-24T00:00:00"/>
    <n v="1999"/>
    <x v="32"/>
    <s v="P"/>
    <n v="1"/>
    <x v="6"/>
    <s v="DET"/>
    <s v="A"/>
    <n v="3"/>
    <n v="2"/>
    <n v="1"/>
    <n v="-1"/>
    <n v="8"/>
    <n v="-8"/>
    <n v="1477.2634611416561"/>
    <n v="1484.5021351918426"/>
    <n v="0.39338426587656566"/>
    <n v="60"/>
    <n v="54"/>
    <n v="0"/>
    <n v="6"/>
    <n v="1"/>
    <n v="0.34917446099947103"/>
    <n v="1.1000000000000001"/>
    <n v="71.05"/>
    <n v="78.155000000000001"/>
    <n v="16.554379597624628"/>
    <n v="1493.8178407392807"/>
    <n v="0"/>
    <n v="0"/>
    <n v="1"/>
    <n v="0"/>
    <n v="0"/>
    <n v="0"/>
    <n v="0"/>
    <n v="0"/>
    <n v="0"/>
    <n v="0"/>
  </r>
  <r>
    <d v="1999-08-24T00:00:00"/>
    <n v="1999"/>
    <x v="32"/>
    <s v="P"/>
    <n v="1"/>
    <x v="8"/>
    <s v="CHA"/>
    <s v="H"/>
    <n v="2"/>
    <n v="3"/>
    <n v="-1"/>
    <n v="1"/>
    <n v="-8"/>
    <n v="8"/>
    <n v="1484.5021351918426"/>
    <n v="1477.2634611416561"/>
    <n v="0.60661573412343439"/>
    <n v="54"/>
    <n v="60"/>
    <n v="0"/>
    <n v="-6"/>
    <n v="0"/>
    <n v="0.34917446099947103"/>
    <n v="1.1000000000000001"/>
    <n v="71.05"/>
    <n v="78.155000000000001"/>
    <n v="-16.554379597624628"/>
    <n v="1467.9477555942181"/>
    <n v="0"/>
    <n v="0"/>
    <n v="0"/>
    <n v="1"/>
    <n v="0"/>
    <n v="0"/>
    <n v="0"/>
    <n v="0"/>
    <n v="0"/>
    <n v="0"/>
  </r>
  <r>
    <d v="1999-08-24T00:00:00"/>
    <n v="1999"/>
    <x v="32"/>
    <s v="P"/>
    <n v="1"/>
    <x v="0"/>
    <s v="LAS"/>
    <s v="A"/>
    <n v="2"/>
    <n v="2"/>
    <n v="0"/>
    <n v="0"/>
    <n v="0"/>
    <n v="0"/>
    <n v="1543.8674535814116"/>
    <n v="1566.0878015718556"/>
    <n v="0.35172771204181824"/>
    <n v="58"/>
    <n v="71"/>
    <n v="0"/>
    <n v="-13"/>
    <n v="0"/>
    <n v="0.46346185260971445"/>
    <n v="1.1000000000000001"/>
    <n v="71.05"/>
    <n v="78.155000000000001"/>
    <n v="-12.740232327332771"/>
    <n v="1531.1272212540789"/>
    <n v="0"/>
    <n v="0"/>
    <n v="0"/>
    <n v="1"/>
    <n v="0"/>
    <n v="0"/>
    <n v="0"/>
    <n v="0"/>
    <n v="0"/>
    <n v="0"/>
  </r>
  <r>
    <d v="1999-08-24T00:00:00"/>
    <n v="1999"/>
    <x v="32"/>
    <s v="P"/>
    <n v="1"/>
    <x v="1"/>
    <s v="SAC"/>
    <s v="H"/>
    <n v="2"/>
    <n v="2"/>
    <n v="0"/>
    <n v="0"/>
    <n v="0"/>
    <n v="0"/>
    <n v="1566.0878015718556"/>
    <n v="1543.8674535814116"/>
    <n v="0.6482722879581817"/>
    <n v="71"/>
    <n v="58"/>
    <n v="0"/>
    <n v="13"/>
    <n v="1"/>
    <n v="0.46346185260971445"/>
    <n v="1.1000000000000001"/>
    <n v="71.05"/>
    <n v="78.155000000000001"/>
    <n v="12.740232327332775"/>
    <n v="1578.8280338991883"/>
    <n v="0"/>
    <n v="0"/>
    <n v="1"/>
    <n v="0"/>
    <n v="0"/>
    <n v="0"/>
    <n v="0"/>
    <n v="0"/>
    <n v="0"/>
    <n v="0"/>
  </r>
  <r>
    <d v="1999-08-26T00:00:00"/>
    <n v="1999"/>
    <x v="32"/>
    <s v="P"/>
    <n v="2"/>
    <x v="4"/>
    <s v="LAS"/>
    <s v="A"/>
    <n v="4"/>
    <n v="1"/>
    <n v="3"/>
    <n v="-3"/>
    <n v="16"/>
    <n v="-16"/>
    <n v="1717.9359315486945"/>
    <n v="1578.8280338991883"/>
    <n v="0.62279611848242777"/>
    <n v="60"/>
    <n v="75"/>
    <n v="0"/>
    <n v="-15"/>
    <n v="0"/>
    <n v="0.45061166072851638"/>
    <n v="1.2"/>
    <n v="71.05"/>
    <n v="85.259999999999991"/>
    <n v="-23.927297616038057"/>
    <n v="1694.0086339326565"/>
    <n v="0"/>
    <n v="0"/>
    <n v="0"/>
    <n v="0"/>
    <n v="0"/>
    <n v="1"/>
    <n v="0"/>
    <n v="0"/>
    <n v="0"/>
    <n v="0"/>
  </r>
  <r>
    <d v="1999-08-26T00:00:00"/>
    <n v="1999"/>
    <x v="33"/>
    <s v="P"/>
    <n v="2"/>
    <x v="1"/>
    <s v="HOU"/>
    <s v="H"/>
    <n v="1"/>
    <n v="4"/>
    <n v="-3"/>
    <n v="3"/>
    <n v="-16"/>
    <n v="16"/>
    <n v="1578.8280338991883"/>
    <n v="1717.9359315486945"/>
    <n v="0.37720388151757223"/>
    <n v="75"/>
    <n v="60"/>
    <n v="0"/>
    <n v="15"/>
    <n v="1"/>
    <n v="0.45061166072851638"/>
    <n v="1.2"/>
    <n v="70.900000000000006"/>
    <n v="85.08"/>
    <n v="23.876782561254025"/>
    <n v="1602.7048164604423"/>
    <n v="0"/>
    <n v="0"/>
    <n v="0"/>
    <n v="0"/>
    <n v="1"/>
    <n v="0"/>
    <n v="0"/>
    <n v="0"/>
    <n v="0"/>
    <n v="0"/>
  </r>
  <r>
    <d v="1999-08-27T00:00:00"/>
    <n v="1999"/>
    <x v="32"/>
    <s v="P"/>
    <n v="2"/>
    <x v="3"/>
    <s v="CHA"/>
    <s v="A"/>
    <n v="5"/>
    <n v="2"/>
    <n v="3"/>
    <n v="-3"/>
    <n v="16"/>
    <n v="-16"/>
    <n v="1534.9387036610892"/>
    <n v="1493.8178407392807"/>
    <n v="0.48434877813268828"/>
    <n v="67"/>
    <n v="78"/>
    <n v="0"/>
    <n v="-11"/>
    <n v="0"/>
    <n v="0.42526330841512056"/>
    <n v="1.2"/>
    <n v="71.05"/>
    <n v="85.259999999999991"/>
    <n v="-17.561493622911936"/>
    <n v="1517.3772100381773"/>
    <n v="0"/>
    <n v="0"/>
    <n v="0"/>
    <n v="0"/>
    <n v="0"/>
    <n v="1"/>
    <n v="0"/>
    <n v="0"/>
    <n v="0"/>
    <n v="0"/>
  </r>
  <r>
    <d v="1999-08-27T00:00:00"/>
    <n v="1999"/>
    <x v="33"/>
    <s v="P"/>
    <n v="2"/>
    <x v="6"/>
    <s v="NYL"/>
    <s v="H"/>
    <n v="2"/>
    <n v="5"/>
    <n v="-3"/>
    <n v="3"/>
    <n v="-16"/>
    <n v="16"/>
    <n v="1493.8178407392807"/>
    <n v="1534.9387036610892"/>
    <n v="0.51565122186731172"/>
    <n v="78"/>
    <n v="67"/>
    <n v="0"/>
    <n v="11"/>
    <n v="1"/>
    <n v="0.42526330841512056"/>
    <n v="1.2"/>
    <n v="70.900000000000006"/>
    <n v="85.08"/>
    <n v="17.524417985425139"/>
    <n v="1511.3422587247057"/>
    <n v="0"/>
    <n v="0"/>
    <n v="0"/>
    <n v="0"/>
    <n v="1"/>
    <n v="0"/>
    <n v="0"/>
    <n v="0"/>
    <n v="0"/>
    <n v="0"/>
  </r>
  <r>
    <d v="1999-08-29T00:00:00"/>
    <n v="1999"/>
    <x v="34"/>
    <s v="P"/>
    <n v="2"/>
    <x v="1"/>
    <s v="HOU"/>
    <s v="A"/>
    <n v="2"/>
    <n v="2"/>
    <n v="0"/>
    <n v="0"/>
    <n v="0"/>
    <n v="0"/>
    <n v="1602.7048164604423"/>
    <n v="1694.0086339326565"/>
    <n v="0.26715016679131409"/>
    <n v="55"/>
    <n v="83"/>
    <n v="0"/>
    <n v="-28"/>
    <n v="0"/>
    <n v="0.63107347864927832"/>
    <n v="1.2"/>
    <n v="70.75"/>
    <n v="84.899999999999991"/>
    <n v="-14.313408593184132"/>
    <n v="1588.3914078672583"/>
    <n v="0"/>
    <n v="0"/>
    <n v="0"/>
    <n v="0"/>
    <n v="0"/>
    <n v="1"/>
    <n v="0"/>
    <n v="0"/>
    <n v="0"/>
    <n v="0"/>
  </r>
  <r>
    <d v="1999-08-29T00:00:00"/>
    <n v="1999"/>
    <x v="33"/>
    <s v="P"/>
    <n v="2"/>
    <x v="4"/>
    <s v="LAS"/>
    <s v="H"/>
    <n v="2"/>
    <n v="2"/>
    <n v="0"/>
    <n v="0"/>
    <n v="0"/>
    <n v="0"/>
    <n v="1694.0086339326565"/>
    <n v="1602.7048164604423"/>
    <n v="0.73284983320868591"/>
    <n v="83"/>
    <n v="55"/>
    <n v="0"/>
    <n v="28"/>
    <n v="1"/>
    <n v="0.63107347864927832"/>
    <n v="1.2"/>
    <n v="70.900000000000006"/>
    <n v="85.08"/>
    <n v="14.343755042498307"/>
    <n v="1708.3523889751548"/>
    <n v="0"/>
    <n v="0"/>
    <n v="0"/>
    <n v="0"/>
    <n v="1"/>
    <n v="0"/>
    <n v="0"/>
    <n v="0"/>
    <n v="0"/>
    <n v="0"/>
  </r>
  <r>
    <d v="1999-08-29T00:00:00"/>
    <n v="1999"/>
    <x v="34"/>
    <s v="P"/>
    <n v="2"/>
    <x v="6"/>
    <s v="NYL"/>
    <s v="A"/>
    <n v="1"/>
    <n v="1"/>
    <n v="0"/>
    <n v="0"/>
    <n v="0"/>
    <n v="0"/>
    <n v="1511.3422587247057"/>
    <n v="1517.3772100381773"/>
    <n v="0.37325385027926083"/>
    <n v="70"/>
    <n v="74"/>
    <n v="0"/>
    <n v="-4"/>
    <n v="0"/>
    <n v="0.30987433778568696"/>
    <n v="1.2"/>
    <n v="70.75"/>
    <n v="84.899999999999991"/>
    <n v="-9.819685943937607"/>
    <n v="1501.5225727807681"/>
    <n v="0"/>
    <n v="0"/>
    <n v="0"/>
    <n v="0"/>
    <n v="0"/>
    <n v="1"/>
    <n v="0"/>
    <n v="0"/>
    <n v="0"/>
    <n v="0"/>
  </r>
  <r>
    <d v="1999-08-29T00:00:00"/>
    <n v="1999"/>
    <x v="33"/>
    <s v="P"/>
    <n v="2"/>
    <x v="3"/>
    <s v="CHA"/>
    <s v="H"/>
    <n v="1"/>
    <n v="1"/>
    <n v="0"/>
    <n v="0"/>
    <n v="0"/>
    <n v="0"/>
    <n v="1517.3772100381773"/>
    <n v="1511.3422587247057"/>
    <n v="0.62674614972073928"/>
    <n v="74"/>
    <n v="70"/>
    <n v="0"/>
    <n v="4"/>
    <n v="1"/>
    <n v="0.30987433778568696"/>
    <n v="1.2"/>
    <n v="70.900000000000006"/>
    <n v="85.08"/>
    <n v="9.8405050660802278"/>
    <n v="1527.2177151042574"/>
    <n v="0"/>
    <n v="0"/>
    <n v="0"/>
    <n v="0"/>
    <n v="1"/>
    <n v="0"/>
    <n v="0"/>
    <n v="0"/>
    <n v="0"/>
    <n v="0"/>
  </r>
  <r>
    <d v="1999-08-30T00:00:00"/>
    <n v="1999"/>
    <x v="35"/>
    <s v="P"/>
    <n v="2"/>
    <x v="1"/>
    <s v="HOU"/>
    <s v="A"/>
    <n v="0"/>
    <n v="0"/>
    <n v="0"/>
    <n v="0"/>
    <n v="0"/>
    <n v="0"/>
    <n v="1588.3914078672583"/>
    <n v="1708.3523889751548"/>
    <n v="0.23611581041077381"/>
    <n v="62"/>
    <n v="72"/>
    <n v="0"/>
    <n v="-10"/>
    <n v="0"/>
    <n v="0.3846747339247566"/>
    <n v="1.2"/>
    <n v="70.599999999999994"/>
    <n v="84.719999999999985"/>
    <n v="-7.6949300761087231"/>
    <n v="1580.6964777911496"/>
    <n v="0"/>
    <n v="0"/>
    <n v="0"/>
    <n v="0"/>
    <n v="0"/>
    <n v="1"/>
    <n v="0"/>
    <n v="0"/>
    <n v="0"/>
    <n v="0"/>
  </r>
  <r>
    <d v="1999-08-30T00:00:00"/>
    <n v="1999"/>
    <x v="34"/>
    <s v="P"/>
    <n v="2"/>
    <x v="4"/>
    <s v="LAS"/>
    <s v="H"/>
    <n v="0"/>
    <n v="0"/>
    <n v="0"/>
    <n v="0"/>
    <n v="0"/>
    <n v="0"/>
    <n v="1708.3523889751548"/>
    <n v="1588.3914078672583"/>
    <n v="0.7638841895892261"/>
    <n v="72"/>
    <n v="62"/>
    <n v="0"/>
    <n v="10"/>
    <n v="1"/>
    <n v="0.3846747339247566"/>
    <n v="1.2"/>
    <n v="70.75"/>
    <n v="84.899999999999991"/>
    <n v="7.7112790776868616"/>
    <n v="1716.0636680528416"/>
    <n v="0"/>
    <n v="0"/>
    <n v="0"/>
    <n v="0"/>
    <n v="1"/>
    <n v="0"/>
    <n v="0"/>
    <n v="0"/>
    <n v="0"/>
    <n v="0"/>
  </r>
  <r>
    <d v="1999-08-30T00:00:00"/>
    <n v="1999"/>
    <x v="35"/>
    <s v="P"/>
    <n v="2"/>
    <x v="6"/>
    <s v="NYL"/>
    <s v="A"/>
    <n v="0"/>
    <n v="0"/>
    <n v="0"/>
    <n v="0"/>
    <n v="0"/>
    <n v="0"/>
    <n v="1501.5225727807681"/>
    <n v="1527.2177151042574"/>
    <n v="0.34718046785997825"/>
    <n v="54"/>
    <n v="69"/>
    <n v="0"/>
    <n v="-15"/>
    <n v="0"/>
    <n v="0.49230645763239905"/>
    <n v="1.2"/>
    <n v="70.599999999999994"/>
    <n v="84.719999999999985"/>
    <n v="-14.480273462599346"/>
    <n v="1487.0422993181687"/>
    <n v="0"/>
    <n v="0"/>
    <n v="0"/>
    <n v="0"/>
    <n v="0"/>
    <n v="1"/>
    <n v="0"/>
    <n v="0"/>
    <n v="0"/>
    <n v="0"/>
  </r>
  <r>
    <d v="1999-08-30T00:00:00"/>
    <n v="1999"/>
    <x v="34"/>
    <s v="P"/>
    <n v="2"/>
    <x v="3"/>
    <s v="CHA"/>
    <s v="H"/>
    <n v="0"/>
    <n v="0"/>
    <n v="0"/>
    <n v="0"/>
    <n v="0"/>
    <n v="0"/>
    <n v="1527.2177151042574"/>
    <n v="1501.5225727807681"/>
    <n v="0.65281953214002175"/>
    <n v="69"/>
    <n v="54"/>
    <n v="0"/>
    <n v="15"/>
    <n v="1"/>
    <n v="0.49230645763239905"/>
    <n v="1.2"/>
    <n v="70.75"/>
    <n v="84.899999999999991"/>
    <n v="14.511038916131781"/>
    <n v="1541.7287540203893"/>
    <n v="0"/>
    <n v="0"/>
    <n v="0"/>
    <n v="0"/>
    <n v="1"/>
    <n v="0"/>
    <n v="0"/>
    <n v="0"/>
    <n v="0"/>
    <n v="0"/>
  </r>
  <r>
    <d v="1999-09-02T00:00:00"/>
    <n v="1999"/>
    <x v="35"/>
    <s v="P"/>
    <n v="3"/>
    <x v="4"/>
    <s v="NYL"/>
    <s v="A"/>
    <n v="2"/>
    <n v="2"/>
    <n v="0"/>
    <n v="0"/>
    <n v="0"/>
    <n v="0"/>
    <n v="1716.0636680528416"/>
    <n v="1541.7287540203893"/>
    <n v="0.62715000317759684"/>
    <n v="73"/>
    <n v="60"/>
    <n v="0"/>
    <n v="13"/>
    <n v="1"/>
    <n v="0.41216482313972952"/>
    <n v="1.35"/>
    <n v="70.599999999999994"/>
    <n v="95.31"/>
    <n v="14.646826487235044"/>
    <n v="1730.7104945400768"/>
    <n v="0"/>
    <n v="0"/>
    <n v="0"/>
    <n v="0"/>
    <n v="0"/>
    <n v="0"/>
    <n v="1"/>
    <n v="0"/>
    <n v="0"/>
    <n v="0"/>
  </r>
  <r>
    <d v="1999-09-02T00:00:00"/>
    <n v="1999"/>
    <x v="35"/>
    <s v="P"/>
    <n v="3"/>
    <x v="3"/>
    <s v="HOU"/>
    <s v="H"/>
    <n v="2"/>
    <n v="2"/>
    <n v="0"/>
    <n v="0"/>
    <n v="0"/>
    <n v="0"/>
    <n v="1541.7287540203893"/>
    <n v="1716.0636680528416"/>
    <n v="0.37284999682240322"/>
    <n v="60"/>
    <n v="73"/>
    <n v="0"/>
    <n v="-13"/>
    <n v="0"/>
    <n v="0.41216482313972952"/>
    <n v="1.35"/>
    <n v="70.599999999999994"/>
    <n v="95.31"/>
    <n v="-14.646826487235046"/>
    <n v="1527.0819275331542"/>
    <n v="0"/>
    <n v="0"/>
    <n v="0"/>
    <n v="0"/>
    <n v="0"/>
    <n v="0"/>
    <n v="0"/>
    <n v="1"/>
    <n v="0"/>
    <n v="0"/>
  </r>
  <r>
    <d v="1999-09-04T00:00:00"/>
    <n v="1999"/>
    <x v="36"/>
    <s v="P"/>
    <n v="3"/>
    <x v="3"/>
    <s v="HOU"/>
    <s v="A"/>
    <n v="1"/>
    <n v="1"/>
    <n v="0"/>
    <n v="0"/>
    <n v="0"/>
    <n v="0"/>
    <n v="1527.0819275331542"/>
    <n v="1730.7104945400768"/>
    <n v="0.16033695205729148"/>
    <n v="68"/>
    <n v="67"/>
    <n v="0"/>
    <n v="1"/>
    <n v="1"/>
    <n v="0.20875580053430687"/>
    <n v="1.35"/>
    <n v="70.45"/>
    <n v="95.107500000000016"/>
    <n v="16.670873603637219"/>
    <n v="1543.7528011367913"/>
    <n v="0"/>
    <n v="0"/>
    <n v="0"/>
    <n v="0"/>
    <n v="0"/>
    <n v="0"/>
    <n v="1"/>
    <n v="0"/>
    <n v="0"/>
    <n v="0"/>
  </r>
  <r>
    <d v="1999-09-04T00:00:00"/>
    <n v="1999"/>
    <x v="36"/>
    <s v="P"/>
    <n v="3"/>
    <x v="4"/>
    <s v="NYL"/>
    <s v="H"/>
    <n v="1"/>
    <n v="1"/>
    <n v="0"/>
    <n v="0"/>
    <n v="0"/>
    <n v="0"/>
    <n v="1730.7104945400768"/>
    <n v="1527.0819275331542"/>
    <n v="0.83966304794270852"/>
    <n v="67"/>
    <n v="68"/>
    <n v="0"/>
    <n v="-1"/>
    <n v="0"/>
    <n v="0.20875580053430687"/>
    <n v="1.35"/>
    <n v="70.45"/>
    <n v="95.107500000000016"/>
    <n v="-16.670873603637219"/>
    <n v="1714.0396209364396"/>
    <n v="0"/>
    <n v="0"/>
    <n v="0"/>
    <n v="0"/>
    <n v="0"/>
    <n v="0"/>
    <n v="0"/>
    <n v="1"/>
    <n v="0"/>
    <n v="0"/>
  </r>
  <r>
    <d v="1999-09-05T00:00:00"/>
    <n v="1999"/>
    <x v="37"/>
    <s v="P"/>
    <n v="3"/>
    <x v="3"/>
    <s v="HOU"/>
    <s v="A"/>
    <n v="0"/>
    <n v="0"/>
    <n v="0"/>
    <n v="0"/>
    <n v="0"/>
    <n v="0"/>
    <n v="1543.7528011367913"/>
    <n v="1714.0396209364396"/>
    <n v="0.18788794194450417"/>
    <n v="47"/>
    <n v="59"/>
    <n v="0"/>
    <n v="-12"/>
    <n v="0"/>
    <n v="0.39944581220731473"/>
    <n v="1.35"/>
    <n v="70.3"/>
    <n v="94.905000000000001"/>
    <n v="-7.1227200496288816"/>
    <n v="1536.6300810871624"/>
    <n v="0"/>
    <n v="0"/>
    <n v="0"/>
    <n v="0"/>
    <n v="0"/>
    <n v="0"/>
    <n v="0"/>
    <n v="1"/>
    <n v="0"/>
    <n v="0"/>
  </r>
  <r>
    <d v="1999-09-05T00:00:00"/>
    <n v="1999"/>
    <x v="37"/>
    <s v="P"/>
    <n v="3"/>
    <x v="4"/>
    <s v="NYL"/>
    <s v="H"/>
    <n v="0"/>
    <n v="0"/>
    <n v="0"/>
    <n v="0"/>
    <n v="0"/>
    <n v="0"/>
    <n v="1714.0396209364396"/>
    <n v="1543.7528011367913"/>
    <n v="0.81211205805549591"/>
    <n v="59"/>
    <n v="47"/>
    <n v="0"/>
    <n v="12"/>
    <n v="1"/>
    <n v="0.39944581220731473"/>
    <n v="1.35"/>
    <n v="70.3"/>
    <n v="94.905000000000001"/>
    <n v="7.1227200496288789"/>
    <n v="1721.1623409860686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6">
        <item m="1" x="35"/>
        <item m="1" x="29"/>
        <item m="1" x="46"/>
        <item m="1" x="21"/>
        <item m="1" x="18"/>
        <item m="1" x="34"/>
        <item m="1" x="51"/>
        <item x="6"/>
        <item m="1" x="16"/>
        <item m="1" x="36"/>
        <item x="2"/>
        <item m="1" x="23"/>
        <item m="1" x="27"/>
        <item x="8"/>
        <item m="1" x="52"/>
        <item m="1" x="31"/>
        <item x="4"/>
        <item m="1" x="17"/>
        <item m="1" x="45"/>
        <item m="1" x="44"/>
        <item m="1" x="15"/>
        <item m="1" x="14"/>
        <item m="1" x="54"/>
        <item x="1"/>
        <item m="1" x="53"/>
        <item m="1" x="19"/>
        <item m="1" x="20"/>
        <item m="1" x="30"/>
        <item x="9"/>
        <item m="1" x="38"/>
        <item m="1" x="12"/>
        <item m="1" x="24"/>
        <item m="1" x="39"/>
        <item m="1" x="47"/>
        <item x="3"/>
        <item m="1" x="40"/>
        <item m="1" x="26"/>
        <item x="5"/>
        <item m="1" x="22"/>
        <item x="10"/>
        <item m="1" x="42"/>
        <item m="1" x="28"/>
        <item m="1" x="25"/>
        <item x="0"/>
        <item m="1" x="37"/>
        <item m="1" x="48"/>
        <item m="1" x="49"/>
        <item m="1" x="43"/>
        <item m="1" x="50"/>
        <item m="1" x="41"/>
        <item m="1" x="13"/>
        <item x="11"/>
        <item m="1" x="33"/>
        <item x="7"/>
        <item m="1" x="3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7"/>
    </i>
    <i>
      <x v="10"/>
    </i>
    <i>
      <x v="13"/>
    </i>
    <i>
      <x v="16"/>
    </i>
    <i>
      <x v="23"/>
    </i>
    <i>
      <x v="28"/>
    </i>
    <i>
      <x v="34"/>
    </i>
    <i>
      <x v="37"/>
    </i>
    <i>
      <x v="39"/>
    </i>
    <i>
      <x v="43"/>
    </i>
    <i>
      <x v="51"/>
    </i>
    <i>
      <x v="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2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7" totalsRowShown="0">
  <autoFilter ref="A1:D17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7">
    <sortCondition ref="C13:C17"/>
  </sortState>
  <tableColumns count="4">
    <tableColumn id="1" xr3:uid="{8C17ECDF-4459-4994-A3F5-8E8FEDF92B6F}" name="TeamID"/>
    <tableColumn id="4" xr3:uid="{789F069E-DAF9-4B19-A6DB-107BA6995CE5}" name="Logo" dataDxfId="44"/>
    <tableColumn id="5" xr3:uid="{A9DA91BA-5529-4913-978B-19C8EF225B29}" name="TeamName" dataDxfId="43"/>
    <tableColumn id="2" xr3:uid="{AA4C8157-DB69-4779-8EEE-6F419B992D71}" name="PreSeasonElo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45" totalsRowShown="0" headerRowDxfId="39" dataDxfId="38">
  <autoFilter ref="A1:AL545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7"/>
    <tableColumn id="21" xr3:uid="{D754AB95-C77C-4DD5-B1B9-A24A4FEE7279}" name="Season" dataDxfId="36"/>
    <tableColumn id="19" xr3:uid="{4C42B78B-6AFC-42C3-A5F4-3266E247C458}" name="GamesPlayed" dataDxfId="3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4"/>
    <tableColumn id="14" xr3:uid="{EFA83923-8CCA-4DC9-BC85-5D86949A45D9}" name="Round" dataDxfId="33"/>
    <tableColumn id="2" xr3:uid="{6E102E51-A49B-416B-8CD2-B93B2A4EA389}" name="Team" dataDxfId="32"/>
    <tableColumn id="3" xr3:uid="{19101345-1C34-4AF3-88E6-76A7F19B7FE6}" name="Opponent" dataDxfId="31"/>
    <tableColumn id="16" xr3:uid="{4CBCDF29-B095-48DF-8EF6-06DC7D78C844}" name="HomeAway" dataDxfId="30"/>
    <tableColumn id="32" xr3:uid="{E3FA53E3-DAD6-4BC2-969A-C53F4798E86D}" name="DaysOff" dataDxfId="2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2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7">
      <calculatedColumnFormula>Games[[#This Row],[DaysOff]]-Games[[#This Row],[OppDaysOff]]</calculatedColumnFormula>
    </tableColumn>
    <tableColumn id="35" xr3:uid="{3F2DB366-7372-41BA-8B0C-09F9BA7EA850}" name="OppRestDiff" dataDxfId="26">
      <calculatedColumnFormula>Games[[#This Row],[OppDaysOff]]-Games[[#This Row],[DaysOff]]</calculatedColumnFormula>
    </tableColumn>
    <tableColumn id="36" xr3:uid="{BDD0FD2C-608F-4CCC-867B-4481F0F4B802}" name="RestAdj" dataDxfId="25">
      <calculatedColumnFormula>MAX(-16, MIN(16, Games[[#This Row],[RestDiff]]*8))</calculatedColumnFormula>
    </tableColumn>
    <tableColumn id="37" xr3:uid="{5F89213A-4C28-428C-B766-3B05D4F530A5}" name="OppRestAdj" dataDxfId="24">
      <calculatedColumnFormula>MAX(-16, MIN(16, Games[[#This Row],[OppRestDiff]]*8))</calculatedColumnFormula>
    </tableColumn>
    <tableColumn id="4" xr3:uid="{68053CFA-948B-4F2C-A114-7C46ABD9EA33}" name="PreGmRate" dataDxfId="2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0"/>
    <tableColumn id="8" xr3:uid="{0CDDF0F9-2F1E-487C-96DD-90F70CE7DAFC}" name="PointsAgainst" dataDxfId="19"/>
    <tableColumn id="22" xr3:uid="{AB7B5B5C-5BAD-4213-990E-8EB9B177497C}" name="OT" dataDxfId="18"/>
    <tableColumn id="9" xr3:uid="{CE171F1D-5E5D-4800-A6DC-8F6DBD74C939}" name="MOV" dataDxfId="17">
      <calculatedColumnFormula>Games[[#This Row],[PointsFor]]-Games[[#This Row],[PointsAgainst]]</calculatedColumnFormula>
    </tableColumn>
    <tableColumn id="10" xr3:uid="{883A3911-25F6-4C39-9637-F1C42D6A1FC2}" name="Result" dataDxfId="16">
      <calculatedColumnFormula>IF(Games[[#This Row],[MOV]]&gt;0,1,IF(Games[[#This Row],[MOV]]=0,0.5,0))</calculatedColumnFormula>
    </tableColumn>
    <tableColumn id="15" xr3:uid="{00048431-5FD6-47EE-807E-5B63FD521193}" name="MOVMult" dataDxfId="1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4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3">
      <calculatedColumnFormula>MAX(kmin, kmax - 0.15 * MIN(Games[[#This Row],[GamesPlayed]], 82))</calculatedColumnFormula>
    </tableColumn>
    <tableColumn id="29" xr3:uid="{FBA5D644-15ED-4725-9E52-1D37FD0FAC64}" name="Keff" dataDxfId="12">
      <calculatedColumnFormula>Games[[#This Row],[K]]*Games[[#This Row],[POMult]]</calculatedColumnFormula>
    </tableColumn>
    <tableColumn id="11" xr3:uid="{309DAEBD-E62C-4090-89E9-A58FD32AB89B}" name="RatingChange" dataDxfId="11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0">
      <calculatedColumnFormula>Games[[#This Row],[PreGmRate]]+Games[[#This Row],[RatingChange]]</calculatedColumnFormula>
    </tableColumn>
    <tableColumn id="17" xr3:uid="{90B7BF87-E472-4474-A10D-555BD3BF8F04}" name="W" dataDxfId="9">
      <calculatedColumnFormula>IF(Games[[#This Row],[Type]]="R",IF(Games[[#This Row],[Result]]&gt;0.5,1,0),0)</calculatedColumnFormula>
    </tableColumn>
    <tableColumn id="18" xr3:uid="{29756EA1-783D-4C76-A7B8-F906AF0EC7E7}" name="L" dataDxfId="8">
      <calculatedColumnFormula>IF(Games[[#This Row],[Type]]="R",IF(Games[[#This Row],[Result]]&lt;0.5,1,0),0)</calculatedColumnFormula>
    </tableColumn>
    <tableColumn id="23" xr3:uid="{C253CFA7-28A4-4AE5-B131-DC1E8F2B73F8}" name="R1W" dataDxfId="7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6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5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4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3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0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31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1487.0422993181687</v>
      </c>
      <c r="G2" t="s">
        <v>68</v>
      </c>
      <c r="H2" s="12">
        <v>1333.8500082674568</v>
      </c>
    </row>
    <row r="3" spans="1:8" x14ac:dyDescent="0.35">
      <c r="A3" t="s">
        <v>1</v>
      </c>
      <c r="B3" s="8"/>
      <c r="C3" s="15" t="s">
        <v>69</v>
      </c>
      <c r="D3" s="13">
        <v>1347.0907409890647</v>
      </c>
      <c r="G3" t="s">
        <v>69</v>
      </c>
      <c r="H3" s="12">
        <v>1506.0699469917922</v>
      </c>
    </row>
    <row r="4" spans="1:8" x14ac:dyDescent="0.35">
      <c r="A4" t="s">
        <v>77</v>
      </c>
      <c r="B4" s="8"/>
      <c r="C4" s="15" t="s">
        <v>78</v>
      </c>
      <c r="D4" s="13">
        <v>1467.9477555942181</v>
      </c>
      <c r="G4" t="s">
        <v>78</v>
      </c>
      <c r="H4" s="12">
        <v>1430.5619780765787</v>
      </c>
    </row>
    <row r="5" spans="1:8" x14ac:dyDescent="0.35">
      <c r="A5" t="s">
        <v>2</v>
      </c>
      <c r="B5" s="8"/>
      <c r="C5" s="15" t="s">
        <v>65</v>
      </c>
      <c r="D5" s="13">
        <v>1721.1623409860686</v>
      </c>
      <c r="G5" t="s">
        <v>65</v>
      </c>
      <c r="H5" s="12">
        <v>1813.6509842429907</v>
      </c>
    </row>
    <row r="6" spans="1:8" x14ac:dyDescent="0.35">
      <c r="A6" t="s">
        <v>85</v>
      </c>
      <c r="B6" s="8"/>
      <c r="C6" s="15" t="s">
        <v>86</v>
      </c>
      <c r="D6" s="13">
        <v>1500</v>
      </c>
      <c r="G6" t="s">
        <v>86</v>
      </c>
      <c r="H6" s="12">
        <v>1388.8730250324511</v>
      </c>
    </row>
    <row r="7" spans="1:8" x14ac:dyDescent="0.35">
      <c r="A7" t="s">
        <v>71</v>
      </c>
      <c r="B7" s="8"/>
      <c r="C7" s="15" t="s">
        <v>72</v>
      </c>
      <c r="D7" s="13">
        <v>1580.6964777911496</v>
      </c>
      <c r="G7" t="s">
        <v>72</v>
      </c>
      <c r="H7" s="12">
        <v>1723.0963798744328</v>
      </c>
    </row>
    <row r="8" spans="1:8" x14ac:dyDescent="0.35">
      <c r="A8" t="s">
        <v>83</v>
      </c>
      <c r="B8" s="8"/>
      <c r="C8" s="15" t="s">
        <v>84</v>
      </c>
      <c r="D8" s="13">
        <v>1500</v>
      </c>
      <c r="G8" t="s">
        <v>84</v>
      </c>
      <c r="H8" s="12">
        <v>1428.8730469724971</v>
      </c>
    </row>
    <row r="9" spans="1:8" x14ac:dyDescent="0.35">
      <c r="A9" t="s">
        <v>80</v>
      </c>
      <c r="B9" s="8"/>
      <c r="C9" s="15" t="s">
        <v>82</v>
      </c>
      <c r="D9" s="13">
        <v>1464.9173137546952</v>
      </c>
      <c r="G9" t="s">
        <v>82</v>
      </c>
      <c r="H9" s="12">
        <v>1478.186395836062</v>
      </c>
    </row>
    <row r="10" spans="1:8" x14ac:dyDescent="0.35">
      <c r="A10" t="s">
        <v>66</v>
      </c>
      <c r="B10" s="8"/>
      <c r="C10" s="15" t="s">
        <v>67</v>
      </c>
      <c r="D10" s="13">
        <v>1536.6300810871624</v>
      </c>
      <c r="G10" t="s">
        <v>67</v>
      </c>
      <c r="H10" s="12">
        <v>1589.8392615534715</v>
      </c>
    </row>
    <row r="11" spans="1:8" x14ac:dyDescent="0.35">
      <c r="A11" t="s">
        <v>79</v>
      </c>
      <c r="B11" s="8"/>
      <c r="C11" s="15" t="s">
        <v>81</v>
      </c>
      <c r="D11" s="13">
        <v>1479.2370699754176</v>
      </c>
      <c r="G11" t="s">
        <v>81</v>
      </c>
      <c r="H11" s="12">
        <v>1452.1907942067276</v>
      </c>
    </row>
    <row r="12" spans="1:8" x14ac:dyDescent="0.35">
      <c r="A12" t="s">
        <v>44</v>
      </c>
      <c r="B12" s="8"/>
      <c r="C12" s="15" t="s">
        <v>70</v>
      </c>
      <c r="D12" s="13">
        <v>1532.03406060508</v>
      </c>
      <c r="G12" t="s">
        <v>70</v>
      </c>
      <c r="H12" s="12">
        <v>1560.8611606672825</v>
      </c>
    </row>
    <row r="13" spans="1:8" x14ac:dyDescent="0.35">
      <c r="A13" t="s">
        <v>89</v>
      </c>
      <c r="B13" s="8"/>
      <c r="C13" s="15" t="s">
        <v>90</v>
      </c>
      <c r="D13" s="13">
        <v>1500</v>
      </c>
      <c r="G13" t="s">
        <v>90</v>
      </c>
      <c r="H13" s="12">
        <v>1402.5283804245059</v>
      </c>
    </row>
    <row r="14" spans="1:8" x14ac:dyDescent="0.35">
      <c r="A14" t="s">
        <v>45</v>
      </c>
      <c r="B14" s="8"/>
      <c r="C14" s="15" t="s">
        <v>73</v>
      </c>
      <c r="D14" s="13">
        <v>1531.1272212540789</v>
      </c>
      <c r="G14" t="s">
        <v>73</v>
      </c>
      <c r="H14" s="12">
        <v>1597.8985893925908</v>
      </c>
    </row>
    <row r="15" spans="1:8" x14ac:dyDescent="0.35">
      <c r="A15" t="s">
        <v>87</v>
      </c>
      <c r="B15" s="8"/>
      <c r="C15" s="15" t="s">
        <v>88</v>
      </c>
      <c r="D15" s="13">
        <v>1500</v>
      </c>
      <c r="G15" t="s">
        <v>88</v>
      </c>
      <c r="H15" s="12">
        <v>1326.6814896242142</v>
      </c>
    </row>
    <row r="16" spans="1:8" x14ac:dyDescent="0.35">
      <c r="A16" t="s">
        <v>43</v>
      </c>
      <c r="B16" s="8"/>
      <c r="C16" s="15" t="s">
        <v>74</v>
      </c>
      <c r="D16" s="13">
        <v>1483.1624313954003</v>
      </c>
      <c r="G16" t="s">
        <v>74</v>
      </c>
      <c r="H16" s="12">
        <v>1552.7584994515341</v>
      </c>
    </row>
    <row r="17" spans="1:8" x14ac:dyDescent="0.35">
      <c r="A17" t="s">
        <v>75</v>
      </c>
      <c r="B17" s="8"/>
      <c r="C17" s="15" t="s">
        <v>76</v>
      </c>
      <c r="D17" s="13">
        <v>1368.568980292669</v>
      </c>
      <c r="G17" t="s">
        <v>76</v>
      </c>
      <c r="H17" s="12">
        <v>1413.1309765309209</v>
      </c>
    </row>
    <row r="18" spans="1:8" x14ac:dyDescent="0.35">
      <c r="B18" s="8"/>
      <c r="C18" s="15"/>
      <c r="D18" s="13"/>
    </row>
    <row r="19" spans="1:8" x14ac:dyDescent="0.35">
      <c r="B19" s="8"/>
      <c r="C19" s="15"/>
      <c r="D19" s="13"/>
    </row>
    <row r="20" spans="1:8" x14ac:dyDescent="0.35">
      <c r="B20" s="8"/>
      <c r="C20" s="15"/>
      <c r="D20" s="13"/>
    </row>
    <row r="21" spans="1:8" x14ac:dyDescent="0.35">
      <c r="B21" s="8"/>
      <c r="C21" s="15"/>
      <c r="D21" s="13"/>
    </row>
    <row r="22" spans="1:8" x14ac:dyDescent="0.35">
      <c r="B22" s="8"/>
      <c r="C22" s="15"/>
      <c r="D22" s="13"/>
    </row>
    <row r="23" spans="1:8" x14ac:dyDescent="0.35">
      <c r="B23" s="8"/>
      <c r="C23" s="15"/>
      <c r="D23" s="13"/>
    </row>
    <row r="24" spans="1:8" x14ac:dyDescent="0.35">
      <c r="B24" s="8"/>
      <c r="C24" s="15"/>
      <c r="D24" s="13"/>
    </row>
    <row r="25" spans="1:8" x14ac:dyDescent="0.35">
      <c r="B25" s="8"/>
      <c r="C25" s="15"/>
      <c r="D25" s="13"/>
    </row>
    <row r="26" spans="1:8" x14ac:dyDescent="0.35">
      <c r="B26" s="8"/>
      <c r="C26" s="15"/>
      <c r="D26" s="13"/>
    </row>
    <row r="27" spans="1:8" x14ac:dyDescent="0.35">
      <c r="B27" s="8"/>
      <c r="C27" s="15"/>
      <c r="D27" s="13"/>
    </row>
    <row r="28" spans="1:8" x14ac:dyDescent="0.35">
      <c r="B28" s="8"/>
      <c r="C28" s="15"/>
      <c r="D28" s="13"/>
    </row>
    <row r="29" spans="1:8" x14ac:dyDescent="0.35">
      <c r="B29" s="8"/>
      <c r="C29" s="8"/>
      <c r="D29" s="13"/>
    </row>
    <row r="30" spans="1:8" x14ac:dyDescent="0.35">
      <c r="B30" s="8"/>
      <c r="C30" s="8"/>
      <c r="D30" s="13"/>
    </row>
    <row r="31" spans="1:8" x14ac:dyDescent="0.35">
      <c r="B31" s="8"/>
      <c r="C31" s="8"/>
      <c r="D31" s="13"/>
    </row>
  </sheetData>
  <sortState xmlns:xlrd2="http://schemas.microsoft.com/office/spreadsheetml/2017/richdata2" ref="G2:H17">
    <sortCondition ref="G2:G17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40"/>
  <sheetViews>
    <sheetView workbookViewId="0">
      <selection activeCell="G2" sqref="G2:G17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7">_xlfn.SORTBY(A25:H40,G25:G40,-1)</f>
        <v>HOU</v>
      </c>
      <c r="B2">
        <v>0</v>
      </c>
      <c r="C2" t="str">
        <v>Houston Comets</v>
      </c>
      <c r="D2" s="1">
        <v>26</v>
      </c>
      <c r="E2" s="1">
        <v>6</v>
      </c>
      <c r="F2" s="3">
        <v>0.8125</v>
      </c>
      <c r="G2" s="9">
        <v>1813.6509842429907</v>
      </c>
      <c r="H2" s="1">
        <v>36764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0</v>
      </c>
      <c r="AP2" s="1">
        <f>_xlfn.XLOOKUP($AK2,StandingsPivot!$A$4:$A$33,StandingsPivot!F$4:F$33)</f>
        <v>2</v>
      </c>
      <c r="AQ2" s="1">
        <f>_xlfn.XLOOKUP($AK2,StandingsPivot!$A$4:$A$33,StandingsPivot!G$4:G$33)</f>
        <v>1</v>
      </c>
      <c r="AR2" s="1">
        <f>_xlfn.XLOOKUP($AK2,StandingsPivot!$A$4:$A$33,StandingsPivot!H$4:H$33)</f>
        <v>2</v>
      </c>
      <c r="AS2" s="1">
        <f>_xlfn.XLOOKUP($AK2,StandingsPivot!$A$4:$A$33,StandingsPivot!I$4:I$33)</f>
        <v>1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4</v>
      </c>
      <c r="AW2" s="1">
        <f t="shared" ref="AW2:AW5" si="1">SUM(AO2,AQ2,AS2,AU2)</f>
        <v>2</v>
      </c>
      <c r="AX2" s="4" cm="1">
        <f t="array" ref="AX2">_xlfn.IFNA(INDEX(Games[PostGmRate], MATCH(1, (Games[Team]=AK2)*(Games[Date]=AY2), 0)),0)</f>
        <v>1813.6509842429907</v>
      </c>
      <c r="AY2" s="1">
        <f>_xlfn.MAXIFS(Games[Date], Games[Team], AK2)</f>
        <v>36764</v>
      </c>
      <c r="AZ2">
        <f t="shared" ref="AZ2:AZ5" si="2">SUM(AV2:AW2)</f>
        <v>6</v>
      </c>
    </row>
    <row r="3" spans="1:68" x14ac:dyDescent="0.35">
      <c r="A3" t="str">
        <v>LAS</v>
      </c>
      <c r="B3">
        <v>0</v>
      </c>
      <c r="C3" t="str">
        <v>Los Angeles Sparks</v>
      </c>
      <c r="D3" s="1">
        <v>20</v>
      </c>
      <c r="E3" s="1">
        <v>12</v>
      </c>
      <c r="F3" s="3">
        <v>0.625</v>
      </c>
      <c r="G3" s="9">
        <v>1723.0963798744328</v>
      </c>
      <c r="H3" s="1">
        <v>36758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2</v>
      </c>
      <c r="AQ3" s="1">
        <f>_xlfn.XLOOKUP($AK3,StandingsPivot!$A$4:$A$33,StandingsPivot!G$4:G$33)</f>
        <v>1</v>
      </c>
      <c r="AR3" s="1">
        <f>_xlfn.XLOOKUP($AK3,StandingsPivot!$A$4:$A$33,StandingsPivot!H$4:H$33)</f>
        <v>1</v>
      </c>
      <c r="AS3" s="1">
        <f>_xlfn.XLOOKUP($AK3,StandingsPivot!$A$4:$A$33,StandingsPivot!I$4:I$33)</f>
        <v>2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3</v>
      </c>
      <c r="AW3" s="1">
        <f t="shared" si="1"/>
        <v>3</v>
      </c>
      <c r="AX3" s="4" cm="1">
        <f t="array" ref="AX3">_xlfn.IFNA(INDEX(Games[PostGmRate], MATCH(1, (Games[Team]=AK3)*(Games[Date]=AY3), 0)),0)</f>
        <v>1589.8392615534715</v>
      </c>
      <c r="AY3" s="1">
        <f>_xlfn.MAXIFS(Games[Date], Games[Team], AK3)</f>
        <v>36764</v>
      </c>
      <c r="AZ3">
        <f t="shared" si="2"/>
        <v>6</v>
      </c>
    </row>
    <row r="4" spans="1:68" x14ac:dyDescent="0.35">
      <c r="A4" t="str">
        <v>SAC</v>
      </c>
      <c r="B4">
        <v>0</v>
      </c>
      <c r="C4" t="str">
        <v>Sacramento Monarchs</v>
      </c>
      <c r="D4" s="1">
        <v>19</v>
      </c>
      <c r="E4" s="1">
        <v>13</v>
      </c>
      <c r="F4" s="3">
        <v>0.59375</v>
      </c>
      <c r="G4" s="9">
        <v>1597.8985893925908</v>
      </c>
      <c r="H4" s="1">
        <v>36752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1</v>
      </c>
      <c r="AO4" s="1">
        <f>_xlfn.XLOOKUP($AK4,StandingsPivot!$A$4:$A$33,StandingsPivot!E$4:E$33)</f>
        <v>0</v>
      </c>
      <c r="AP4" s="1">
        <f>_xlfn.XLOOKUP($AK4,StandingsPivot!$A$4:$A$33,StandingsPivot!F$4:F$33)</f>
        <v>1</v>
      </c>
      <c r="AQ4" s="1">
        <f>_xlfn.XLOOKUP($AK4,StandingsPivot!$A$4:$A$33,StandingsPivot!G$4:G$33)</f>
        <v>2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2</v>
      </c>
      <c r="AW4" s="1">
        <f t="shared" si="1"/>
        <v>2</v>
      </c>
      <c r="AX4" s="4" cm="1">
        <f t="array" ref="AX4">_xlfn.IFNA(INDEX(Games[PostGmRate], MATCH(1, (Games[Team]=AK4)*(Games[Date]=AY4), 0)),0)</f>
        <v>1333.8500082674568</v>
      </c>
      <c r="AY4" s="1">
        <f>_xlfn.MAXIFS(Games[Date], Games[Team], AK4)</f>
        <v>36747</v>
      </c>
      <c r="AZ4">
        <f t="shared" si="2"/>
        <v>4</v>
      </c>
    </row>
    <row r="5" spans="1:68" x14ac:dyDescent="0.35">
      <c r="A5" t="str">
        <v>NYL</v>
      </c>
      <c r="B5">
        <v>0</v>
      </c>
      <c r="C5" t="str">
        <v>New York Liberty</v>
      </c>
      <c r="D5" s="1">
        <v>18</v>
      </c>
      <c r="E5" s="1">
        <v>14</v>
      </c>
      <c r="F5" s="3">
        <v>0.5625</v>
      </c>
      <c r="G5" s="9">
        <v>1589.8392615534715</v>
      </c>
      <c r="H5" s="1">
        <v>36764</v>
      </c>
      <c r="O5" s="4"/>
      <c r="P5" s="4"/>
      <c r="Q5" s="1"/>
      <c r="AK5" t="s">
        <v>1</v>
      </c>
      <c r="AL5">
        <f>_xlfn.XLOOKUP(AK5,ConfDiv[TeamID],ConfDiv[Logo])</f>
        <v>0</v>
      </c>
      <c r="AM5" t="str">
        <f>_xlfn.XLOOKUP(AK5,ConfDiv[TeamID],ConfDiv[TeamName])</f>
        <v>Cleveland Rockers</v>
      </c>
      <c r="AN5" s="1">
        <f>_xlfn.XLOOKUP($AK5,StandingsPivot!$A$4:$A$33,StandingsPivot!D$4:D$33)</f>
        <v>0</v>
      </c>
      <c r="AO5" s="1">
        <f>_xlfn.XLOOKUP($AK5,StandingsPivot!$A$4:$A$33,StandingsPivot!E$4:E$33)</f>
        <v>0</v>
      </c>
      <c r="AP5" s="1">
        <f>_xlfn.XLOOKUP($AK5,StandingsPivot!$A$4:$A$33,StandingsPivot!F$4:F$33)</f>
        <v>0</v>
      </c>
      <c r="AQ5" s="1">
        <f>_xlfn.XLOOKUP($AK5,StandingsPivot!$A$4:$A$33,StandingsPivot!G$4:G$33)</f>
        <v>0</v>
      </c>
      <c r="AR5" s="1">
        <f>_xlfn.XLOOKUP($AK5,StandingsPivot!$A$4:$A$33,StandingsPivot!H$4:H$33)</f>
        <v>0</v>
      </c>
      <c r="AS5" s="1">
        <f>_xlfn.XLOOKUP($AK5,StandingsPivot!$A$4:$A$33,StandingsPivot!I$4:I$33)</f>
        <v>0</v>
      </c>
      <c r="AT5" s="1">
        <f>_xlfn.XLOOKUP($AK5,StandingsPivot!$A$4:$A$33,StandingsPivot!J$4:J$33)</f>
        <v>0</v>
      </c>
      <c r="AU5" s="1">
        <f>_xlfn.XLOOKUP($AK5,StandingsPivot!$A$4:$A$33,StandingsPivot!K$4:K$33)</f>
        <v>0</v>
      </c>
      <c r="AV5" s="1">
        <f t="shared" si="0"/>
        <v>0</v>
      </c>
      <c r="AW5" s="1">
        <f t="shared" si="1"/>
        <v>0</v>
      </c>
      <c r="AX5" s="4" cm="1">
        <f t="array" ref="AX5">_xlfn.IFNA(INDEX(Games[PostGmRate], MATCH(1, (Games[Team]=AK5)*(Games[Date]=AY5), 0)),0)</f>
        <v>1506.0699469917922</v>
      </c>
      <c r="AY5" s="1">
        <f>_xlfn.MAXIFS(Games[Date], Games[Team], AK5)</f>
        <v>36759</v>
      </c>
      <c r="AZ5">
        <f t="shared" si="2"/>
        <v>0</v>
      </c>
    </row>
    <row r="6" spans="1:68" x14ac:dyDescent="0.35">
      <c r="A6" t="str">
        <v>PHX</v>
      </c>
      <c r="B6">
        <v>0</v>
      </c>
      <c r="C6" t="str">
        <v>Phoenix Mercury</v>
      </c>
      <c r="D6" s="1">
        <v>15</v>
      </c>
      <c r="E6" s="1">
        <v>17</v>
      </c>
      <c r="F6" s="3">
        <v>0.46875</v>
      </c>
      <c r="G6" s="9">
        <v>1560.8611606672825</v>
      </c>
      <c r="H6" s="1">
        <v>36751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1560.8611606672825</v>
      </c>
      <c r="AY6" s="1">
        <f>_xlfn.MAXIFS(Games[Date], Games[Team], AK6)</f>
        <v>36751</v>
      </c>
      <c r="AZ6">
        <f>SUM(AV6:AW6)</f>
        <v>0</v>
      </c>
      <c r="BO6" s="4"/>
      <c r="BP6" s="1"/>
    </row>
    <row r="7" spans="1:68" x14ac:dyDescent="0.35">
      <c r="A7" t="str">
        <v>UTA</v>
      </c>
      <c r="B7">
        <v>0</v>
      </c>
      <c r="C7" t="str">
        <v>Utah Starzz</v>
      </c>
      <c r="D7" s="1">
        <v>15</v>
      </c>
      <c r="E7" s="1">
        <v>17</v>
      </c>
      <c r="F7" s="3">
        <v>0.46875</v>
      </c>
      <c r="G7" s="9">
        <v>1552.7584994515341</v>
      </c>
      <c r="H7" s="1">
        <v>36747</v>
      </c>
      <c r="AK7" t="s">
        <v>71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1</v>
      </c>
      <c r="AO7" s="1">
        <f>_xlfn.XLOOKUP($AK7,StandingsPivot!$A$4:$A$33,StandingsPivot!E$4:E$33)</f>
        <v>0</v>
      </c>
      <c r="AP7" s="1">
        <f>_xlfn.XLOOKUP($AK7,StandingsPivot!$A$4:$A$33,StandingsPivot!F$4:F$33)</f>
        <v>1</v>
      </c>
      <c r="AQ7" s="1">
        <f>_xlfn.XLOOKUP($AK7,StandingsPivot!$A$4:$A$33,StandingsPivot!G$4:G$33)</f>
        <v>2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2</v>
      </c>
      <c r="AW7" s="1">
        <f t="shared" si="3"/>
        <v>2</v>
      </c>
      <c r="AX7" s="4" cm="1">
        <f t="array" ref="AX7">_xlfn.IFNA(INDEX(Games[PostGmRate], MATCH(1, (Games[Team]=AK7)*(Games[Date]=AY7), 0)),0)</f>
        <v>1723.0963798744328</v>
      </c>
      <c r="AY7" s="1">
        <f>_xlfn.MAXIFS(Games[Date], Games[Team], AK7)</f>
        <v>36758</v>
      </c>
      <c r="AZ7">
        <f>SUM(AV7:AW7)</f>
        <v>4</v>
      </c>
      <c r="BO7" s="4"/>
      <c r="BP7" s="1"/>
    </row>
    <row r="8" spans="1:68" x14ac:dyDescent="0.35">
      <c r="A8" t="str">
        <v>CLE</v>
      </c>
      <c r="B8">
        <v>0</v>
      </c>
      <c r="C8" t="str">
        <v>Cleveland Rockers</v>
      </c>
      <c r="D8" s="1">
        <v>7</v>
      </c>
      <c r="E8" s="1">
        <v>25</v>
      </c>
      <c r="F8" s="3">
        <v>0.21875</v>
      </c>
      <c r="G8" s="9">
        <v>1506.0699469917922</v>
      </c>
      <c r="H8" s="1">
        <v>36759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0</v>
      </c>
      <c r="AO8" s="1">
        <f>_xlfn.XLOOKUP($AK8,StandingsPivot!$A$4:$A$33,StandingsPivot!E$4:E$33)</f>
        <v>1</v>
      </c>
      <c r="AP8" s="1">
        <f>_xlfn.XLOOKUP($AK8,StandingsPivot!$A$4:$A$33,StandingsPivot!F$4:F$33)</f>
        <v>0</v>
      </c>
      <c r="AQ8" s="1">
        <f>_xlfn.XLOOKUP($AK8,StandingsPivot!$A$4:$A$33,StandingsPivot!G$4:G$33)</f>
        <v>0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0</v>
      </c>
      <c r="AW8" s="1">
        <f t="shared" si="3"/>
        <v>1</v>
      </c>
      <c r="AX8" s="4" cm="1">
        <f t="array" ref="AX8">_xlfn.IFNA(INDEX(Games[PostGmRate], MATCH(1, (Games[Team]=AK8)*(Games[Date]=AY8), 0)),0)</f>
        <v>1597.8985893925908</v>
      </c>
      <c r="AY8" s="1">
        <f>_xlfn.MAXIFS(Games[Date], Games[Team], AK8)</f>
        <v>36752</v>
      </c>
      <c r="AZ8">
        <f>SUM(AV8:AW8)</f>
        <v>1</v>
      </c>
      <c r="BO8" s="4"/>
      <c r="BP8" s="1"/>
    </row>
    <row r="9" spans="1:68" x14ac:dyDescent="0.35">
      <c r="A9" t="str">
        <v>MIN</v>
      </c>
      <c r="B9">
        <v>0</v>
      </c>
      <c r="C9" t="str">
        <v>Minnesota Lynx</v>
      </c>
      <c r="D9" s="1">
        <v>15</v>
      </c>
      <c r="E9" s="1">
        <v>17</v>
      </c>
      <c r="F9" s="3">
        <v>0.46875</v>
      </c>
      <c r="G9" s="9">
        <v>1478.186395836062</v>
      </c>
      <c r="H9" s="1">
        <v>36747</v>
      </c>
      <c r="O9" s="3"/>
      <c r="P9" s="4"/>
      <c r="Q9" s="1"/>
      <c r="AK9" t="s">
        <v>43</v>
      </c>
      <c r="AL9">
        <f>_xlfn.XLOOKUP(AK9,ConfDiv[TeamID],ConfDiv[Logo])</f>
        <v>0</v>
      </c>
      <c r="AM9" t="str">
        <f>_xlfn.XLOOKUP(AK9,ConfDiv[TeamID],ConfDiv[TeamName])</f>
        <v>Utah Starzz</v>
      </c>
      <c r="AN9" s="1">
        <f>_xlfn.XLOOKUP($AK9,StandingsPivot!$A$4:$A$33,StandingsPivot!D$4:D$33)</f>
        <v>0</v>
      </c>
      <c r="AO9" s="1">
        <f>_xlfn.XLOOKUP($AK9,StandingsPivot!$A$4:$A$33,StandingsPivot!E$4:E$33)</f>
        <v>0</v>
      </c>
      <c r="AP9" s="1">
        <f>_xlfn.XLOOKUP($AK9,StandingsPivot!$A$4:$A$33,StandingsPivot!F$4:F$33)</f>
        <v>0</v>
      </c>
      <c r="AQ9" s="1">
        <f>_xlfn.XLOOKUP($AK9,StandingsPivot!$A$4:$A$33,StandingsPivot!G$4:G$33)</f>
        <v>0</v>
      </c>
      <c r="AR9" s="1">
        <f>_xlfn.XLOOKUP($AK9,StandingsPivot!$A$4:$A$33,StandingsPivot!H$4:H$33)</f>
        <v>0</v>
      </c>
      <c r="AS9" s="1">
        <f>_xlfn.XLOOKUP($AK9,StandingsPivot!$A$4:$A$33,StandingsPivot!I$4:I$33)</f>
        <v>0</v>
      </c>
      <c r="AT9" s="1">
        <f>_xlfn.XLOOKUP($AK9,StandingsPivot!$A$4:$A$33,StandingsPivot!J$4:J$33)</f>
        <v>0</v>
      </c>
      <c r="AU9" s="1">
        <f>_xlfn.XLOOKUP($AK9,StandingsPivot!$A$4:$A$33,StandingsPivot!K$4:K$33)</f>
        <v>0</v>
      </c>
      <c r="AV9" s="1">
        <f t="shared" si="3"/>
        <v>0</v>
      </c>
      <c r="AW9" s="1">
        <f t="shared" si="3"/>
        <v>0</v>
      </c>
      <c r="AX9" s="4" cm="1">
        <f t="array" ref="AX9">_xlfn.IFNA(INDEX(Games[PostGmRate], MATCH(1, (Games[Team]=AK9)*(Games[Date]=AY9), 0)),0)</f>
        <v>1552.7584994515341</v>
      </c>
      <c r="AY9" s="1">
        <f>_xlfn.MAXIFS(Games[Date], Games[Team], AK9)</f>
        <v>36747</v>
      </c>
      <c r="AZ9">
        <f>SUM(AV9:AW9)</f>
        <v>0</v>
      </c>
      <c r="BO9" s="4"/>
      <c r="BP9" s="1"/>
    </row>
    <row r="10" spans="1:68" x14ac:dyDescent="0.35">
      <c r="A10" t="str">
        <v>ORL</v>
      </c>
      <c r="B10">
        <v>0</v>
      </c>
      <c r="C10" t="str">
        <v>Orlando Miracle</v>
      </c>
      <c r="D10" s="1">
        <v>15</v>
      </c>
      <c r="E10" s="1">
        <v>17</v>
      </c>
      <c r="F10" s="3">
        <v>0.46875</v>
      </c>
      <c r="G10" s="9">
        <v>1452.1907942067276</v>
      </c>
      <c r="H10" s="1">
        <v>36753</v>
      </c>
      <c r="O10" s="3"/>
      <c r="P10" s="4"/>
      <c r="Q10" s="1"/>
      <c r="AX10" s="4"/>
      <c r="BO10" s="4"/>
      <c r="BP10" s="1"/>
    </row>
    <row r="11" spans="1:68" x14ac:dyDescent="0.35">
      <c r="A11" t="str">
        <v>DET</v>
      </c>
      <c r="B11">
        <v>0</v>
      </c>
      <c r="C11" t="str">
        <v>Detroit Shock</v>
      </c>
      <c r="D11" s="1">
        <v>15</v>
      </c>
      <c r="E11" s="1">
        <v>17</v>
      </c>
      <c r="F11" s="3">
        <v>0.46875</v>
      </c>
      <c r="G11" s="9">
        <v>1430.5619780765787</v>
      </c>
      <c r="H11" s="1">
        <v>36747</v>
      </c>
      <c r="O11" s="3"/>
      <c r="P11" s="4"/>
      <c r="Q11" s="1"/>
      <c r="AX11" s="4"/>
      <c r="BO11" s="4"/>
      <c r="BP11" s="1"/>
    </row>
    <row r="12" spans="1:68" x14ac:dyDescent="0.35">
      <c r="A12" t="str">
        <v>MIA</v>
      </c>
      <c r="B12">
        <v>0</v>
      </c>
      <c r="C12" t="str">
        <v>Miami Sol</v>
      </c>
      <c r="D12" s="1" t="e">
        <v>#N/A</v>
      </c>
      <c r="E12" s="1" t="e">
        <v>#N/A</v>
      </c>
      <c r="F12" s="3" t="e">
        <v>#N/A</v>
      </c>
      <c r="G12" s="9">
        <v>1428.8730469724971</v>
      </c>
      <c r="H12" s="1">
        <v>36747</v>
      </c>
      <c r="O12" s="3"/>
      <c r="P12" s="4"/>
      <c r="Q12" s="1"/>
      <c r="AX12" s="4"/>
      <c r="BO12" s="4"/>
      <c r="BP12" s="1"/>
    </row>
    <row r="13" spans="1:68" x14ac:dyDescent="0.35">
      <c r="A13" t="str">
        <v>WAS</v>
      </c>
      <c r="B13">
        <v>0</v>
      </c>
      <c r="C13" t="str">
        <v>Washington Mystics</v>
      </c>
      <c r="D13" s="1">
        <v>12</v>
      </c>
      <c r="E13" s="1">
        <v>20</v>
      </c>
      <c r="F13" s="3">
        <v>0.375</v>
      </c>
      <c r="G13" s="9">
        <v>1413.1309765309209</v>
      </c>
      <c r="H13" s="1">
        <v>36752</v>
      </c>
      <c r="AX13" s="4"/>
      <c r="BO13" s="4"/>
      <c r="BP13" s="1"/>
    </row>
    <row r="14" spans="1:68" x14ac:dyDescent="0.35">
      <c r="A14" t="str">
        <v>POR</v>
      </c>
      <c r="B14">
        <v>0</v>
      </c>
      <c r="C14" t="str">
        <v>Portland Fire</v>
      </c>
      <c r="D14" s="1" t="e">
        <v>#N/A</v>
      </c>
      <c r="E14" s="1" t="e">
        <v>#N/A</v>
      </c>
      <c r="F14" s="3" t="e">
        <v>#N/A</v>
      </c>
      <c r="G14" s="9">
        <v>1402.5283804245059</v>
      </c>
      <c r="H14" s="1">
        <v>36747</v>
      </c>
      <c r="O14" s="3"/>
      <c r="P14" s="4"/>
      <c r="Q14" s="1"/>
      <c r="AX14" s="4"/>
      <c r="BO14" s="4"/>
      <c r="BP14" s="1"/>
    </row>
    <row r="15" spans="1:68" x14ac:dyDescent="0.35">
      <c r="A15" t="str">
        <v>IND</v>
      </c>
      <c r="B15">
        <v>0</v>
      </c>
      <c r="C15" t="str">
        <v>Indiana Fever</v>
      </c>
      <c r="D15" s="1" t="e">
        <v>#N/A</v>
      </c>
      <c r="E15" s="1" t="e">
        <v>#N/A</v>
      </c>
      <c r="F15" s="3" t="e">
        <v>#N/A</v>
      </c>
      <c r="G15" s="9">
        <v>1388.8730250324511</v>
      </c>
      <c r="H15" s="1">
        <v>36747</v>
      </c>
      <c r="O15" s="3"/>
      <c r="P15" s="4"/>
      <c r="Q15" s="1"/>
      <c r="AX15" s="4"/>
      <c r="BO15" s="4"/>
      <c r="BP15" s="1"/>
    </row>
    <row r="16" spans="1:68" x14ac:dyDescent="0.35">
      <c r="A16" t="str">
        <v>CHA</v>
      </c>
      <c r="B16">
        <v>0</v>
      </c>
      <c r="C16" t="str">
        <v>Charlotte Sting</v>
      </c>
      <c r="D16" s="1">
        <v>15</v>
      </c>
      <c r="E16" s="1">
        <v>17</v>
      </c>
      <c r="F16" s="3">
        <v>0.46875</v>
      </c>
      <c r="G16" s="9">
        <v>1333.8500082674568</v>
      </c>
      <c r="H16" s="1">
        <v>36747</v>
      </c>
      <c r="O16" s="3"/>
      <c r="P16" s="4"/>
      <c r="Q16" s="1"/>
      <c r="AX16" s="4"/>
      <c r="BO16" s="4"/>
      <c r="BP16" s="1"/>
    </row>
    <row r="17" spans="1:60" x14ac:dyDescent="0.35">
      <c r="A17" t="str">
        <v>SEA</v>
      </c>
      <c r="B17">
        <v>0</v>
      </c>
      <c r="C17" t="str">
        <v>Seattle Storm</v>
      </c>
      <c r="D17" s="1" t="e">
        <v>#N/A</v>
      </c>
      <c r="E17" s="1" t="e">
        <v>#N/A</v>
      </c>
      <c r="F17" s="3" t="e">
        <v>#N/A</v>
      </c>
      <c r="G17" s="9">
        <v>1326.6814896242142</v>
      </c>
      <c r="H17" s="1">
        <v>36747</v>
      </c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15</v>
      </c>
      <c r="E25" s="1">
        <f>_xlfn.XLOOKUP($A25,StandingsPivot!$A$4:$A$35,StandingsPivot!C$4:C$35)</f>
        <v>17</v>
      </c>
      <c r="F25" s="3">
        <f>(D25)/(D25+E25)</f>
        <v>0.46875</v>
      </c>
      <c r="G25" s="9" cm="1">
        <f t="array" ref="G25">INDEX(Games[PostGmRate], MATCH(1, (Games[Team]=A25)*(Games[Date]=H25), 0))</f>
        <v>1333.8500082674568</v>
      </c>
      <c r="H25" s="1">
        <f>_xlfn.MAXIFS(Games[Date], Games[Team], A25)</f>
        <v>36747</v>
      </c>
      <c r="AR25" s="3"/>
      <c r="AS25" s="4"/>
      <c r="BD25" s="1"/>
      <c r="BG25" s="3"/>
      <c r="BH25" s="4"/>
    </row>
    <row r="26" spans="1:60" x14ac:dyDescent="0.35">
      <c r="A26" t="s">
        <v>1</v>
      </c>
      <c r="B26">
        <f>_xlfn.XLOOKUP(A26,ConfDiv[TeamID],ConfDiv[Logo])</f>
        <v>0</v>
      </c>
      <c r="C26" t="str">
        <f>_xlfn.XLOOKUP(A26,ConfDiv[TeamID],ConfDiv[TeamName])</f>
        <v>Cleveland Rockers</v>
      </c>
      <c r="D26" s="1">
        <f>_xlfn.XLOOKUP($A26,StandingsPivot!$A$4:$A$35,StandingsPivot!B$4:B$35)</f>
        <v>7</v>
      </c>
      <c r="E26" s="1">
        <f>_xlfn.XLOOKUP($A26,StandingsPivot!$A$4:$A$35,StandingsPivot!C$4:C$35)</f>
        <v>25</v>
      </c>
      <c r="F26" s="3">
        <f>(D26)/(D26+E26)</f>
        <v>0.21875</v>
      </c>
      <c r="G26" s="9" cm="1">
        <f t="array" ref="G26">INDEX(Games[PostGmRate], MATCH(1, (Games[Team]=A26)*(Games[Date]=H26), 0))</f>
        <v>1506.0699469917922</v>
      </c>
      <c r="H26" s="1">
        <f>_xlfn.MAXIFS(Games[Date], Games[Team], A26)</f>
        <v>36759</v>
      </c>
      <c r="AR26" s="3"/>
      <c r="AS26" s="4"/>
      <c r="BD26" s="1"/>
      <c r="BG26" s="3"/>
      <c r="BH26" s="4"/>
    </row>
    <row r="27" spans="1:60" x14ac:dyDescent="0.35">
      <c r="A27" t="s">
        <v>77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15</v>
      </c>
      <c r="E27" s="1">
        <f>_xlfn.XLOOKUP($A27,StandingsPivot!$A$4:$A$35,StandingsPivot!C$4:C$35)</f>
        <v>17</v>
      </c>
      <c r="F27" s="3">
        <f>(D27)/(D27+E27)</f>
        <v>0.46875</v>
      </c>
      <c r="G27" s="9" cm="1">
        <f t="array" ref="G27">INDEX(Games[PostGmRate], MATCH(1, (Games[Team]=A27)*(Games[Date]=H27), 0))</f>
        <v>1430.5619780765787</v>
      </c>
      <c r="H27" s="1">
        <f>_xlfn.MAXIFS(Games[Date], Games[Team], A27)</f>
        <v>36747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26</v>
      </c>
      <c r="E28" s="1">
        <f>_xlfn.XLOOKUP($A28,StandingsPivot!$A$4:$A$35,StandingsPivot!C$4:C$35)</f>
        <v>6</v>
      </c>
      <c r="F28" s="3">
        <f>(D28)/(D28+E28)</f>
        <v>0.8125</v>
      </c>
      <c r="G28" s="9" cm="1">
        <f t="array" ref="G28">INDEX(Games[PostGmRate], MATCH(1, (Games[Team]=A28)*(Games[Date]=H28), 0))</f>
        <v>1813.6509842429907</v>
      </c>
      <c r="H28" s="1">
        <f>_xlfn.MAXIFS(Games[Date], Games[Team], A28)</f>
        <v>36764</v>
      </c>
      <c r="AR28" s="3"/>
      <c r="AS28" s="4"/>
      <c r="BD28" s="1"/>
      <c r="BG28" s="3"/>
      <c r="BH28" s="4"/>
    </row>
    <row r="29" spans="1:60" x14ac:dyDescent="0.35">
      <c r="A29" t="s">
        <v>85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 t="e">
        <f>_xlfn.XLOOKUP($A29,StandingsPivot!$A$4:$A$35,StandingsPivot!B$4:B$35)</f>
        <v>#N/A</v>
      </c>
      <c r="E29" s="1" t="e">
        <f>_xlfn.XLOOKUP($A29,StandingsPivot!$A$4:$A$35,StandingsPivot!C$4:C$35)</f>
        <v>#N/A</v>
      </c>
      <c r="F29" s="3" t="e">
        <f>(D29)/(D29+E29)</f>
        <v>#N/A</v>
      </c>
      <c r="G29" s="9" cm="1">
        <f t="array" ref="G29">INDEX(Games[PostGmRate], MATCH(1, (Games[Team]=A29)*(Games[Date]=H29), 0))</f>
        <v>1388.8730250324511</v>
      </c>
      <c r="H29" s="1">
        <f>_xlfn.MAXIFS(Games[Date], Games[Team], A29)</f>
        <v>36747</v>
      </c>
      <c r="AR29" s="3"/>
      <c r="AS29" s="4"/>
      <c r="BD29" s="1"/>
      <c r="BG29" s="3"/>
      <c r="BH29" s="4"/>
    </row>
    <row r="30" spans="1:60" x14ac:dyDescent="0.35">
      <c r="A30" t="s">
        <v>71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20</v>
      </c>
      <c r="E30" s="1">
        <f>_xlfn.XLOOKUP($A30,StandingsPivot!$A$4:$A$35,StandingsPivot!C$4:C$35)</f>
        <v>12</v>
      </c>
      <c r="F30" s="3">
        <f>(D30)/(D30+E30)</f>
        <v>0.625</v>
      </c>
      <c r="G30" s="9" cm="1">
        <f t="array" ref="G30">INDEX(Games[PostGmRate], MATCH(1, (Games[Team]=A30)*(Games[Date]=H30), 0))</f>
        <v>1723.0963798744328</v>
      </c>
      <c r="H30" s="1">
        <f>_xlfn.MAXIFS(Games[Date], Games[Team], A30)</f>
        <v>36758</v>
      </c>
      <c r="AR30" s="3"/>
      <c r="AS30" s="4"/>
      <c r="BD30" s="1"/>
      <c r="BG30" s="3"/>
      <c r="BH30" s="4"/>
    </row>
    <row r="31" spans="1:60" x14ac:dyDescent="0.35">
      <c r="A31" t="s">
        <v>83</v>
      </c>
      <c r="B31">
        <f>_xlfn.XLOOKUP(A31,ConfDiv[TeamID],ConfDiv[Logo])</f>
        <v>0</v>
      </c>
      <c r="C31" t="str">
        <f>_xlfn.XLOOKUP(A31,ConfDiv[TeamID],ConfDiv[TeamName])</f>
        <v>Miami Sol</v>
      </c>
      <c r="D31" s="1" t="e">
        <f>_xlfn.XLOOKUP($A31,StandingsPivot!$A$4:$A$35,StandingsPivot!B$4:B$35)</f>
        <v>#N/A</v>
      </c>
      <c r="E31" s="1" t="e">
        <f>_xlfn.XLOOKUP($A31,StandingsPivot!$A$4:$A$35,StandingsPivot!C$4:C$35)</f>
        <v>#N/A</v>
      </c>
      <c r="F31" s="3" t="e">
        <f>(D31)/(D31+E31)</f>
        <v>#N/A</v>
      </c>
      <c r="G31" s="9" cm="1">
        <f t="array" ref="G31">INDEX(Games[PostGmRate], MATCH(1, (Games[Team]=A31)*(Games[Date]=H31), 0))</f>
        <v>1428.8730469724971</v>
      </c>
      <c r="H31" s="1">
        <f>_xlfn.MAXIFS(Games[Date], Games[Team], A31)</f>
        <v>36747</v>
      </c>
      <c r="AR31" s="3"/>
      <c r="AS31" s="4"/>
      <c r="BD31" s="1"/>
      <c r="BG31" s="3"/>
      <c r="BH31" s="4"/>
    </row>
    <row r="32" spans="1:60" x14ac:dyDescent="0.35">
      <c r="A32" t="s">
        <v>80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15</v>
      </c>
      <c r="E32" s="1">
        <f>_xlfn.XLOOKUP($A32,StandingsPivot!$A$4:$A$35,StandingsPivot!C$4:C$35)</f>
        <v>17</v>
      </c>
      <c r="F32" s="3">
        <f>(D32)/(D32+E32)</f>
        <v>0.46875</v>
      </c>
      <c r="G32" s="9" cm="1">
        <f t="array" ref="G32">INDEX(Games[PostGmRate], MATCH(1, (Games[Team]=A32)*(Games[Date]=H32), 0))</f>
        <v>1478.186395836062</v>
      </c>
      <c r="H32" s="1">
        <f>_xlfn.MAXIFS(Games[Date], Games[Team], A32)</f>
        <v>36747</v>
      </c>
      <c r="AR32" s="3"/>
      <c r="AS32" s="4"/>
      <c r="BD32" s="1"/>
      <c r="BG32" s="3"/>
      <c r="BH32" s="4"/>
    </row>
    <row r="33" spans="1:60" x14ac:dyDescent="0.35">
      <c r="A33" t="s">
        <v>66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18</v>
      </c>
      <c r="E33" s="1">
        <f>_xlfn.XLOOKUP($A33,StandingsPivot!$A$4:$A$35,StandingsPivot!C$4:C$35)</f>
        <v>14</v>
      </c>
      <c r="F33" s="3">
        <f>(D33)/(D33+E33)</f>
        <v>0.5625</v>
      </c>
      <c r="G33" s="9" cm="1">
        <f t="array" ref="G33">INDEX(Games[PostGmRate], MATCH(1, (Games[Team]=A33)*(Games[Date]=H33), 0))</f>
        <v>1589.8392615534715</v>
      </c>
      <c r="H33" s="1">
        <f>_xlfn.MAXIFS(Games[Date], Games[Team], A33)</f>
        <v>36764</v>
      </c>
      <c r="AR33" s="3"/>
      <c r="AS33" s="4"/>
      <c r="BD33" s="1"/>
      <c r="BG33" s="3"/>
      <c r="BH33" s="4"/>
    </row>
    <row r="34" spans="1:60" x14ac:dyDescent="0.35">
      <c r="A34" t="s">
        <v>79</v>
      </c>
      <c r="B34">
        <f>_xlfn.XLOOKUP(A34,ConfDiv[TeamID],ConfDiv[Logo])</f>
        <v>0</v>
      </c>
      <c r="C34" t="str">
        <f>_xlfn.XLOOKUP(A34,ConfDiv[TeamID],ConfDiv[TeamName])</f>
        <v>Orlando Miracle</v>
      </c>
      <c r="D34" s="1">
        <f>_xlfn.XLOOKUP($A34,StandingsPivot!$A$4:$A$35,StandingsPivot!B$4:B$35)</f>
        <v>15</v>
      </c>
      <c r="E34" s="1">
        <f>_xlfn.XLOOKUP($A34,StandingsPivot!$A$4:$A$35,StandingsPivot!C$4:C$35)</f>
        <v>17</v>
      </c>
      <c r="F34" s="3">
        <f>(D34)/(D34+E34)</f>
        <v>0.46875</v>
      </c>
      <c r="G34" s="9" cm="1">
        <f t="array" ref="G34">INDEX(Games[PostGmRate], MATCH(1, (Games[Team]=A34)*(Games[Date]=H34), 0))</f>
        <v>1452.1907942067276</v>
      </c>
      <c r="H34" s="1">
        <f>_xlfn.MAXIFS(Games[Date], Games[Team], A34)</f>
        <v>36753</v>
      </c>
      <c r="AR34" s="3"/>
      <c r="AS34" s="4"/>
      <c r="BD34" s="1"/>
      <c r="BG34" s="3"/>
      <c r="BH34" s="4"/>
    </row>
    <row r="35" spans="1:60" x14ac:dyDescent="0.35">
      <c r="A35" t="s">
        <v>44</v>
      </c>
      <c r="B35">
        <f>_xlfn.XLOOKUP(A35,ConfDiv[TeamID],ConfDiv[Logo])</f>
        <v>0</v>
      </c>
      <c r="C35" t="str">
        <f>_xlfn.XLOOKUP(A35,ConfDiv[TeamID],ConfDiv[TeamName])</f>
        <v>Phoenix Mercury</v>
      </c>
      <c r="D35" s="1">
        <f>_xlfn.XLOOKUP($A35,StandingsPivot!$A$4:$A$35,StandingsPivot!B$4:B$35)</f>
        <v>15</v>
      </c>
      <c r="E35" s="1">
        <f>_xlfn.XLOOKUP($A35,StandingsPivot!$A$4:$A$35,StandingsPivot!C$4:C$35)</f>
        <v>17</v>
      </c>
      <c r="F35" s="3">
        <f>(D35)/(D35+E35)</f>
        <v>0.46875</v>
      </c>
      <c r="G35" s="9" cm="1">
        <f t="array" ref="G35">INDEX(Games[PostGmRate], MATCH(1, (Games[Team]=A35)*(Games[Date]=H35), 0))</f>
        <v>1560.8611606672825</v>
      </c>
      <c r="H35" s="1">
        <f>_xlfn.MAXIFS(Games[Date], Games[Team], A35)</f>
        <v>36751</v>
      </c>
      <c r="AR35" s="3"/>
      <c r="AS35" s="4"/>
      <c r="BD35" s="1"/>
      <c r="BG35" s="3"/>
      <c r="BH35" s="4"/>
    </row>
    <row r="36" spans="1:60" x14ac:dyDescent="0.35">
      <c r="A36" t="s">
        <v>89</v>
      </c>
      <c r="B36">
        <f>_xlfn.XLOOKUP(A36,ConfDiv[TeamID],ConfDiv[Logo])</f>
        <v>0</v>
      </c>
      <c r="C36" t="str">
        <f>_xlfn.XLOOKUP(A36,ConfDiv[TeamID],ConfDiv[TeamName])</f>
        <v>Portland Fire</v>
      </c>
      <c r="D36" s="1" t="e">
        <f>_xlfn.XLOOKUP($A36,StandingsPivot!$A$4:$A$35,StandingsPivot!B$4:B$35)</f>
        <v>#N/A</v>
      </c>
      <c r="E36" s="1" t="e">
        <f>_xlfn.XLOOKUP($A36,StandingsPivot!$A$4:$A$35,StandingsPivot!C$4:C$35)</f>
        <v>#N/A</v>
      </c>
      <c r="F36" s="3" t="e">
        <f>(D36)/(D36+E36)</f>
        <v>#N/A</v>
      </c>
      <c r="G36" s="9" cm="1">
        <f t="array" ref="G36">INDEX(Games[PostGmRate], MATCH(1, (Games[Team]=A36)*(Games[Date]=H36), 0))</f>
        <v>1402.5283804245059</v>
      </c>
      <c r="H36" s="1">
        <f>_xlfn.MAXIFS(Games[Date], Games[Team], A36)</f>
        <v>36747</v>
      </c>
      <c r="AR36" s="3"/>
      <c r="AS36" s="4"/>
      <c r="BD36" s="1"/>
      <c r="BG36" s="3"/>
      <c r="BH36" s="4"/>
    </row>
    <row r="37" spans="1:60" x14ac:dyDescent="0.35">
      <c r="A37" t="s">
        <v>45</v>
      </c>
      <c r="B37">
        <f>_xlfn.XLOOKUP(A37,ConfDiv[TeamID],ConfDiv[Logo])</f>
        <v>0</v>
      </c>
      <c r="C37" t="str">
        <f>_xlfn.XLOOKUP(A37,ConfDiv[TeamID],ConfDiv[TeamName])</f>
        <v>Sacramento Monarchs</v>
      </c>
      <c r="D37" s="1">
        <f>_xlfn.XLOOKUP($A37,StandingsPivot!$A$4:$A$35,StandingsPivot!B$4:B$35)</f>
        <v>19</v>
      </c>
      <c r="E37" s="1">
        <f>_xlfn.XLOOKUP($A37,StandingsPivot!$A$4:$A$35,StandingsPivot!C$4:C$35)</f>
        <v>13</v>
      </c>
      <c r="F37" s="3">
        <f>(D37)/(D37+E37)</f>
        <v>0.59375</v>
      </c>
      <c r="G37" s="9" cm="1">
        <f t="array" ref="G37">INDEX(Games[PostGmRate], MATCH(1, (Games[Team]=A37)*(Games[Date]=H37), 0))</f>
        <v>1597.8985893925908</v>
      </c>
      <c r="H37" s="1">
        <f>_xlfn.MAXIFS(Games[Date], Games[Team], A37)</f>
        <v>36752</v>
      </c>
    </row>
    <row r="38" spans="1:60" x14ac:dyDescent="0.35">
      <c r="A38" t="s">
        <v>87</v>
      </c>
      <c r="B38">
        <f>_xlfn.XLOOKUP(A38,ConfDiv[TeamID],ConfDiv[Logo])</f>
        <v>0</v>
      </c>
      <c r="C38" t="str">
        <f>_xlfn.XLOOKUP(A38,ConfDiv[TeamID],ConfDiv[TeamName])</f>
        <v>Seattle Storm</v>
      </c>
      <c r="D38" s="1" t="e">
        <f>_xlfn.XLOOKUP($A38,StandingsPivot!$A$4:$A$35,StandingsPivot!B$4:B$35)</f>
        <v>#N/A</v>
      </c>
      <c r="E38" s="1" t="e">
        <f>_xlfn.XLOOKUP($A38,StandingsPivot!$A$4:$A$35,StandingsPivot!C$4:C$35)</f>
        <v>#N/A</v>
      </c>
      <c r="F38" s="3" t="e">
        <f>(D38)/(D38+E38)</f>
        <v>#N/A</v>
      </c>
      <c r="G38" s="9" cm="1">
        <f t="array" ref="G38">INDEX(Games[PostGmRate], MATCH(1, (Games[Team]=A38)*(Games[Date]=H38), 0))</f>
        <v>1326.6814896242142</v>
      </c>
      <c r="H38" s="1">
        <f>_xlfn.MAXIFS(Games[Date], Games[Team], A38)</f>
        <v>36747</v>
      </c>
    </row>
    <row r="39" spans="1:60" x14ac:dyDescent="0.35">
      <c r="A39" t="s">
        <v>43</v>
      </c>
      <c r="B39">
        <f>_xlfn.XLOOKUP(A39,ConfDiv[TeamID],ConfDiv[Logo])</f>
        <v>0</v>
      </c>
      <c r="C39" t="str">
        <f>_xlfn.XLOOKUP(A39,ConfDiv[TeamID],ConfDiv[TeamName])</f>
        <v>Utah Starzz</v>
      </c>
      <c r="D39" s="1">
        <f>_xlfn.XLOOKUP($A39,StandingsPivot!$A$4:$A$35,StandingsPivot!B$4:B$35)</f>
        <v>15</v>
      </c>
      <c r="E39" s="1">
        <f>_xlfn.XLOOKUP($A39,StandingsPivot!$A$4:$A$35,StandingsPivot!C$4:C$35)</f>
        <v>17</v>
      </c>
      <c r="F39" s="3">
        <f>(D39)/(D39+E39)</f>
        <v>0.46875</v>
      </c>
      <c r="G39" s="9" cm="1">
        <f t="array" ref="G39">INDEX(Games[PostGmRate], MATCH(1, (Games[Team]=A39)*(Games[Date]=H39), 0))</f>
        <v>1552.7584994515341</v>
      </c>
      <c r="H39" s="1">
        <f>_xlfn.MAXIFS(Games[Date], Games[Team], A39)</f>
        <v>36747</v>
      </c>
    </row>
    <row r="40" spans="1:60" x14ac:dyDescent="0.35">
      <c r="A40" t="s">
        <v>75</v>
      </c>
      <c r="B40">
        <f>_xlfn.XLOOKUP(A40,ConfDiv[TeamID],ConfDiv[Logo])</f>
        <v>0</v>
      </c>
      <c r="C40" t="str">
        <f>_xlfn.XLOOKUP(A40,ConfDiv[TeamID],ConfDiv[TeamName])</f>
        <v>Washington Mystics</v>
      </c>
      <c r="D40" s="1">
        <f>_xlfn.XLOOKUP($A40,StandingsPivot!$A$4:$A$35,StandingsPivot!B$4:B$35)</f>
        <v>12</v>
      </c>
      <c r="E40" s="1">
        <f>_xlfn.XLOOKUP($A40,StandingsPivot!$A$4:$A$35,StandingsPivot!C$4:C$35)</f>
        <v>20</v>
      </c>
      <c r="F40" s="3">
        <f>(D40)/(D40+E40)</f>
        <v>0.375</v>
      </c>
      <c r="G40" s="9" cm="1">
        <f t="array" ref="G40">INDEX(Games[PostGmRate], MATCH(1, (Games[Team]=A40)*(Games[Date]=H40), 0))</f>
        <v>1413.1309765309209</v>
      </c>
      <c r="H40" s="1">
        <f>_xlfn.MAXIFS(Games[Date], Games[Team], A40)</f>
        <v>36752</v>
      </c>
    </row>
  </sheetData>
  <sortState xmlns:xlrd2="http://schemas.microsoft.com/office/spreadsheetml/2017/richdata2" ref="A25:G40">
    <sortCondition ref="A25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15</v>
      </c>
      <c r="C4" s="2">
        <v>17</v>
      </c>
      <c r="D4" s="2">
        <v>1</v>
      </c>
      <c r="E4" s="2">
        <v>0</v>
      </c>
      <c r="F4" s="2">
        <v>1</v>
      </c>
      <c r="G4" s="2">
        <v>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1</v>
      </c>
      <c r="B5" s="2">
        <v>7</v>
      </c>
      <c r="C5" s="2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77</v>
      </c>
      <c r="B6" s="2">
        <v>15</v>
      </c>
      <c r="C6" s="2">
        <v>17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2</v>
      </c>
      <c r="B7" s="2">
        <v>26</v>
      </c>
      <c r="C7" s="2">
        <v>6</v>
      </c>
      <c r="D7" s="2">
        <v>0</v>
      </c>
      <c r="E7" s="2">
        <v>0</v>
      </c>
      <c r="F7" s="2">
        <v>2</v>
      </c>
      <c r="G7" s="2">
        <v>1</v>
      </c>
      <c r="H7" s="2">
        <v>2</v>
      </c>
      <c r="I7" s="2">
        <v>1</v>
      </c>
      <c r="J7" s="2">
        <v>0</v>
      </c>
      <c r="K7" s="2">
        <v>0</v>
      </c>
    </row>
    <row r="8" spans="1:11" x14ac:dyDescent="0.35">
      <c r="A8" s="6" t="s">
        <v>71</v>
      </c>
      <c r="B8" s="2">
        <v>20</v>
      </c>
      <c r="C8" s="2">
        <v>12</v>
      </c>
      <c r="D8" s="2">
        <v>1</v>
      </c>
      <c r="E8" s="2">
        <v>0</v>
      </c>
      <c r="F8" s="2">
        <v>1</v>
      </c>
      <c r="G8" s="2">
        <v>2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80</v>
      </c>
      <c r="B9" s="2">
        <v>15</v>
      </c>
      <c r="C9" s="2">
        <v>17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66</v>
      </c>
      <c r="B10" s="2">
        <v>18</v>
      </c>
      <c r="C10" s="2">
        <v>14</v>
      </c>
      <c r="D10" s="2">
        <v>0</v>
      </c>
      <c r="E10" s="2">
        <v>0</v>
      </c>
      <c r="F10" s="2">
        <v>2</v>
      </c>
      <c r="G10" s="2">
        <v>1</v>
      </c>
      <c r="H10" s="2">
        <v>1</v>
      </c>
      <c r="I10" s="2">
        <v>2</v>
      </c>
      <c r="J10" s="2">
        <v>0</v>
      </c>
      <c r="K10" s="2">
        <v>0</v>
      </c>
    </row>
    <row r="11" spans="1:11" x14ac:dyDescent="0.35">
      <c r="A11" s="6" t="s">
        <v>79</v>
      </c>
      <c r="B11" s="2">
        <v>15</v>
      </c>
      <c r="C11" s="2">
        <v>17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44</v>
      </c>
      <c r="B12" s="2">
        <v>15</v>
      </c>
      <c r="C12" s="2">
        <v>17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45</v>
      </c>
      <c r="B13" s="2">
        <v>19</v>
      </c>
      <c r="C13" s="2">
        <v>13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43</v>
      </c>
      <c r="B14" s="2">
        <v>15</v>
      </c>
      <c r="C14" s="2">
        <v>17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75</v>
      </c>
      <c r="B15" s="2">
        <v>12</v>
      </c>
      <c r="C15" s="2">
        <v>20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20</v>
      </c>
      <c r="B16" s="2">
        <v>192</v>
      </c>
      <c r="C16" s="2">
        <v>192</v>
      </c>
      <c r="D16" s="2">
        <v>2</v>
      </c>
      <c r="E16" s="2">
        <v>2</v>
      </c>
      <c r="F16" s="2">
        <v>6</v>
      </c>
      <c r="G16" s="2">
        <v>6</v>
      </c>
      <c r="H16" s="2">
        <v>3</v>
      </c>
      <c r="I16" s="2">
        <v>3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2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45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36675</v>
      </c>
      <c r="B2" s="2">
        <v>2000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66</v>
      </c>
      <c r="G2" s="1" t="s">
        <v>2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1518.3150405435813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1610.5811704930343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0.26606703494965089</v>
      </c>
      <c r="R2" s="1">
        <v>68</v>
      </c>
      <c r="S2" s="1">
        <v>84</v>
      </c>
      <c r="T2" s="1">
        <v>0</v>
      </c>
      <c r="U2" s="1">
        <f>Games[[#This Row],[PointsFor]]-Games[[#This Row],[PointsAgainst]]</f>
        <v>-16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0.48081677940470213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-9.7034521843914217</v>
      </c>
      <c r="AB2" s="4">
        <f>Games[[#This Row],[PreGmRate]]+Games[[#This Row],[RatingChange]]</f>
        <v>1508.6115883591899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36675</v>
      </c>
      <c r="B3" s="2">
        <v>2000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2</v>
      </c>
      <c r="G3" s="1" t="s">
        <v>66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1610.5811704930343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1518.3150405435813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0.73393296505034922</v>
      </c>
      <c r="R3" s="1">
        <v>84</v>
      </c>
      <c r="S3" s="1">
        <v>68</v>
      </c>
      <c r="T3" s="1">
        <v>0</v>
      </c>
      <c r="U3" s="1">
        <f>Games[[#This Row],[PointsFor]]-Games[[#This Row],[PointsAgainst]]</f>
        <v>16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0.48081677940470213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9.7034521843914163</v>
      </c>
      <c r="AB3" s="4">
        <f>Games[[#This Row],[PreGmRate]]+Games[[#This Row],[RatingChange]]</f>
        <v>1620.2846226774257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36677</v>
      </c>
      <c r="B4" s="2">
        <v>2000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43</v>
      </c>
      <c r="G4" s="1" t="s">
        <v>71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1491.5812156977001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1540.3482388955749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0.3177202640017856</v>
      </c>
      <c r="R4" s="1">
        <v>62</v>
      </c>
      <c r="S4" s="1">
        <v>69</v>
      </c>
      <c r="T4" s="1">
        <v>0</v>
      </c>
      <c r="U4" s="1">
        <f>Games[[#This Row],[PointsFor]]-Games[[#This Row],[PointsAgainst]]</f>
        <v>-7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0.35565369579286937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-8.5709275872415329</v>
      </c>
      <c r="AB4" s="4">
        <f>Games[[#This Row],[PreGmRate]]+Games[[#This Row],[RatingChange]]</f>
        <v>1483.0102881104585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36677</v>
      </c>
      <c r="B5" s="2">
        <v>2000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71</v>
      </c>
      <c r="G5" s="1" t="s">
        <v>43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1540.3482388955749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1491.5812156977001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0.68227973599821434</v>
      </c>
      <c r="R5" s="1">
        <v>69</v>
      </c>
      <c r="S5" s="1">
        <v>62</v>
      </c>
      <c r="T5" s="1">
        <v>0</v>
      </c>
      <c r="U5" s="1">
        <f>Games[[#This Row],[PointsFor]]-Games[[#This Row],[PointsAgainst]]</f>
        <v>7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0.35565369579286937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8.5709275872415347</v>
      </c>
      <c r="AB5" s="4">
        <f>Games[[#This Row],[PreGmRate]]+Games[[#This Row],[RatingChange]]</f>
        <v>1548.9191664828165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36677</v>
      </c>
      <c r="B6" s="2">
        <v>2000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1</v>
      </c>
      <c r="G6" s="1" t="s">
        <v>80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1423.5453704945323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1482.4586568773475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0.30519612536450602</v>
      </c>
      <c r="R6" s="1">
        <v>62</v>
      </c>
      <c r="S6" s="1">
        <v>73</v>
      </c>
      <c r="T6" s="1">
        <v>0</v>
      </c>
      <c r="U6" s="1">
        <f>Games[[#This Row],[PointsFor]]-Games[[#This Row],[PointsAgainst]]</f>
        <v>-11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0.41925299384652082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-9.705340426086055</v>
      </c>
      <c r="AB6" s="4">
        <f>Games[[#This Row],[PreGmRate]]+Games[[#This Row],[RatingChange]]</f>
        <v>1413.8400300684464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36677</v>
      </c>
      <c r="B7" s="2">
        <v>2000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80</v>
      </c>
      <c r="G7" s="1" t="s">
        <v>1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1482.4586568773475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1423.5453704945323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0.69480387463549398</v>
      </c>
      <c r="R7" s="1">
        <v>73</v>
      </c>
      <c r="S7" s="1">
        <v>62</v>
      </c>
      <c r="T7" s="1">
        <v>0</v>
      </c>
      <c r="U7" s="1">
        <f>Games[[#This Row],[PointsFor]]-Games[[#This Row],[PointsAgainst]]</f>
        <v>11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0.41925299384652082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9.705340426086055</v>
      </c>
      <c r="AB7" s="4">
        <f>Games[[#This Row],[PreGmRate]]+Games[[#This Row],[RatingChange]]</f>
        <v>1492.1639973034335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36677</v>
      </c>
      <c r="B8" s="2">
        <v>2000</v>
      </c>
      <c r="C8" s="2">
        <f>COUNTIFS(Games[Team],Games[[#This Row],[Team]],Games[Season],Games[[#This Row],[Season]],Games[Date],"&lt;=" &amp; Games[[#This Row],[Date]])</f>
        <v>2</v>
      </c>
      <c r="D8" s="2" t="s">
        <v>23</v>
      </c>
      <c r="E8" s="2" t="s">
        <v>29</v>
      </c>
      <c r="F8" s="1" t="s">
        <v>66</v>
      </c>
      <c r="G8" s="1" t="s">
        <v>44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" s="2">
        <f>Games[[#This Row],[DaysOff]]-Games[[#This Row],[OppDaysOff]]</f>
        <v>-1</v>
      </c>
      <c r="L8" s="2">
        <f>Games[[#This Row],[OppDaysOff]]-Games[[#This Row],[DaysOff]]</f>
        <v>1</v>
      </c>
      <c r="M8" s="1">
        <f>MAX(-16, MIN(16, Games[[#This Row],[RestDiff]]*8))</f>
        <v>-8</v>
      </c>
      <c r="N8" s="1">
        <f>MAX(-16, MIN(16, Games[[#This Row],[OppRestDiff]]*8))</f>
        <v>8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1508.6115883591899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1516.01703030254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0.3501737808961885</v>
      </c>
      <c r="R8" s="1">
        <v>48</v>
      </c>
      <c r="S8" s="1">
        <v>51</v>
      </c>
      <c r="T8" s="1">
        <v>0</v>
      </c>
      <c r="U8" s="1">
        <f>Games[[#This Row],[PointsFor]]-Games[[#This Row],[PointsAgainst]]</f>
        <v>-3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0.28840372357273814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75.7</v>
      </c>
      <c r="Z8" s="4">
        <f>Games[[#This Row],[K]]*Games[[#This Row],[POMult]]</f>
        <v>75.7</v>
      </c>
      <c r="AA8" s="4">
        <f>(Games[[#This Row],[Keff]]*Games[[#This Row],[MOVMult]])*(Games[[#This Row],[Result]]-Games[[#This Row],[ExpectedWin%]])</f>
        <v>-7.6450506687159727</v>
      </c>
      <c r="AB8" s="4">
        <f>Games[[#This Row],[PreGmRate]]+Games[[#This Row],[RatingChange]]</f>
        <v>1500.9665376904738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36677</v>
      </c>
      <c r="B9" s="2">
        <v>2000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44</v>
      </c>
      <c r="G9" s="1" t="s">
        <v>66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1</v>
      </c>
      <c r="L9" s="2">
        <f>Games[[#This Row],[OppDaysOff]]-Games[[#This Row],[DaysOff]]</f>
        <v>-1</v>
      </c>
      <c r="M9" s="1">
        <f>MAX(-16, MIN(16, Games[[#This Row],[RestDiff]]*8))</f>
        <v>8</v>
      </c>
      <c r="N9" s="1">
        <f>MAX(-16, MIN(16, Games[[#This Row],[OppRestDiff]]*8))</f>
        <v>-8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1516.01703030254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1508.6115883591899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0.64982621910381155</v>
      </c>
      <c r="R9" s="1">
        <v>51</v>
      </c>
      <c r="S9" s="1">
        <v>48</v>
      </c>
      <c r="T9" s="1">
        <v>0</v>
      </c>
      <c r="U9" s="1">
        <f>Games[[#This Row],[PointsFor]]-Games[[#This Row],[PointsAgainst]]</f>
        <v>3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0.28840372357273814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7.6601993820621708</v>
      </c>
      <c r="AB9" s="4">
        <f>Games[[#This Row],[PreGmRate]]+Games[[#This Row],[RatingChange]]</f>
        <v>1523.6772296846023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36677</v>
      </c>
      <c r="B10" s="2">
        <v>2000</v>
      </c>
      <c r="C10" s="2">
        <f>COUNTIFS(Games[Team],Games[[#This Row],[Team]],Games[Season],Games[[#This Row],[Season]],Games[Date],"&lt;=" &amp; Games[[#This Row],[Date]])</f>
        <v>2</v>
      </c>
      <c r="D10" s="2" t="s">
        <v>23</v>
      </c>
      <c r="E10" s="2" t="s">
        <v>29</v>
      </c>
      <c r="F10" s="1" t="s">
        <v>2</v>
      </c>
      <c r="G10" s="1" t="s">
        <v>89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" s="2">
        <f>Games[[#This Row],[DaysOff]]-Games[[#This Row],[OppDaysOff]]</f>
        <v>-1</v>
      </c>
      <c r="L10" s="2">
        <f>Games[[#This Row],[OppDaysOff]]-Games[[#This Row],[DaysOff]]</f>
        <v>1</v>
      </c>
      <c r="M10" s="1">
        <f>MAX(-16, MIN(16, Games[[#This Row],[RestDiff]]*8))</f>
        <v>-8</v>
      </c>
      <c r="N10" s="1">
        <f>MAX(-16, MIN(16, Games[[#This Row],[OppRestDiff]]*8))</f>
        <v>8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1620.2846226774257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0.52915879522034392</v>
      </c>
      <c r="R10" s="1">
        <v>93</v>
      </c>
      <c r="S10" s="1">
        <v>89</v>
      </c>
      <c r="T10" s="1">
        <v>1</v>
      </c>
      <c r="U10" s="1">
        <f>Games[[#This Row],[PointsFor]]-Games[[#This Row],[PointsAgainst]]</f>
        <v>4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0.25475367047304215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75.7</v>
      </c>
      <c r="Z10" s="4">
        <f>Games[[#This Row],[K]]*Games[[#This Row],[POMult]]</f>
        <v>75.7</v>
      </c>
      <c r="AA10" s="4">
        <f>(Games[[#This Row],[Keff]]*Games[[#This Row],[MOVMult]])*(Games[[#This Row],[Result]]-Games[[#This Row],[ExpectedWin%]])</f>
        <v>9.0801033521567955</v>
      </c>
      <c r="AB10" s="4">
        <f>Games[[#This Row],[PreGmRate]]+Games[[#This Row],[RatingChange]]</f>
        <v>1629.3647260295825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36677</v>
      </c>
      <c r="B11" s="2">
        <v>2000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89</v>
      </c>
      <c r="G11" s="1" t="s">
        <v>2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1</v>
      </c>
      <c r="L11" s="2">
        <f>Games[[#This Row],[OppDaysOff]]-Games[[#This Row],[DaysOff]]</f>
        <v>-1</v>
      </c>
      <c r="M11" s="1">
        <f>MAX(-16, MIN(16, Games[[#This Row],[RestDiff]]*8))</f>
        <v>8</v>
      </c>
      <c r="N11" s="1">
        <f>MAX(-16, MIN(16, Games[[#This Row],[OppRestDiff]]*8))</f>
        <v>-8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1620.2846226774257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0.47084120477965613</v>
      </c>
      <c r="R11" s="1">
        <v>89</v>
      </c>
      <c r="S11" s="1">
        <v>93</v>
      </c>
      <c r="T11" s="1">
        <v>1</v>
      </c>
      <c r="U11" s="1">
        <f>Games[[#This Row],[PointsFor]]-Games[[#This Row],[PointsAgainst]]</f>
        <v>-4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0.25475367047304215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-9.0980956309259327</v>
      </c>
      <c r="AB11" s="4">
        <f>Games[[#This Row],[PreGmRate]]+Games[[#This Row],[RatingChange]]</f>
        <v>1490.9019043690741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36677</v>
      </c>
      <c r="B12" s="2">
        <v>2000</v>
      </c>
      <c r="C12" s="2">
        <f>COUNTIFS(Games[Team],Games[[#This Row],[Team]],Games[Season],Games[[#This Row],[Season]],Games[Date],"&lt;=" &amp; Games[[#This Row],[Date]])</f>
        <v>1</v>
      </c>
      <c r="D12" s="2" t="s">
        <v>23</v>
      </c>
      <c r="E12" s="2" t="s">
        <v>29</v>
      </c>
      <c r="F12" s="1" t="s">
        <v>87</v>
      </c>
      <c r="G12" s="1" t="s">
        <v>45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1515.5636106270395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0.36051393629328427</v>
      </c>
      <c r="R12" s="1">
        <v>60</v>
      </c>
      <c r="S12" s="1">
        <v>76</v>
      </c>
      <c r="T12" s="1">
        <v>0</v>
      </c>
      <c r="U12" s="1">
        <f>Games[[#This Row],[PointsFor]]-Games[[#This Row],[PointsAgainst]]</f>
        <v>-16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0.5111564983551613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-13.977565281384638</v>
      </c>
      <c r="AB12" s="4">
        <f>Games[[#This Row],[PreGmRate]]+Games[[#This Row],[RatingChange]]</f>
        <v>1486.0224347186154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36677</v>
      </c>
      <c r="B13" s="2">
        <v>2000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45</v>
      </c>
      <c r="G13" s="1" t="s">
        <v>87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1515.5636106270395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0.63948606370671579</v>
      </c>
      <c r="R13" s="1">
        <v>76</v>
      </c>
      <c r="S13" s="1">
        <v>60</v>
      </c>
      <c r="T13" s="1">
        <v>0</v>
      </c>
      <c r="U13" s="1">
        <f>Games[[#This Row],[PointsFor]]-Games[[#This Row],[PointsAgainst]]</f>
        <v>16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0.5111564983551613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13.977565281384637</v>
      </c>
      <c r="AB13" s="4">
        <f>Games[[#This Row],[PreGmRate]]+Games[[#This Row],[RatingChange]]</f>
        <v>1529.5411759084241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36677</v>
      </c>
      <c r="B14" s="2">
        <v>2000</v>
      </c>
      <c r="C14" s="2">
        <f>COUNTIFS(Games[Team],Games[[#This Row],[Team]],Games[Season],Games[[#This Row],[Season]],Games[Date],"&lt;=" &amp; Games[[#This Row],[Date]])</f>
        <v>1</v>
      </c>
      <c r="D14" s="2" t="s">
        <v>23</v>
      </c>
      <c r="E14" s="2" t="s">
        <v>29</v>
      </c>
      <c r="F14" s="1" t="s">
        <v>79</v>
      </c>
      <c r="G14" s="1" t="s">
        <v>75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1489.6185349877087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1434.2844901463345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0.45883973077696522</v>
      </c>
      <c r="R14" s="1">
        <v>66</v>
      </c>
      <c r="S14" s="1">
        <v>92</v>
      </c>
      <c r="T14" s="1">
        <v>0</v>
      </c>
      <c r="U14" s="1">
        <f>Games[[#This Row],[PointsFor]]-Games[[#This Row],[PointsAgainst]]</f>
        <v>-26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0.62525577143841826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75.849999999999994</v>
      </c>
      <c r="Z14" s="4">
        <f>Games[[#This Row],[K]]*Games[[#This Row],[POMult]]</f>
        <v>75.849999999999994</v>
      </c>
      <c r="AA14" s="4">
        <f>(Games[[#This Row],[Keff]]*Games[[#This Row],[MOVMult]])*(Games[[#This Row],[Result]]-Games[[#This Row],[ExpectedWin%]])</f>
        <v>-21.760772598874578</v>
      </c>
      <c r="AB14" s="4">
        <f>Games[[#This Row],[PreGmRate]]+Games[[#This Row],[RatingChange]]</f>
        <v>1467.8577623888341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36677</v>
      </c>
      <c r="B15" s="2">
        <v>2000</v>
      </c>
      <c r="C15" s="2">
        <f>COUNTIFS(Games[Team],Games[[#This Row],[Team]],Games[Season],Games[[#This Row],[Season]],Games[Date],"&lt;=" &amp; Games[[#This Row],[Date]])</f>
        <v>1</v>
      </c>
      <c r="D15" s="2" t="s">
        <v>23</v>
      </c>
      <c r="E15" s="2" t="s">
        <v>29</v>
      </c>
      <c r="F15" s="1" t="s">
        <v>75</v>
      </c>
      <c r="G15" s="1" t="s">
        <v>79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1434.2844901463345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1489.6185349877087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0.54116026922303484</v>
      </c>
      <c r="R15" s="1">
        <v>92</v>
      </c>
      <c r="S15" s="1">
        <v>66</v>
      </c>
      <c r="T15" s="1">
        <v>0</v>
      </c>
      <c r="U15" s="1">
        <f>Games[[#This Row],[PointsFor]]-Games[[#This Row],[PointsAgainst]]</f>
        <v>26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0.62525577143841826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21.760772598874574</v>
      </c>
      <c r="AB15" s="4">
        <f>Games[[#This Row],[PreGmRate]]+Games[[#This Row],[RatingChange]]</f>
        <v>1456.0452627452091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36678</v>
      </c>
      <c r="B16" s="2">
        <v>2000</v>
      </c>
      <c r="C16" s="2">
        <f>COUNTIFS(Games[Team],Games[[#This Row],[Team]],Games[Season],Games[[#This Row],[Season]],Games[Date],"&lt;=" &amp; Games[[#This Row],[Date]])</f>
        <v>1</v>
      </c>
      <c r="D16" s="2" t="s">
        <v>23</v>
      </c>
      <c r="E16" s="2" t="s">
        <v>29</v>
      </c>
      <c r="F16" s="1" t="s">
        <v>85</v>
      </c>
      <c r="G16" s="1" t="s">
        <v>83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0.38141587791096926</v>
      </c>
      <c r="R16" s="1">
        <v>57</v>
      </c>
      <c r="S16" s="1">
        <v>54</v>
      </c>
      <c r="T16" s="1">
        <v>0</v>
      </c>
      <c r="U16" s="1">
        <f>Games[[#This Row],[PointsFor]]-Games[[#This Row],[PointsAgainst]]</f>
        <v>3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0.29018352109870804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75.849999999999994</v>
      </c>
      <c r="Z16" s="4">
        <f>Games[[#This Row],[K]]*Games[[#This Row],[POMult]]</f>
        <v>75.849999999999994</v>
      </c>
      <c r="AA16" s="4">
        <f>(Games[[#This Row],[Keff]]*Games[[#This Row],[MOVMult]])*(Games[[#This Row],[Result]]-Games[[#This Row],[ExpectedWin%]])</f>
        <v>13.615296379113117</v>
      </c>
      <c r="AB16" s="4">
        <f>Games[[#This Row],[PreGmRate]]+Games[[#This Row],[RatingChange]]</f>
        <v>1513.615296379113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36678</v>
      </c>
      <c r="B17" s="2">
        <v>2000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83</v>
      </c>
      <c r="G17" s="1" t="s">
        <v>85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0.61858412208903069</v>
      </c>
      <c r="R17" s="1">
        <v>54</v>
      </c>
      <c r="S17" s="1">
        <v>57</v>
      </c>
      <c r="T17" s="1">
        <v>0</v>
      </c>
      <c r="U17" s="1">
        <f>Games[[#This Row],[PointsFor]]-Games[[#This Row],[PointsAgainst]]</f>
        <v>-3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0.29018352109870804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-13.615296379113117</v>
      </c>
      <c r="AB17" s="4">
        <f>Games[[#This Row],[PreGmRate]]+Games[[#This Row],[RatingChange]]</f>
        <v>1486.384703620887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36678</v>
      </c>
      <c r="B18" s="2">
        <v>2000</v>
      </c>
      <c r="C18" s="2">
        <f>COUNTIFS(Games[Team],Games[[#This Row],[Team]],Games[Season],Games[[#This Row],[Season]],Games[Date],"&lt;=" &amp; Games[[#This Row],[Date]])</f>
        <v>1</v>
      </c>
      <c r="D18" s="2" t="s">
        <v>23</v>
      </c>
      <c r="E18" s="2" t="s">
        <v>29</v>
      </c>
      <c r="F18" s="1" t="s">
        <v>64</v>
      </c>
      <c r="G18" s="1" t="s">
        <v>79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" s="2">
        <f>Games[[#This Row],[DaysOff]]-Games[[#This Row],[OppDaysOff]]</f>
        <v>3</v>
      </c>
      <c r="L18" s="2">
        <f>Games[[#This Row],[OppDaysOff]]-Games[[#This Row],[DaysOff]]</f>
        <v>-3</v>
      </c>
      <c r="M18" s="1">
        <f>MAX(-16, MIN(16, Games[[#This Row],[RestDiff]]*8))</f>
        <v>16</v>
      </c>
      <c r="N18" s="1">
        <f>MAX(-16, MIN(16, Games[[#This Row],[OppRestDiff]]*8))</f>
        <v>-16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1493.5211496590844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1467.8577623888341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0.46217099592922151</v>
      </c>
      <c r="R18" s="1">
        <v>79</v>
      </c>
      <c r="S18" s="1">
        <v>82</v>
      </c>
      <c r="T18" s="1">
        <v>0</v>
      </c>
      <c r="U18" s="1">
        <f>Games[[#This Row],[PointsFor]]-Games[[#This Row],[PointsAgainst]]</f>
        <v>-3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0.28410755264052728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75.849999999999994</v>
      </c>
      <c r="Z18" s="4">
        <f>Games[[#This Row],[K]]*Games[[#This Row],[POMult]]</f>
        <v>75.849999999999994</v>
      </c>
      <c r="AA18" s="4">
        <f>(Games[[#This Row],[Keff]]*Games[[#This Row],[MOVMult]])*(Games[[#This Row],[Result]]-Games[[#This Row],[ExpectedWin%]])</f>
        <v>-9.9595806215881186</v>
      </c>
      <c r="AB18" s="4">
        <f>Games[[#This Row],[PreGmRate]]+Games[[#This Row],[RatingChange]]</f>
        <v>1483.5615690374962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36678</v>
      </c>
      <c r="B19" s="2">
        <v>2000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79</v>
      </c>
      <c r="G19" s="1" t="s">
        <v>64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" s="2">
        <f>Games[[#This Row],[DaysOff]]-Games[[#This Row],[OppDaysOff]]</f>
        <v>-3</v>
      </c>
      <c r="L19" s="2">
        <f>Games[[#This Row],[OppDaysOff]]-Games[[#This Row],[DaysOff]]</f>
        <v>3</v>
      </c>
      <c r="M19" s="1">
        <f>MAX(-16, MIN(16, Games[[#This Row],[RestDiff]]*8))</f>
        <v>-16</v>
      </c>
      <c r="N19" s="1">
        <f>MAX(-16, MIN(16, Games[[#This Row],[OppRestDiff]]*8))</f>
        <v>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1467.8577623888341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1493.5211496590844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0.53782900407077849</v>
      </c>
      <c r="R19" s="1">
        <v>82</v>
      </c>
      <c r="S19" s="1">
        <v>79</v>
      </c>
      <c r="T19" s="1">
        <v>0</v>
      </c>
      <c r="U19" s="1">
        <f>Games[[#This Row],[PointsFor]]-Games[[#This Row],[PointsAgainst]]</f>
        <v>3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0.28410755264052728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9.9398846810048873</v>
      </c>
      <c r="AB19" s="4">
        <f>Games[[#This Row],[PreGmRate]]+Games[[#This Row],[RatingChange]]</f>
        <v>1477.7976470698391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36678</v>
      </c>
      <c r="B20" s="2">
        <v>2000</v>
      </c>
      <c r="C20" s="2">
        <f>COUNTIFS(Games[Team],Games[[#This Row],[Team]],Games[Season],Games[[#This Row],[Season]],Games[Date],"&lt;=" &amp; Games[[#This Row],[Date]])</f>
        <v>3</v>
      </c>
      <c r="D20" s="2" t="s">
        <v>23</v>
      </c>
      <c r="E20" s="2" t="s">
        <v>29</v>
      </c>
      <c r="F20" s="1" t="s">
        <v>2</v>
      </c>
      <c r="G20" s="1" t="s">
        <v>87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1629.3647260295825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1486.0224347186154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0.58457953965443576</v>
      </c>
      <c r="R20" s="1">
        <v>77</v>
      </c>
      <c r="S20" s="1">
        <v>47</v>
      </c>
      <c r="T20" s="1">
        <v>0</v>
      </c>
      <c r="U20" s="1">
        <f>Games[[#This Row],[PointsFor]]-Games[[#This Row],[PointsAgainst]]</f>
        <v>30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0.6284259916405569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19.723159663640079</v>
      </c>
      <c r="AB20" s="4">
        <f>Games[[#This Row],[PreGmRate]]+Games[[#This Row],[RatingChange]]</f>
        <v>1649.0878856932225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36678</v>
      </c>
      <c r="B21" s="2">
        <v>2000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87</v>
      </c>
      <c r="G21" s="1" t="s">
        <v>2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1486.0224347186154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1629.3647260295825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0.41542046034556429</v>
      </c>
      <c r="R21" s="1">
        <v>47</v>
      </c>
      <c r="S21" s="1">
        <v>77</v>
      </c>
      <c r="T21" s="1">
        <v>0</v>
      </c>
      <c r="U21" s="1">
        <f>Games[[#This Row],[PointsFor]]-Games[[#This Row],[PointsAgainst]]</f>
        <v>-30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0.6284259916405569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-19.762318815851149</v>
      </c>
      <c r="AB21" s="4">
        <f>Games[[#This Row],[PreGmRate]]+Games[[#This Row],[RatingChange]]</f>
        <v>1466.2601159027643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36678</v>
      </c>
      <c r="B22" s="2">
        <v>2000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80</v>
      </c>
      <c r="G22" s="1" t="s">
        <v>43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1492.1639973034335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1483.0102881104585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0.39392340546089261</v>
      </c>
      <c r="R22" s="1">
        <v>74</v>
      </c>
      <c r="S22" s="1">
        <v>83</v>
      </c>
      <c r="T22" s="1">
        <v>0</v>
      </c>
      <c r="U22" s="1">
        <f>Games[[#This Row],[PointsFor]]-Games[[#This Row],[PointsAgainst]]</f>
        <v>-9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0.402898183144838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-12.014424543932469</v>
      </c>
      <c r="AB22" s="4">
        <f>Games[[#This Row],[PreGmRate]]+Games[[#This Row],[RatingChange]]</f>
        <v>1480.1495727595011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36678</v>
      </c>
      <c r="B23" s="2">
        <v>2000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43</v>
      </c>
      <c r="G23" s="1" t="s">
        <v>80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1483.0102881104585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1492.1639973034335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0.60607659453910745</v>
      </c>
      <c r="R23" s="1">
        <v>83</v>
      </c>
      <c r="S23" s="1">
        <v>74</v>
      </c>
      <c r="T23" s="1">
        <v>0</v>
      </c>
      <c r="U23" s="1">
        <f>Games[[#This Row],[PointsFor]]-Games[[#This Row],[PointsAgainst]]</f>
        <v>9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0.402898183144838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12.014424543932467</v>
      </c>
      <c r="AB23" s="4">
        <f>Games[[#This Row],[PreGmRate]]+Games[[#This Row],[RatingChange]]</f>
        <v>1495.0247126543909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36680</v>
      </c>
      <c r="B24" s="2">
        <v>2000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83</v>
      </c>
      <c r="G24" s="1" t="s">
        <v>64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1486.384703620887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1483.5615690374962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0.38525748544444416</v>
      </c>
      <c r="R24" s="1">
        <v>74</v>
      </c>
      <c r="S24" s="1">
        <v>63</v>
      </c>
      <c r="T24" s="1">
        <v>1</v>
      </c>
      <c r="U24" s="1">
        <f>Games[[#This Row],[PointsFor]]-Games[[#This Row],[PointsAgainst]]</f>
        <v>11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0.39492327194286175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18.378152681475147</v>
      </c>
      <c r="AB24" s="4">
        <f>Games[[#This Row],[PreGmRate]]+Games[[#This Row],[RatingChange]]</f>
        <v>1504.762856302362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36680</v>
      </c>
      <c r="B25" s="2">
        <v>2000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64</v>
      </c>
      <c r="G25" s="1" t="s">
        <v>83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1483.5615690374962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1486.384703620887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0.61474251455555584</v>
      </c>
      <c r="R25" s="1">
        <v>63</v>
      </c>
      <c r="S25" s="1">
        <v>74</v>
      </c>
      <c r="T25" s="1">
        <v>1</v>
      </c>
      <c r="U25" s="1">
        <f>Games[[#This Row],[PointsFor]]-Games[[#This Row],[PointsAgainst]]</f>
        <v>-11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0.39492327194286175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-18.378152681475147</v>
      </c>
      <c r="AB25" s="4">
        <f>Games[[#This Row],[PreGmRate]]+Games[[#This Row],[RatingChange]]</f>
        <v>1465.1834163560211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36680</v>
      </c>
      <c r="B26" s="2">
        <v>2000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75</v>
      </c>
      <c r="G26" s="1" t="s">
        <v>1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" s="2">
        <f>Games[[#This Row],[DaysOff]]-Games[[#This Row],[OppDaysOff]]</f>
        <v>0</v>
      </c>
      <c r="L26" s="2">
        <f>Games[[#This Row],[OppDaysOff]]-Games[[#This Row],[DaysOff]]</f>
        <v>0</v>
      </c>
      <c r="M26" s="1">
        <f>MAX(-16, MIN(16, Games[[#This Row],[RestDiff]]*8))</f>
        <v>0</v>
      </c>
      <c r="N26" s="1">
        <f>MAX(-16, MIN(16, Games[[#This Row],[OppRestDiff]]*8))</f>
        <v>0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1456.0452627452091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1413.8400300684464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0.44014095458026309</v>
      </c>
      <c r="R26" s="1">
        <v>49</v>
      </c>
      <c r="S26" s="1">
        <v>72</v>
      </c>
      <c r="T26" s="1">
        <v>0</v>
      </c>
      <c r="U26" s="1">
        <f>Games[[#This Row],[PointsFor]]-Games[[#This Row],[PointsAgainst]]</f>
        <v>-23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0.5944310196497653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-19.805651137052049</v>
      </c>
      <c r="AB26" s="4">
        <f>Games[[#This Row],[PreGmRate]]+Games[[#This Row],[RatingChange]]</f>
        <v>1436.239611608157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36680</v>
      </c>
      <c r="B27" s="2">
        <v>2000</v>
      </c>
      <c r="C27" s="2">
        <f>COUNTIFS(Games[Team],Games[[#This Row],[Team]],Games[Season],Games[[#This Row],[Season]],Games[Date],"&lt;=" &amp; Games[[#This Row],[Date]])</f>
        <v>2</v>
      </c>
      <c r="D27" s="2" t="s">
        <v>23</v>
      </c>
      <c r="E27" s="2" t="s">
        <v>29</v>
      </c>
      <c r="F27" s="1" t="s">
        <v>1</v>
      </c>
      <c r="G27" s="1" t="s">
        <v>75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" s="2">
        <f>Games[[#This Row],[DaysOff]]-Games[[#This Row],[OppDaysOff]]</f>
        <v>0</v>
      </c>
      <c r="L27" s="2">
        <f>Games[[#This Row],[OppDaysOff]]-Games[[#This Row],[DaysOff]]</f>
        <v>0</v>
      </c>
      <c r="M27" s="1">
        <f>MAX(-16, MIN(16, Games[[#This Row],[RestDiff]]*8))</f>
        <v>0</v>
      </c>
      <c r="N27" s="1">
        <f>MAX(-16, MIN(16, Games[[#This Row],[OppRestDiff]]*8))</f>
        <v>0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1413.8400300684464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1456.0452627452091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0.55985904541973686</v>
      </c>
      <c r="R27" s="1">
        <v>72</v>
      </c>
      <c r="S27" s="1">
        <v>49</v>
      </c>
      <c r="T27" s="1">
        <v>0</v>
      </c>
      <c r="U27" s="1">
        <f>Games[[#This Row],[PointsFor]]-Games[[#This Row],[PointsAgainst]]</f>
        <v>23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0.5944310196497653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19.805651137052052</v>
      </c>
      <c r="AB27" s="4">
        <f>Games[[#This Row],[PreGmRate]]+Games[[#This Row],[RatingChange]]</f>
        <v>1433.6456812054985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36680</v>
      </c>
      <c r="B28" s="2">
        <v>2000</v>
      </c>
      <c r="C28" s="2">
        <f>COUNTIFS(Games[Team],Games[[#This Row],[Team]],Games[Season],Games[[#This Row],[Season]],Games[Date],"&lt;=" &amp; Games[[#This Row],[Date]])</f>
        <v>2</v>
      </c>
      <c r="D28" s="2" t="s">
        <v>23</v>
      </c>
      <c r="E28" s="2" t="s">
        <v>29</v>
      </c>
      <c r="F28" s="1" t="s">
        <v>45</v>
      </c>
      <c r="G28" s="1" t="s">
        <v>77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" s="2">
        <f>Games[[#This Row],[DaysOff]]-Games[[#This Row],[OppDaysOff]]</f>
        <v>-3</v>
      </c>
      <c r="L28" s="2">
        <f>Games[[#This Row],[OppDaysOff]]-Games[[#This Row],[DaysOff]]</f>
        <v>3</v>
      </c>
      <c r="M28" s="1">
        <f>MAX(-16, MIN(16, Games[[#This Row],[RestDiff]]*8))</f>
        <v>-16</v>
      </c>
      <c r="N28" s="1">
        <f>MAX(-16, MIN(16, Games[[#This Row],[OppRestDiff]]*8))</f>
        <v>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1529.5411759084241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1483.973877797109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0.40000525230054595</v>
      </c>
      <c r="R28" s="1">
        <v>74</v>
      </c>
      <c r="S28" s="1">
        <v>77</v>
      </c>
      <c r="T28" s="1">
        <v>0</v>
      </c>
      <c r="U28" s="1">
        <f>Games[[#This Row],[PointsFor]]-Games[[#This Row],[PointsAgainst]]</f>
        <v>-3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0.27956757201836041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-8.4654172365453277</v>
      </c>
      <c r="AB28" s="4">
        <f>Games[[#This Row],[PreGmRate]]+Games[[#This Row],[RatingChange]]</f>
        <v>1521.0757586718787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36680</v>
      </c>
      <c r="B29" s="2">
        <v>2000</v>
      </c>
      <c r="C29" s="2">
        <f>COUNTIFS(Games[Team],Games[[#This Row],[Team]],Games[Season],Games[[#This Row],[Season]],Games[Date],"&lt;=" &amp; Games[[#This Row],[Date]])</f>
        <v>1</v>
      </c>
      <c r="D29" s="2" t="s">
        <v>23</v>
      </c>
      <c r="E29" s="2" t="s">
        <v>29</v>
      </c>
      <c r="F29" s="1" t="s">
        <v>77</v>
      </c>
      <c r="G29" s="1" t="s">
        <v>45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" s="2">
        <f>Games[[#This Row],[DaysOff]]-Games[[#This Row],[OppDaysOff]]</f>
        <v>3</v>
      </c>
      <c r="L29" s="2">
        <f>Games[[#This Row],[OppDaysOff]]-Games[[#This Row],[DaysOff]]</f>
        <v>-3</v>
      </c>
      <c r="M29" s="1">
        <f>MAX(-16, MIN(16, Games[[#This Row],[RestDiff]]*8))</f>
        <v>16</v>
      </c>
      <c r="N29" s="1">
        <f>MAX(-16, MIN(16, Games[[#This Row],[OppRestDiff]]*8))</f>
        <v>-16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1483.973877797109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1529.5411759084241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0.59999474769945416</v>
      </c>
      <c r="R29" s="1">
        <v>77</v>
      </c>
      <c r="S29" s="1">
        <v>74</v>
      </c>
      <c r="T29" s="1">
        <v>0</v>
      </c>
      <c r="U29" s="1">
        <f>Games[[#This Row],[PointsFor]]-Games[[#This Row],[PointsAgainst]]</f>
        <v>3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0.27956757201836041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75.849999999999994</v>
      </c>
      <c r="Z29" s="4">
        <f>Games[[#This Row],[K]]*Games[[#This Row],[POMult]]</f>
        <v>75.849999999999994</v>
      </c>
      <c r="AA29" s="4">
        <f>(Games[[#This Row],[Keff]]*Games[[#This Row],[MOVMult]])*(Games[[#This Row],[Result]]-Games[[#This Row],[ExpectedWin%]])</f>
        <v>8.4821915111223625</v>
      </c>
      <c r="AB29" s="4">
        <f>Games[[#This Row],[PreGmRate]]+Games[[#This Row],[RatingChange]]</f>
        <v>1492.4560693082315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36680</v>
      </c>
      <c r="B30" s="2">
        <v>2000</v>
      </c>
      <c r="C30" s="2">
        <f>COUNTIFS(Games[Team],Games[[#This Row],[Team]],Games[Season],Games[[#This Row],[Season]],Games[Date],"&lt;=" &amp; Games[[#This Row],[Date]])</f>
        <v>2</v>
      </c>
      <c r="D30" s="2" t="s">
        <v>23</v>
      </c>
      <c r="E30" s="2" t="s">
        <v>29</v>
      </c>
      <c r="F30" s="1" t="s">
        <v>44</v>
      </c>
      <c r="G30" s="1" t="s">
        <v>2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1</v>
      </c>
      <c r="L30" s="2">
        <f>Games[[#This Row],[OppDaysOff]]-Games[[#This Row],[DaysOff]]</f>
        <v>-1</v>
      </c>
      <c r="M30" s="1">
        <f>MAX(-16, MIN(16, Games[[#This Row],[RestDiff]]*8))</f>
        <v>8</v>
      </c>
      <c r="N30" s="1">
        <f>MAX(-16, MIN(16, Games[[#This Row],[OppRestDiff]]*8))</f>
        <v>-8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1523.6772296846023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1649.0878856932225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0.24724478195169944</v>
      </c>
      <c r="R30" s="1">
        <v>80</v>
      </c>
      <c r="S30" s="1">
        <v>62</v>
      </c>
      <c r="T30" s="1">
        <v>0</v>
      </c>
      <c r="U30" s="1">
        <f>Games[[#This Row],[PointsFor]]-Games[[#This Row],[PointsAgainst]]</f>
        <v>18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0.49509238180390613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75.7</v>
      </c>
      <c r="Z30" s="4">
        <f>Games[[#This Row],[K]]*Games[[#This Row],[POMult]]</f>
        <v>75.7</v>
      </c>
      <c r="AA30" s="4">
        <f>(Games[[#This Row],[Keff]]*Games[[#This Row],[MOVMult]])*(Games[[#This Row],[Result]]-Games[[#This Row],[ExpectedWin%]])</f>
        <v>28.212131398087088</v>
      </c>
      <c r="AB30" s="4">
        <f>Games[[#This Row],[PreGmRate]]+Games[[#This Row],[RatingChange]]</f>
        <v>1551.8893610826894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36680</v>
      </c>
      <c r="B31" s="2">
        <v>2000</v>
      </c>
      <c r="C31" s="2">
        <f>COUNTIFS(Games[Team],Games[[#This Row],[Team]],Games[Season],Games[[#This Row],[Season]],Games[Date],"&lt;=" &amp; Games[[#This Row],[Date]])</f>
        <v>4</v>
      </c>
      <c r="D31" s="2" t="s">
        <v>23</v>
      </c>
      <c r="E31" s="2" t="s">
        <v>29</v>
      </c>
      <c r="F31" s="1" t="s">
        <v>2</v>
      </c>
      <c r="G31" s="1" t="s">
        <v>44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-1</v>
      </c>
      <c r="L31" s="2">
        <f>Games[[#This Row],[OppDaysOff]]-Games[[#This Row],[DaysOff]]</f>
        <v>1</v>
      </c>
      <c r="M31" s="1">
        <f>MAX(-16, MIN(16, Games[[#This Row],[RestDiff]]*8))</f>
        <v>-8</v>
      </c>
      <c r="N31" s="1">
        <f>MAX(-16, MIN(16, Games[[#This Row],[OppRestDiff]]*8))</f>
        <v>8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1649.0878856932225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1523.6772296846023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0.75275521804830048</v>
      </c>
      <c r="R31" s="1">
        <v>62</v>
      </c>
      <c r="S31" s="1">
        <v>80</v>
      </c>
      <c r="T31" s="1">
        <v>0</v>
      </c>
      <c r="U31" s="1">
        <f>Games[[#This Row],[PointsFor]]-Games[[#This Row],[PointsAgainst]]</f>
        <v>-18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0.49509238180390613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75.400000000000006</v>
      </c>
      <c r="Z31" s="4">
        <f>Games[[#This Row],[K]]*Games[[#This Row],[POMult]]</f>
        <v>75.400000000000006</v>
      </c>
      <c r="AA31" s="4">
        <f>(Games[[#This Row],[Keff]]*Games[[#This Row],[MOVMult]])*(Games[[#This Row],[Result]]-Games[[#This Row],[ExpectedWin%]])</f>
        <v>-28.100326385941425</v>
      </c>
      <c r="AB31" s="4">
        <f>Games[[#This Row],[PreGmRate]]+Games[[#This Row],[RatingChange]]</f>
        <v>1620.9875593072811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36680</v>
      </c>
      <c r="B32" s="2">
        <v>2000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79</v>
      </c>
      <c r="G32" s="1" t="s">
        <v>85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0</v>
      </c>
      <c r="L32" s="2">
        <f>Games[[#This Row],[OppDaysOff]]-Games[[#This Row],[DaysOff]]</f>
        <v>0</v>
      </c>
      <c r="M32" s="1">
        <f>MAX(-16, MIN(16, Games[[#This Row],[RestDiff]]*8))</f>
        <v>0</v>
      </c>
      <c r="N32" s="1">
        <f>MAX(-16, MIN(16, Games[[#This Row],[OppRestDiff]]*8))</f>
        <v>0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1477.7976470698391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1513.615296379113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0.33409406585013562</v>
      </c>
      <c r="R32" s="1">
        <v>88</v>
      </c>
      <c r="S32" s="1">
        <v>82</v>
      </c>
      <c r="T32" s="1">
        <v>0</v>
      </c>
      <c r="U32" s="1">
        <f>Games[[#This Row],[PointsFor]]-Games[[#This Row],[PointsAgainst]]</f>
        <v>6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0.34109960603394551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17.160446023050689</v>
      </c>
      <c r="AB32" s="4">
        <f>Games[[#This Row],[PreGmRate]]+Games[[#This Row],[RatingChange]]</f>
        <v>1494.9580930928898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36680</v>
      </c>
      <c r="B33" s="2">
        <v>2000</v>
      </c>
      <c r="C33" s="2">
        <f>COUNTIFS(Games[Team],Games[[#This Row],[Team]],Games[Season],Games[[#This Row],[Season]],Games[Date],"&lt;=" &amp; Games[[#This Row],[Date]])</f>
        <v>2</v>
      </c>
      <c r="D33" s="2" t="s">
        <v>23</v>
      </c>
      <c r="E33" s="2" t="s">
        <v>29</v>
      </c>
      <c r="F33" s="1" t="s">
        <v>85</v>
      </c>
      <c r="G33" s="1" t="s">
        <v>79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0</v>
      </c>
      <c r="L33" s="2">
        <f>Games[[#This Row],[OppDaysOff]]-Games[[#This Row],[DaysOff]]</f>
        <v>0</v>
      </c>
      <c r="M33" s="1">
        <f>MAX(-16, MIN(16, Games[[#This Row],[RestDiff]]*8))</f>
        <v>0</v>
      </c>
      <c r="N33" s="1">
        <f>MAX(-16, MIN(16, Games[[#This Row],[OppRestDiff]]*8))</f>
        <v>0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1513.615296379113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1477.7976470698391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0.66590593414986443</v>
      </c>
      <c r="R33" s="1">
        <v>82</v>
      </c>
      <c r="S33" s="1">
        <v>88</v>
      </c>
      <c r="T33" s="1">
        <v>0</v>
      </c>
      <c r="U33" s="1">
        <f>Games[[#This Row],[PointsFor]]-Games[[#This Row],[PointsAgainst]]</f>
        <v>-6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0.34109960603394551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-17.194517060819823</v>
      </c>
      <c r="AB33" s="4">
        <f>Games[[#This Row],[PreGmRate]]+Games[[#This Row],[RatingChange]]</f>
        <v>1496.4207793182932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36680</v>
      </c>
      <c r="B34" s="2">
        <v>2000</v>
      </c>
      <c r="C34" s="2">
        <f>COUNTIFS(Games[Team],Games[[#This Row],[Team]],Games[Season],Games[[#This Row],[Season]],Games[Date],"&lt;=" &amp; Games[[#This Row],[Date]])</f>
        <v>2</v>
      </c>
      <c r="D34" s="2" t="s">
        <v>23</v>
      </c>
      <c r="E34" s="2" t="s">
        <v>29</v>
      </c>
      <c r="F34" s="1" t="s">
        <v>71</v>
      </c>
      <c r="G34" s="1" t="s">
        <v>80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1</v>
      </c>
      <c r="L34" s="2">
        <f>Games[[#This Row],[OppDaysOff]]-Games[[#This Row],[DaysOff]]</f>
        <v>-1</v>
      </c>
      <c r="M34" s="1">
        <f>MAX(-16, MIN(16, Games[[#This Row],[RestDiff]]*8))</f>
        <v>8</v>
      </c>
      <c r="N34" s="1">
        <f>MAX(-16, MIN(16, Games[[#This Row],[OppRestDiff]]*8))</f>
        <v>-8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1548.9191664828165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1480.1495727595011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0.50110753258547502</v>
      </c>
      <c r="R34" s="1">
        <v>82</v>
      </c>
      <c r="S34" s="1">
        <v>75</v>
      </c>
      <c r="T34" s="1">
        <v>0</v>
      </c>
      <c r="U34" s="1">
        <f>Games[[#This Row],[PointsFor]]-Games[[#This Row],[PointsAgainst]]</f>
        <v>7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0.35004669814103107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75.7</v>
      </c>
      <c r="Z34" s="4">
        <f>Games[[#This Row],[K]]*Games[[#This Row],[POMult]]</f>
        <v>75.7</v>
      </c>
      <c r="AA34" s="4">
        <f>(Games[[#This Row],[Keff]]*Games[[#This Row],[MOVMult]])*(Games[[#This Row],[Result]]-Games[[#This Row],[ExpectedWin%]])</f>
        <v>13.219919533603601</v>
      </c>
      <c r="AB34" s="4">
        <f>Games[[#This Row],[PreGmRate]]+Games[[#This Row],[RatingChange]]</f>
        <v>1562.1390860164202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36680</v>
      </c>
      <c r="B35" s="2">
        <v>2000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80</v>
      </c>
      <c r="G35" s="1" t="s">
        <v>71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" s="2">
        <f>Games[[#This Row],[DaysOff]]-Games[[#This Row],[OppDaysOff]]</f>
        <v>-1</v>
      </c>
      <c r="L35" s="2">
        <f>Games[[#This Row],[OppDaysOff]]-Games[[#This Row],[DaysOff]]</f>
        <v>1</v>
      </c>
      <c r="M35" s="1">
        <f>MAX(-16, MIN(16, Games[[#This Row],[RestDiff]]*8))</f>
        <v>-8</v>
      </c>
      <c r="N35" s="1">
        <f>MAX(-16, MIN(16, Games[[#This Row],[OppRestDiff]]*8))</f>
        <v>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1480.1495727595011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1548.9191664828165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0.49889246741452509</v>
      </c>
      <c r="R35" s="1">
        <v>75</v>
      </c>
      <c r="S35" s="1">
        <v>82</v>
      </c>
      <c r="T35" s="1">
        <v>0</v>
      </c>
      <c r="U35" s="1">
        <f>Games[[#This Row],[PointsFor]]-Games[[#This Row],[PointsAgainst]]</f>
        <v>-7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0.35004669814103107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-13.19372418446172</v>
      </c>
      <c r="AB35" s="4">
        <f>Games[[#This Row],[PreGmRate]]+Games[[#This Row],[RatingChange]]</f>
        <v>1466.9558485750395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36680</v>
      </c>
      <c r="B36" s="2">
        <v>2000</v>
      </c>
      <c r="C36" s="2">
        <f>COUNTIFS(Games[Team],Games[[#This Row],[Team]],Games[Season],Games[[#This Row],[Season]],Games[Date],"&lt;=" &amp; Games[[#This Row],[Date]])</f>
        <v>3</v>
      </c>
      <c r="D36" s="2" t="s">
        <v>23</v>
      </c>
      <c r="E36" s="2" t="s">
        <v>29</v>
      </c>
      <c r="F36" s="1" t="s">
        <v>43</v>
      </c>
      <c r="G36" s="1" t="s">
        <v>66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-1</v>
      </c>
      <c r="L36" s="2">
        <f>Games[[#This Row],[OppDaysOff]]-Games[[#This Row],[DaysOff]]</f>
        <v>1</v>
      </c>
      <c r="M36" s="1">
        <f>MAX(-16, MIN(16, Games[[#This Row],[RestDiff]]*8))</f>
        <v>-8</v>
      </c>
      <c r="N36" s="1">
        <f>MAX(-16, MIN(16, Games[[#This Row],[OppRestDiff]]*8))</f>
        <v>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1495.0247126543909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1500.9665376904738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0.35209337746573244</v>
      </c>
      <c r="R36" s="1">
        <v>76</v>
      </c>
      <c r="S36" s="1">
        <v>87</v>
      </c>
      <c r="T36" s="1">
        <v>0</v>
      </c>
      <c r="U36" s="1">
        <f>Games[[#This Row],[PointsFor]]-Games[[#This Row],[PointsAgainst]]</f>
        <v>-11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0.43766884384606636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-11.642277773888987</v>
      </c>
      <c r="AB36" s="4">
        <f>Games[[#This Row],[PreGmRate]]+Games[[#This Row],[RatingChange]]</f>
        <v>1483.3824348805019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36680</v>
      </c>
      <c r="B37" s="2">
        <v>2000</v>
      </c>
      <c r="C37" s="2">
        <f>COUNTIFS(Games[Team],Games[[#This Row],[Team]],Games[Season],Games[[#This Row],[Season]],Games[Date],"&lt;=" &amp; Games[[#This Row],[Date]])</f>
        <v>3</v>
      </c>
      <c r="D37" s="2" t="s">
        <v>23</v>
      </c>
      <c r="E37" s="2" t="s">
        <v>29</v>
      </c>
      <c r="F37" s="1" t="s">
        <v>66</v>
      </c>
      <c r="G37" s="1" t="s">
        <v>43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1</v>
      </c>
      <c r="L37" s="2">
        <f>Games[[#This Row],[OppDaysOff]]-Games[[#This Row],[DaysOff]]</f>
        <v>-1</v>
      </c>
      <c r="M37" s="1">
        <f>MAX(-16, MIN(16, Games[[#This Row],[RestDiff]]*8))</f>
        <v>8</v>
      </c>
      <c r="N37" s="1">
        <f>MAX(-16, MIN(16, Games[[#This Row],[OppRestDiff]]*8))</f>
        <v>-8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1500.9665376904738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1495.0247126543909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0.64790662253426756</v>
      </c>
      <c r="R37" s="1">
        <v>87</v>
      </c>
      <c r="S37" s="1">
        <v>76</v>
      </c>
      <c r="T37" s="1">
        <v>0</v>
      </c>
      <c r="U37" s="1">
        <f>Games[[#This Row],[PointsFor]]-Games[[#This Row],[PointsAgainst]]</f>
        <v>11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0.43766884384606636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11.642277773888987</v>
      </c>
      <c r="AB37" s="4">
        <f>Games[[#This Row],[PreGmRate]]+Games[[#This Row],[RatingChange]]</f>
        <v>1512.6088154643628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36680</v>
      </c>
      <c r="B38" s="2">
        <v>2000</v>
      </c>
      <c r="C38" s="2">
        <f>COUNTIFS(Games[Team],Games[[#This Row],[Team]],Games[Season],Games[[#This Row],[Season]],Games[Date],"&lt;=" &amp; Games[[#This Row],[Date]])</f>
        <v>2</v>
      </c>
      <c r="D38" s="2" t="s">
        <v>23</v>
      </c>
      <c r="E38" s="2" t="s">
        <v>29</v>
      </c>
      <c r="F38" s="1" t="s">
        <v>89</v>
      </c>
      <c r="G38" s="1" t="s">
        <v>87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1</v>
      </c>
      <c r="L38" s="2">
        <f>Games[[#This Row],[OppDaysOff]]-Games[[#This Row],[DaysOff]]</f>
        <v>-1</v>
      </c>
      <c r="M38" s="1">
        <f>MAX(-16, MIN(16, Games[[#This Row],[RestDiff]]*8))</f>
        <v>8</v>
      </c>
      <c r="N38" s="1">
        <f>MAX(-16, MIN(16, Games[[#This Row],[OppRestDiff]]*8))</f>
        <v>-8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1490.9019043690741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1466.2601159027643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0.43792443417491134</v>
      </c>
      <c r="R38" s="1">
        <v>65</v>
      </c>
      <c r="S38" s="1">
        <v>58</v>
      </c>
      <c r="T38" s="1">
        <v>0</v>
      </c>
      <c r="U38" s="1">
        <f>Games[[#This Row],[PointsFor]]-Games[[#This Row],[PointsAgainst]]</f>
        <v>7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0.36266001304821721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75.7</v>
      </c>
      <c r="Z38" s="4">
        <f>Games[[#This Row],[K]]*Games[[#This Row],[POMult]]</f>
        <v>75.7</v>
      </c>
      <c r="AA38" s="4">
        <f>(Games[[#This Row],[Keff]]*Games[[#This Row],[MOVMult]])*(Games[[#This Row],[Result]]-Games[[#This Row],[ExpectedWin%]])</f>
        <v>15.430864535141152</v>
      </c>
      <c r="AB38" s="4">
        <f>Games[[#This Row],[PreGmRate]]+Games[[#This Row],[RatingChange]]</f>
        <v>1506.3327689042153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36680</v>
      </c>
      <c r="B39" s="2">
        <v>2000</v>
      </c>
      <c r="C39" s="2">
        <f>COUNTIFS(Games[Team],Games[[#This Row],[Team]],Games[Season],Games[[#This Row],[Season]],Games[Date],"&lt;=" &amp; Games[[#This Row],[Date]])</f>
        <v>3</v>
      </c>
      <c r="D39" s="2" t="s">
        <v>23</v>
      </c>
      <c r="E39" s="2" t="s">
        <v>29</v>
      </c>
      <c r="F39" s="1" t="s">
        <v>87</v>
      </c>
      <c r="G39" s="1" t="s">
        <v>89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-1</v>
      </c>
      <c r="L39" s="2">
        <f>Games[[#This Row],[OppDaysOff]]-Games[[#This Row],[DaysOff]]</f>
        <v>1</v>
      </c>
      <c r="M39" s="1">
        <f>MAX(-16, MIN(16, Games[[#This Row],[RestDiff]]*8))</f>
        <v>-8</v>
      </c>
      <c r="N39" s="1">
        <f>MAX(-16, MIN(16, Games[[#This Row],[OppRestDiff]]*8))</f>
        <v>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1466.2601159027643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1490.9019043690741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0.56207556582508866</v>
      </c>
      <c r="R39" s="1">
        <v>58</v>
      </c>
      <c r="S39" s="1">
        <v>65</v>
      </c>
      <c r="T39" s="1">
        <v>0</v>
      </c>
      <c r="U39" s="1">
        <f>Games[[#This Row],[PointsFor]]-Games[[#This Row],[PointsAgainst]]</f>
        <v>-7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0.36266001304821721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-15.400288185335718</v>
      </c>
      <c r="AB39" s="4">
        <f>Games[[#This Row],[PreGmRate]]+Games[[#This Row],[RatingChange]]</f>
        <v>1450.8598277174285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36681</v>
      </c>
      <c r="B40" s="2">
        <v>2000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66</v>
      </c>
      <c r="G40" s="1" t="s">
        <v>75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1512.6088154643628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1436.239611608157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0.48902016702930534</v>
      </c>
      <c r="R40" s="1">
        <v>67</v>
      </c>
      <c r="S40" s="1">
        <v>79</v>
      </c>
      <c r="T40" s="1">
        <v>0</v>
      </c>
      <c r="U40" s="1">
        <f>Games[[#This Row],[PointsFor]]-Games[[#This Row],[PointsAgainst]]</f>
        <v>-12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0.42883777674842216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-15.812158219534801</v>
      </c>
      <c r="AB40" s="4">
        <f>Games[[#This Row],[PreGmRate]]+Games[[#This Row],[RatingChange]]</f>
        <v>1496.7966572448281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36681</v>
      </c>
      <c r="B41" s="2">
        <v>2000</v>
      </c>
      <c r="C41" s="2">
        <f>COUNTIFS(Games[Team],Games[[#This Row],[Team]],Games[Season],Games[[#This Row],[Season]],Games[Date],"&lt;=" &amp; Games[[#This Row],[Date]])</f>
        <v>3</v>
      </c>
      <c r="D41" s="2" t="s">
        <v>23</v>
      </c>
      <c r="E41" s="2" t="s">
        <v>29</v>
      </c>
      <c r="F41" s="1" t="s">
        <v>75</v>
      </c>
      <c r="G41" s="1" t="s">
        <v>66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1436.239611608157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1512.6088154643628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0.51097983297069471</v>
      </c>
      <c r="R41" s="1">
        <v>79</v>
      </c>
      <c r="S41" s="1">
        <v>67</v>
      </c>
      <c r="T41" s="1">
        <v>0</v>
      </c>
      <c r="U41" s="1">
        <f>Games[[#This Row],[PointsFor]]-Games[[#This Row],[PointsAgainst]]</f>
        <v>12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0.42883777674842216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15.843614767716891</v>
      </c>
      <c r="AB41" s="4">
        <f>Games[[#This Row],[PreGmRate]]+Games[[#This Row],[RatingChange]]</f>
        <v>1452.0832263758739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36682</v>
      </c>
      <c r="B42" s="2">
        <v>2000</v>
      </c>
      <c r="C42" s="2">
        <f>COUNTIFS(Games[Team],Games[[#This Row],[Team]],Games[Season],Games[[#This Row],[Season]],Games[Date],"&lt;=" &amp; Games[[#This Row],[Date]])</f>
        <v>3</v>
      </c>
      <c r="D42" s="2" t="s">
        <v>23</v>
      </c>
      <c r="E42" s="2" t="s">
        <v>29</v>
      </c>
      <c r="F42" s="1" t="s">
        <v>1</v>
      </c>
      <c r="G42" s="1" t="s">
        <v>64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0</v>
      </c>
      <c r="L42" s="2">
        <f>Games[[#This Row],[OppDaysOff]]-Games[[#This Row],[DaysOff]]</f>
        <v>0</v>
      </c>
      <c r="M42" s="1">
        <f>MAX(-16, MIN(16, Games[[#This Row],[RestDiff]]*8))</f>
        <v>0</v>
      </c>
      <c r="N42" s="1">
        <f>MAX(-16, MIN(16, Games[[#This Row],[OppRestDiff]]*8))</f>
        <v>0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1433.6456812054985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1465.1834163560211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0.33959744129153496</v>
      </c>
      <c r="R42" s="1">
        <v>69</v>
      </c>
      <c r="S42" s="1">
        <v>53</v>
      </c>
      <c r="T42" s="1">
        <v>0</v>
      </c>
      <c r="U42" s="1">
        <f>Games[[#This Row],[PointsFor]]-Games[[#This Row],[PointsAgainst]]</f>
        <v>16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0.50452635027064896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25.172541720053506</v>
      </c>
      <c r="AB42" s="4">
        <f>Games[[#This Row],[PreGmRate]]+Games[[#This Row],[RatingChange]]</f>
        <v>1458.8182229255519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36682</v>
      </c>
      <c r="B43" s="2">
        <v>2000</v>
      </c>
      <c r="C43" s="2">
        <f>COUNTIFS(Games[Team],Games[[#This Row],[Team]],Games[Season],Games[[#This Row],[Season]],Games[Date],"&lt;=" &amp; Games[[#This Row],[Date]])</f>
        <v>3</v>
      </c>
      <c r="D43" s="2" t="s">
        <v>23</v>
      </c>
      <c r="E43" s="2" t="s">
        <v>29</v>
      </c>
      <c r="F43" s="1" t="s">
        <v>64</v>
      </c>
      <c r="G43" s="1" t="s">
        <v>1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0</v>
      </c>
      <c r="L43" s="2">
        <f>Games[[#This Row],[OppDaysOff]]-Games[[#This Row],[DaysOff]]</f>
        <v>0</v>
      </c>
      <c r="M43" s="1">
        <f>MAX(-16, MIN(16, Games[[#This Row],[RestDiff]]*8))</f>
        <v>0</v>
      </c>
      <c r="N43" s="1">
        <f>MAX(-16, MIN(16, Games[[#This Row],[OppRestDiff]]*8))</f>
        <v>0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1465.1834163560211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1433.6456812054985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0.66040255870846509</v>
      </c>
      <c r="R43" s="1">
        <v>53</v>
      </c>
      <c r="S43" s="1">
        <v>69</v>
      </c>
      <c r="T43" s="1">
        <v>0</v>
      </c>
      <c r="U43" s="1">
        <f>Games[[#This Row],[PointsFor]]-Games[[#This Row],[PointsAgainst]]</f>
        <v>-16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0.50452635027064896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75.55</v>
      </c>
      <c r="Z43" s="4">
        <f>Games[[#This Row],[K]]*Games[[#This Row],[POMult]]</f>
        <v>75.55</v>
      </c>
      <c r="AA43" s="4">
        <f>(Games[[#This Row],[Keff]]*Games[[#This Row],[MOVMult]])*(Games[[#This Row],[Result]]-Games[[#This Row],[ExpectedWin%]])</f>
        <v>-25.172541720053509</v>
      </c>
      <c r="AB43" s="4">
        <f>Games[[#This Row],[PreGmRate]]+Games[[#This Row],[RatingChange]]</f>
        <v>1440.0108746359676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36682</v>
      </c>
      <c r="B44" s="2">
        <v>2000</v>
      </c>
      <c r="C44" s="2">
        <f>COUNTIFS(Games[Team],Games[[#This Row],[Team]],Games[Season],Games[[#This Row],[Season]],Games[Date],"&lt;=" &amp; Games[[#This Row],[Date]])</f>
        <v>3</v>
      </c>
      <c r="D44" s="2" t="s">
        <v>23</v>
      </c>
      <c r="E44" s="2" t="s">
        <v>29</v>
      </c>
      <c r="F44" s="1" t="s">
        <v>83</v>
      </c>
      <c r="G44" s="1" t="s">
        <v>85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1504.762856302362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1496.4207793182932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0.39280849935247963</v>
      </c>
      <c r="R44" s="1">
        <v>59</v>
      </c>
      <c r="S44" s="1">
        <v>80</v>
      </c>
      <c r="T44" s="1">
        <v>0</v>
      </c>
      <c r="U44" s="1">
        <f>Games[[#This Row],[PointsFor]]-Games[[#This Row],[PointsAgainst]]</f>
        <v>-21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0.58451291300534303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-17.346403917848523</v>
      </c>
      <c r="AB44" s="4">
        <f>Games[[#This Row],[PreGmRate]]+Games[[#This Row],[RatingChange]]</f>
        <v>1487.4164523845136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36682</v>
      </c>
      <c r="B45" s="2">
        <v>2000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85</v>
      </c>
      <c r="G45" s="1" t="s">
        <v>83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1496.4207793182932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1504.762856302362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0.60719150064752037</v>
      </c>
      <c r="R45" s="1">
        <v>80</v>
      </c>
      <c r="S45" s="1">
        <v>59</v>
      </c>
      <c r="T45" s="1">
        <v>0</v>
      </c>
      <c r="U45" s="1">
        <f>Games[[#This Row],[PointsFor]]-Games[[#This Row],[PointsAgainst]]</f>
        <v>21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0.58451291300534303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17.346403917848523</v>
      </c>
      <c r="AB45" s="4">
        <f>Games[[#This Row],[PreGmRate]]+Games[[#This Row],[RatingChange]]</f>
        <v>1513.7671832361416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36682</v>
      </c>
      <c r="B46" s="2">
        <v>2000</v>
      </c>
      <c r="C46" s="2">
        <f>COUNTIFS(Games[Team],Games[[#This Row],[Team]],Games[Season],Games[[#This Row],[Season]],Games[Date],"&lt;=" &amp; Games[[#This Row],[Date]])</f>
        <v>2</v>
      </c>
      <c r="D46" s="2" t="s">
        <v>23</v>
      </c>
      <c r="E46" s="2" t="s">
        <v>29</v>
      </c>
      <c r="F46" s="1" t="s">
        <v>77</v>
      </c>
      <c r="G46" s="1" t="s">
        <v>80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1492.4560693082315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1466.9558485750395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0.41659871901023715</v>
      </c>
      <c r="R46" s="1">
        <v>68</v>
      </c>
      <c r="S46" s="1">
        <v>88</v>
      </c>
      <c r="T46" s="1">
        <v>0</v>
      </c>
      <c r="U46" s="1">
        <f>Games[[#This Row],[PointsFor]]-Games[[#This Row],[PointsAgainst]]</f>
        <v>-20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0.56292509708229599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75.7</v>
      </c>
      <c r="Z46" s="4">
        <f>Games[[#This Row],[K]]*Games[[#This Row],[POMult]]</f>
        <v>75.7</v>
      </c>
      <c r="AA46" s="4">
        <f>(Games[[#This Row],[Keff]]*Games[[#This Row],[MOVMult]])*(Games[[#This Row],[Result]]-Games[[#This Row],[ExpectedWin%]])</f>
        <v>-17.752700287780083</v>
      </c>
      <c r="AB46" s="4">
        <f>Games[[#This Row],[PreGmRate]]+Games[[#This Row],[RatingChange]]</f>
        <v>1474.7033690204514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36682</v>
      </c>
      <c r="B47" s="2">
        <v>2000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80</v>
      </c>
      <c r="G47" s="1" t="s">
        <v>77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1466.9558485750395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1492.4560693082315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0.58340128098976285</v>
      </c>
      <c r="R47" s="1">
        <v>88</v>
      </c>
      <c r="S47" s="1">
        <v>68</v>
      </c>
      <c r="T47" s="1">
        <v>0</v>
      </c>
      <c r="U47" s="1">
        <f>Games[[#This Row],[PointsFor]]-Games[[#This Row],[PointsAgainst]]</f>
        <v>20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0.56292509708229599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17.682346125477125</v>
      </c>
      <c r="AB47" s="4">
        <f>Games[[#This Row],[PreGmRate]]+Games[[#This Row],[RatingChange]]</f>
        <v>1484.6381947005166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36682</v>
      </c>
      <c r="B48" s="2">
        <v>2000</v>
      </c>
      <c r="C48" s="2">
        <f>COUNTIFS(Games[Team],Games[[#This Row],[Team]],Games[Season],Games[[#This Row],[Season]],Games[Date],"&lt;=" &amp; Games[[#This Row],[Date]])</f>
        <v>3</v>
      </c>
      <c r="D48" s="2" t="s">
        <v>23</v>
      </c>
      <c r="E48" s="2" t="s">
        <v>29</v>
      </c>
      <c r="F48" s="1" t="s">
        <v>45</v>
      </c>
      <c r="G48" s="1" t="s">
        <v>79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1521.0757586718787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1494.9580930928898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0.41746282591727568</v>
      </c>
      <c r="R48" s="1">
        <v>68</v>
      </c>
      <c r="S48" s="1">
        <v>75</v>
      </c>
      <c r="T48" s="1">
        <v>0</v>
      </c>
      <c r="U48" s="1">
        <f>Games[[#This Row],[PointsFor]]-Games[[#This Row],[PointsAgainst]]</f>
        <v>-7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0.36222347940387978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75.55</v>
      </c>
      <c r="Z48" s="4">
        <f>Games[[#This Row],[K]]*Games[[#This Row],[POMult]]</f>
        <v>75.55</v>
      </c>
      <c r="AA48" s="4">
        <f>(Games[[#This Row],[Keff]]*Games[[#This Row],[MOVMult]])*(Games[[#This Row],[Result]]-Games[[#This Row],[ExpectedWin%]])</f>
        <v>-11.424280959943925</v>
      </c>
      <c r="AB48" s="4">
        <f>Games[[#This Row],[PreGmRate]]+Games[[#This Row],[RatingChange]]</f>
        <v>1509.6514777119348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36682</v>
      </c>
      <c r="B49" s="2">
        <v>2000</v>
      </c>
      <c r="C49" s="2">
        <f>COUNTIFS(Games[Team],Games[[#This Row],[Team]],Games[Season],Games[[#This Row],[Season]],Games[Date],"&lt;=" &amp; Games[[#This Row],[Date]])</f>
        <v>4</v>
      </c>
      <c r="D49" s="2" t="s">
        <v>23</v>
      </c>
      <c r="E49" s="2" t="s">
        <v>29</v>
      </c>
      <c r="F49" s="1" t="s">
        <v>79</v>
      </c>
      <c r="G49" s="1" t="s">
        <v>45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1494.9580930928898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1521.0757586718787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0.58253717408272421</v>
      </c>
      <c r="R49" s="1">
        <v>75</v>
      </c>
      <c r="S49" s="1">
        <v>68</v>
      </c>
      <c r="T49" s="1">
        <v>0</v>
      </c>
      <c r="U49" s="1">
        <f>Games[[#This Row],[PointsFor]]-Games[[#This Row],[PointsAgainst]]</f>
        <v>7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0.36222347940387978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11.401598734345098</v>
      </c>
      <c r="AB49" s="4">
        <f>Games[[#This Row],[PreGmRate]]+Games[[#This Row],[RatingChange]]</f>
        <v>1506.3596918272349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36683</v>
      </c>
      <c r="B50" s="2">
        <v>2000</v>
      </c>
      <c r="C50" s="2">
        <f>COUNTIFS(Games[Team],Games[[#This Row],[Team]],Games[Season],Games[[#This Row],[Season]],Games[Date],"&lt;=" &amp; Games[[#This Row],[Date]])</f>
        <v>4</v>
      </c>
      <c r="D50" s="2" t="s">
        <v>23</v>
      </c>
      <c r="E50" s="2" t="s">
        <v>29</v>
      </c>
      <c r="F50" s="1" t="s">
        <v>45</v>
      </c>
      <c r="G50" s="1" t="s">
        <v>2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" s="2">
        <f>Games[[#This Row],[DaysOff]]-Games[[#This Row],[OppDaysOff]]</f>
        <v>-2</v>
      </c>
      <c r="L50" s="2">
        <f>Games[[#This Row],[OppDaysOff]]-Games[[#This Row],[DaysOff]]</f>
        <v>2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1509.6514777119348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1620.9875593072811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0.21271255406902762</v>
      </c>
      <c r="R50" s="1">
        <v>70</v>
      </c>
      <c r="S50" s="1">
        <v>78</v>
      </c>
      <c r="T50" s="1">
        <v>0</v>
      </c>
      <c r="U50" s="1">
        <f>Games[[#This Row],[PointsFor]]-Games[[#This Row],[PointsAgainst]]</f>
        <v>-8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0.35534646574866291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75.400000000000006</v>
      </c>
      <c r="Z50" s="4">
        <f>Games[[#This Row],[K]]*Games[[#This Row],[POMult]]</f>
        <v>75.400000000000006</v>
      </c>
      <c r="AA50" s="4">
        <f>(Games[[#This Row],[Keff]]*Games[[#This Row],[MOVMult]])*(Games[[#This Row],[Result]]-Games[[#This Row],[ExpectedWin%]])</f>
        <v>-5.6992337348835456</v>
      </c>
      <c r="AB50" s="4">
        <f>Games[[#This Row],[PreGmRate]]+Games[[#This Row],[RatingChange]]</f>
        <v>1503.9522439770512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36683</v>
      </c>
      <c r="B51" s="2">
        <v>2000</v>
      </c>
      <c r="C51" s="2">
        <f>COUNTIFS(Games[Team],Games[[#This Row],[Team]],Games[Season],Games[[#This Row],[Season]],Games[Date],"&lt;=" &amp; Games[[#This Row],[Date]])</f>
        <v>5</v>
      </c>
      <c r="D51" s="2" t="s">
        <v>23</v>
      </c>
      <c r="E51" s="2" t="s">
        <v>29</v>
      </c>
      <c r="F51" s="1" t="s">
        <v>2</v>
      </c>
      <c r="G51" s="1" t="s">
        <v>45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" s="2">
        <f>Games[[#This Row],[DaysOff]]-Games[[#This Row],[OppDaysOff]]</f>
        <v>2</v>
      </c>
      <c r="L51" s="2">
        <f>Games[[#This Row],[OppDaysOff]]-Games[[#This Row],[DaysOff]]</f>
        <v>-2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1620.9875593072811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1509.6514777119348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0.78728744593097233</v>
      </c>
      <c r="R51" s="1">
        <v>78</v>
      </c>
      <c r="S51" s="1">
        <v>70</v>
      </c>
      <c r="T51" s="1">
        <v>0</v>
      </c>
      <c r="U51" s="1">
        <f>Games[[#This Row],[PointsFor]]-Games[[#This Row],[PointsAgainst]]</f>
        <v>8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0.35534646574866291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5.6878957367372269</v>
      </c>
      <c r="AB51" s="4">
        <f>Games[[#This Row],[PreGmRate]]+Games[[#This Row],[RatingChange]]</f>
        <v>1626.6754550440182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36683</v>
      </c>
      <c r="B52" s="2">
        <v>2000</v>
      </c>
      <c r="C52" s="2">
        <f>COUNTIFS(Games[Team],Games[[#This Row],[Team]],Games[Season],Games[[#This Row],[Season]],Games[Date],"&lt;=" &amp; Games[[#This Row],[Date]])</f>
        <v>3</v>
      </c>
      <c r="D52" s="2" t="s">
        <v>23</v>
      </c>
      <c r="E52" s="2" t="s">
        <v>29</v>
      </c>
      <c r="F52" s="1" t="s">
        <v>89</v>
      </c>
      <c r="G52" s="1" t="s">
        <v>71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0</v>
      </c>
      <c r="L52" s="2">
        <f>Games[[#This Row],[OppDaysOff]]-Games[[#This Row],[DaysOff]]</f>
        <v>0</v>
      </c>
      <c r="M52" s="1">
        <f>MAX(-16, MIN(16, Games[[#This Row],[RestDiff]]*8))</f>
        <v>0</v>
      </c>
      <c r="N52" s="1">
        <f>MAX(-16, MIN(16, Games[[#This Row],[OppRestDiff]]*8))</f>
        <v>0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1506.3327689042153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1562.1390860164202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0.30900185604848762</v>
      </c>
      <c r="R52" s="1">
        <v>57</v>
      </c>
      <c r="S52" s="1">
        <v>70</v>
      </c>
      <c r="T52" s="1">
        <v>0</v>
      </c>
      <c r="U52" s="1">
        <f>Games[[#This Row],[PointsFor]]-Games[[#This Row],[PointsAgainst]]</f>
        <v>-13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0.4510667760292284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75.55</v>
      </c>
      <c r="Z52" s="4">
        <f>Games[[#This Row],[K]]*Games[[#This Row],[POMult]]</f>
        <v>75.55</v>
      </c>
      <c r="AA52" s="4">
        <f>(Games[[#This Row],[Keff]]*Games[[#This Row],[MOVMult]])*(Games[[#This Row],[Result]]-Games[[#This Row],[ExpectedWin%]])</f>
        <v>-10.530194583660089</v>
      </c>
      <c r="AB52" s="4">
        <f>Games[[#This Row],[PreGmRate]]+Games[[#This Row],[RatingChange]]</f>
        <v>1495.8025743205553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36683</v>
      </c>
      <c r="B53" s="2">
        <v>2000</v>
      </c>
      <c r="C53" s="2">
        <f>COUNTIFS(Games[Team],Games[[#This Row],[Team]],Games[Season],Games[[#This Row],[Season]],Games[Date],"&lt;=" &amp; Games[[#This Row],[Date]])</f>
        <v>3</v>
      </c>
      <c r="D53" s="2" t="s">
        <v>23</v>
      </c>
      <c r="E53" s="2" t="s">
        <v>29</v>
      </c>
      <c r="F53" s="1" t="s">
        <v>71</v>
      </c>
      <c r="G53" s="1" t="s">
        <v>89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" s="2">
        <f>Games[[#This Row],[DaysOff]]-Games[[#This Row],[OppDaysOff]]</f>
        <v>0</v>
      </c>
      <c r="L53" s="2">
        <f>Games[[#This Row],[OppDaysOff]]-Games[[#This Row],[DaysOff]]</f>
        <v>0</v>
      </c>
      <c r="M53" s="1">
        <f>MAX(-16, MIN(16, Games[[#This Row],[RestDiff]]*8))</f>
        <v>0</v>
      </c>
      <c r="N53" s="1">
        <f>MAX(-16, MIN(16, Games[[#This Row],[OppRestDiff]]*8))</f>
        <v>0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1562.1390860164202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1506.3327689042153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0.69099814395151238</v>
      </c>
      <c r="R53" s="1">
        <v>70</v>
      </c>
      <c r="S53" s="1">
        <v>57</v>
      </c>
      <c r="T53" s="1">
        <v>0</v>
      </c>
      <c r="U53" s="1">
        <f>Games[[#This Row],[PointsFor]]-Games[[#This Row],[PointsAgainst]]</f>
        <v>13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0.4510667760292284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75.55</v>
      </c>
      <c r="Z53" s="4">
        <f>Games[[#This Row],[K]]*Games[[#This Row],[POMult]]</f>
        <v>75.55</v>
      </c>
      <c r="AA53" s="4">
        <f>(Games[[#This Row],[Keff]]*Games[[#This Row],[MOVMult]])*(Games[[#This Row],[Result]]-Games[[#This Row],[ExpectedWin%]])</f>
        <v>10.530194583660089</v>
      </c>
      <c r="AB53" s="4">
        <f>Games[[#This Row],[PreGmRate]]+Games[[#This Row],[RatingChange]]</f>
        <v>1572.6692806000801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36683</v>
      </c>
      <c r="B54" s="2">
        <v>2000</v>
      </c>
      <c r="C54" s="2">
        <f>COUNTIFS(Games[Team],Games[[#This Row],[Team]],Games[Season],Games[[#This Row],[Season]],Games[Date],"&lt;=" &amp; Games[[#This Row],[Date]])</f>
        <v>3</v>
      </c>
      <c r="D54" s="2" t="s">
        <v>23</v>
      </c>
      <c r="E54" s="2" t="s">
        <v>29</v>
      </c>
      <c r="F54" s="1" t="s">
        <v>44</v>
      </c>
      <c r="G54" s="1" t="s">
        <v>43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1551.8893610826894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1483.3824348805019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0.47771844155353077</v>
      </c>
      <c r="R54" s="1">
        <v>61</v>
      </c>
      <c r="S54" s="1">
        <v>76</v>
      </c>
      <c r="T54" s="1">
        <v>0</v>
      </c>
      <c r="U54" s="1">
        <f>Games[[#This Row],[PointsFor]]-Games[[#This Row],[PointsAgainst]]</f>
        <v>-15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0.47569124077319969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75.55</v>
      </c>
      <c r="Z54" s="4">
        <f>Games[[#This Row],[K]]*Games[[#This Row],[POMult]]</f>
        <v>75.55</v>
      </c>
      <c r="AA54" s="4">
        <f>(Games[[#This Row],[Keff]]*Games[[#This Row],[MOVMult]])*(Games[[#This Row],[Result]]-Games[[#This Row],[ExpectedWin%]])</f>
        <v>-17.168471428224436</v>
      </c>
      <c r="AB54" s="4">
        <f>Games[[#This Row],[PreGmRate]]+Games[[#This Row],[RatingChange]]</f>
        <v>1534.7208896544651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36683</v>
      </c>
      <c r="B55" s="2">
        <v>2000</v>
      </c>
      <c r="C55" s="2">
        <f>COUNTIFS(Games[Team],Games[[#This Row],[Team]],Games[Season],Games[[#This Row],[Season]],Games[Date],"&lt;=" &amp; Games[[#This Row],[Date]])</f>
        <v>4</v>
      </c>
      <c r="D55" s="2" t="s">
        <v>23</v>
      </c>
      <c r="E55" s="2" t="s">
        <v>29</v>
      </c>
      <c r="F55" s="1" t="s">
        <v>43</v>
      </c>
      <c r="G55" s="1" t="s">
        <v>44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1483.3824348805019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1551.8893610826894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0.52228155844646917</v>
      </c>
      <c r="R55" s="1">
        <v>76</v>
      </c>
      <c r="S55" s="1">
        <v>61</v>
      </c>
      <c r="T55" s="1">
        <v>0</v>
      </c>
      <c r="U55" s="1">
        <f>Games[[#This Row],[PointsFor]]-Games[[#This Row],[PointsAgainst]]</f>
        <v>15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0.47569124077319969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17.134384456494011</v>
      </c>
      <c r="AB55" s="4">
        <f>Games[[#This Row],[PreGmRate]]+Games[[#This Row],[RatingChange]]</f>
        <v>1500.5168193369959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36684</v>
      </c>
      <c r="B56" s="2">
        <v>2000</v>
      </c>
      <c r="C56" s="2">
        <f>COUNTIFS(Games[Team],Games[[#This Row],[Team]],Games[Season],Games[[#This Row],[Season]],Games[Date],"&lt;=" &amp; Games[[#This Row],[Date]])</f>
        <v>5</v>
      </c>
      <c r="D56" s="2" t="s">
        <v>23</v>
      </c>
      <c r="E56" s="2" t="s">
        <v>29</v>
      </c>
      <c r="F56" s="1" t="s">
        <v>79</v>
      </c>
      <c r="G56" s="1" t="s">
        <v>1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1506.3596918272349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1458.8182229255519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0.44772369700710152</v>
      </c>
      <c r="R56" s="1">
        <v>79</v>
      </c>
      <c r="S56" s="1">
        <v>83</v>
      </c>
      <c r="T56" s="1">
        <v>1</v>
      </c>
      <c r="U56" s="1">
        <f>Games[[#This Row],[PointsFor]]-Games[[#This Row],[PointsAgainst]]</f>
        <v>-4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0.26960815498366153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-9.0834244819142782</v>
      </c>
      <c r="AB56" s="4">
        <f>Games[[#This Row],[PreGmRate]]+Games[[#This Row],[RatingChange]]</f>
        <v>1497.2762673453205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36684</v>
      </c>
      <c r="B57" s="2">
        <v>2000</v>
      </c>
      <c r="C57" s="2">
        <f>COUNTIFS(Games[Team],Games[[#This Row],[Team]],Games[Season],Games[[#This Row],[Season]],Games[Date],"&lt;=" &amp; Games[[#This Row],[Date]])</f>
        <v>4</v>
      </c>
      <c r="D57" s="2" t="s">
        <v>23</v>
      </c>
      <c r="E57" s="2" t="s">
        <v>29</v>
      </c>
      <c r="F57" s="1" t="s">
        <v>1</v>
      </c>
      <c r="G57" s="1" t="s">
        <v>79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1458.8182229255519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1506.3596918272349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0.55227630299289843</v>
      </c>
      <c r="R57" s="1">
        <v>83</v>
      </c>
      <c r="S57" s="1">
        <v>79</v>
      </c>
      <c r="T57" s="1">
        <v>1</v>
      </c>
      <c r="U57" s="1">
        <f>Games[[#This Row],[PointsFor]]-Games[[#This Row],[PointsAgainst]]</f>
        <v>4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0.26960815498366153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9.1015309758981626</v>
      </c>
      <c r="AB57" s="4">
        <f>Games[[#This Row],[PreGmRate]]+Games[[#This Row],[RatingChange]]</f>
        <v>1467.9197539014501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36684</v>
      </c>
      <c r="B58" s="2">
        <v>2000</v>
      </c>
      <c r="C58" s="2">
        <f>COUNTIFS(Games[Team],Games[[#This Row],[Team]],Games[Season],Games[[#This Row],[Season]],Games[Date],"&lt;=" &amp; Games[[#This Row],[Date]])</f>
        <v>5</v>
      </c>
      <c r="D58" s="2" t="s">
        <v>23</v>
      </c>
      <c r="E58" s="2" t="s">
        <v>29</v>
      </c>
      <c r="F58" s="1" t="s">
        <v>66</v>
      </c>
      <c r="G58" s="1" t="s">
        <v>77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1</v>
      </c>
      <c r="L58" s="2">
        <f>Games[[#This Row],[OppDaysOff]]-Games[[#This Row],[DaysOff]]</f>
        <v>-1</v>
      </c>
      <c r="M58" s="1">
        <f>MAX(-16, MIN(16, Games[[#This Row],[RestDiff]]*8))</f>
        <v>8</v>
      </c>
      <c r="N58" s="1">
        <f>MAX(-16, MIN(16, Games[[#This Row],[OppRestDiff]]*8))</f>
        <v>-8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1496.7966572448281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1474.7033690204514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0.43431672800192522</v>
      </c>
      <c r="R58" s="1">
        <v>73</v>
      </c>
      <c r="S58" s="1">
        <v>69</v>
      </c>
      <c r="T58" s="1">
        <v>0</v>
      </c>
      <c r="U58" s="1">
        <f>Games[[#This Row],[PointsFor]]-Games[[#This Row],[PointsAgainst]]</f>
        <v>4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0.3058025811005356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13.017302200846171</v>
      </c>
      <c r="AB58" s="4">
        <f>Games[[#This Row],[PreGmRate]]+Games[[#This Row],[RatingChange]]</f>
        <v>1509.8139594456743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36684</v>
      </c>
      <c r="B59" s="2">
        <v>2000</v>
      </c>
      <c r="C59" s="2">
        <f>COUNTIFS(Games[Team],Games[[#This Row],[Team]],Games[Season],Games[[#This Row],[Season]],Games[Date],"&lt;=" &amp; Games[[#This Row],[Date]])</f>
        <v>3</v>
      </c>
      <c r="D59" s="2" t="s">
        <v>23</v>
      </c>
      <c r="E59" s="2" t="s">
        <v>29</v>
      </c>
      <c r="F59" s="1" t="s">
        <v>77</v>
      </c>
      <c r="G59" s="1" t="s">
        <v>66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" s="2">
        <f>Games[[#This Row],[DaysOff]]-Games[[#This Row],[OppDaysOff]]</f>
        <v>-1</v>
      </c>
      <c r="L59" s="2">
        <f>Games[[#This Row],[OppDaysOff]]-Games[[#This Row],[DaysOff]]</f>
        <v>1</v>
      </c>
      <c r="M59" s="1">
        <f>MAX(-16, MIN(16, Games[[#This Row],[RestDiff]]*8))</f>
        <v>-8</v>
      </c>
      <c r="N59" s="1">
        <f>MAX(-16, MIN(16, Games[[#This Row],[OppRestDiff]]*8))</f>
        <v>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1474.7033690204514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1496.7966572448281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0.56568327199807478</v>
      </c>
      <c r="R59" s="1">
        <v>69</v>
      </c>
      <c r="S59" s="1">
        <v>73</v>
      </c>
      <c r="T59" s="1">
        <v>0</v>
      </c>
      <c r="U59" s="1">
        <f>Games[[#This Row],[PointsFor]]-Games[[#This Row],[PointsAgainst]]</f>
        <v>-4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0.3058025811005356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75.55</v>
      </c>
      <c r="Z59" s="4">
        <f>Games[[#This Row],[K]]*Games[[#This Row],[POMult]]</f>
        <v>75.55</v>
      </c>
      <c r="AA59" s="4">
        <f>(Games[[#This Row],[Keff]]*Games[[#This Row],[MOVMult]])*(Games[[#This Row],[Result]]-Games[[#This Row],[ExpectedWin%]])</f>
        <v>-13.069198422244893</v>
      </c>
      <c r="AB59" s="4">
        <f>Games[[#This Row],[PreGmRate]]+Games[[#This Row],[RatingChange]]</f>
        <v>1461.6341705982065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36684</v>
      </c>
      <c r="B60" s="2">
        <v>2000</v>
      </c>
      <c r="C60" s="2">
        <f>COUNTIFS(Games[Team],Games[[#This Row],[Team]],Games[Season],Games[[#This Row],[Season]],Games[Date],"&lt;=" &amp; Games[[#This Row],[Date]])</f>
        <v>4</v>
      </c>
      <c r="D60" s="2" t="s">
        <v>23</v>
      </c>
      <c r="E60" s="2" t="s">
        <v>29</v>
      </c>
      <c r="F60" s="1" t="s">
        <v>87</v>
      </c>
      <c r="G60" s="1" t="s">
        <v>44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0" s="2">
        <f>Games[[#This Row],[DaysOff]]-Games[[#This Row],[OppDaysOff]]</f>
        <v>3</v>
      </c>
      <c r="L60" s="2">
        <f>Games[[#This Row],[OppDaysOff]]-Games[[#This Row],[DaysOff]]</f>
        <v>-3</v>
      </c>
      <c r="M60" s="1">
        <f>MAX(-16, MIN(16, Games[[#This Row],[RestDiff]]*8))</f>
        <v>16</v>
      </c>
      <c r="N60" s="1">
        <f>MAX(-16, MIN(16, Games[[#This Row],[OppRestDiff]]*8))</f>
        <v>-16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1450.8598277174285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1534.7208896544651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0.31387195691110931</v>
      </c>
      <c r="R60" s="1">
        <v>49</v>
      </c>
      <c r="S60" s="1">
        <v>82</v>
      </c>
      <c r="T60" s="1">
        <v>0</v>
      </c>
      <c r="U60" s="1">
        <f>Games[[#This Row],[PointsFor]]-Games[[#This Row],[PointsAgainst]]</f>
        <v>-33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0.69079968454804719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75.400000000000006</v>
      </c>
      <c r="Z60" s="4">
        <f>Games[[#This Row],[K]]*Games[[#This Row],[POMult]]</f>
        <v>75.400000000000006</v>
      </c>
      <c r="AA60" s="4">
        <f>(Games[[#This Row],[Keff]]*Games[[#This Row],[MOVMult]])*(Games[[#This Row],[Result]]-Games[[#This Row],[ExpectedWin%]])</f>
        <v>-16.348427721229513</v>
      </c>
      <c r="AB60" s="4">
        <f>Games[[#This Row],[PreGmRate]]+Games[[#This Row],[RatingChange]]</f>
        <v>1434.5113999961991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36684</v>
      </c>
      <c r="B61" s="2">
        <v>2000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44</v>
      </c>
      <c r="G61" s="1" t="s">
        <v>87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1" s="2">
        <f>Games[[#This Row],[DaysOff]]-Games[[#This Row],[OppDaysOff]]</f>
        <v>-3</v>
      </c>
      <c r="L61" s="2">
        <f>Games[[#This Row],[OppDaysOff]]-Games[[#This Row],[DaysOff]]</f>
        <v>3</v>
      </c>
      <c r="M61" s="1">
        <f>MAX(-16, MIN(16, Games[[#This Row],[RestDiff]]*8))</f>
        <v>-16</v>
      </c>
      <c r="N61" s="1">
        <f>MAX(-16, MIN(16, Games[[#This Row],[OppRestDiff]]*8))</f>
        <v>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1534.7208896544651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1450.8598277174285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0.68612804308889075</v>
      </c>
      <c r="R61" s="1">
        <v>82</v>
      </c>
      <c r="S61" s="1">
        <v>49</v>
      </c>
      <c r="T61" s="1">
        <v>0</v>
      </c>
      <c r="U61" s="1">
        <f>Games[[#This Row],[PointsFor]]-Games[[#This Row],[PointsAgainst]]</f>
        <v>33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0.69079968454804719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16.348427721229509</v>
      </c>
      <c r="AB61" s="4">
        <f>Games[[#This Row],[PreGmRate]]+Games[[#This Row],[RatingChange]]</f>
        <v>1551.0693173756945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36684</v>
      </c>
      <c r="B62" s="2">
        <v>2000</v>
      </c>
      <c r="C62" s="2">
        <f>COUNTIFS(Games[Team],Games[[#This Row],[Team]],Games[Season],Games[[#This Row],[Season]],Games[Date],"&lt;=" &amp; Games[[#This Row],[Date]])</f>
        <v>6</v>
      </c>
      <c r="D62" s="2" t="s">
        <v>23</v>
      </c>
      <c r="E62" s="2" t="s">
        <v>29</v>
      </c>
      <c r="F62" s="1" t="s">
        <v>2</v>
      </c>
      <c r="G62" s="1" t="s">
        <v>75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2" s="2">
        <f>Games[[#This Row],[DaysOff]]-Games[[#This Row],[OppDaysOff]]</f>
        <v>-2</v>
      </c>
      <c r="L62" s="2">
        <f>Games[[#This Row],[OppDaysOff]]-Games[[#This Row],[DaysOff]]</f>
        <v>2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1626.6754550440182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1452.0832263758739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0.58353061889515634</v>
      </c>
      <c r="R62" s="1">
        <v>81</v>
      </c>
      <c r="S62" s="1">
        <v>54</v>
      </c>
      <c r="T62" s="1">
        <v>0</v>
      </c>
      <c r="U62" s="1">
        <f>Games[[#This Row],[PointsFor]]-Games[[#This Row],[PointsAgainst]]</f>
        <v>27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0.5819907775669062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18.202838554545412</v>
      </c>
      <c r="AB62" s="4">
        <f>Games[[#This Row],[PreGmRate]]+Games[[#This Row],[RatingChange]]</f>
        <v>1644.8782935985637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36684</v>
      </c>
      <c r="B63" s="2">
        <v>2000</v>
      </c>
      <c r="C63" s="2">
        <f>COUNTIFS(Games[Team],Games[[#This Row],[Team]],Games[Season],Games[[#This Row],[Season]],Games[Date],"&lt;=" &amp; Games[[#This Row],[Date]])</f>
        <v>4</v>
      </c>
      <c r="D63" s="2" t="s">
        <v>23</v>
      </c>
      <c r="E63" s="2" t="s">
        <v>29</v>
      </c>
      <c r="F63" s="1" t="s">
        <v>75</v>
      </c>
      <c r="G63" s="1" t="s">
        <v>2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3" s="2">
        <f>Games[[#This Row],[DaysOff]]-Games[[#This Row],[OppDaysOff]]</f>
        <v>2</v>
      </c>
      <c r="L63" s="2">
        <f>Games[[#This Row],[OppDaysOff]]-Games[[#This Row],[DaysOff]]</f>
        <v>-2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1452.0832263758739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1626.6754550440182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0.41646938110484372</v>
      </c>
      <c r="R63" s="1">
        <v>54</v>
      </c>
      <c r="S63" s="1">
        <v>81</v>
      </c>
      <c r="T63" s="1">
        <v>0</v>
      </c>
      <c r="U63" s="1">
        <f>Games[[#This Row],[PointsFor]]-Games[[#This Row],[PointsAgainst]]</f>
        <v>-27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0.5819907775669062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75.400000000000006</v>
      </c>
      <c r="Z63" s="4">
        <f>Games[[#This Row],[K]]*Games[[#This Row],[POMult]]</f>
        <v>75.400000000000006</v>
      </c>
      <c r="AA63" s="4">
        <f>(Games[[#This Row],[Keff]]*Games[[#This Row],[MOVMult]])*(Games[[#This Row],[Result]]-Games[[#This Row],[ExpectedWin%]])</f>
        <v>-18.275552956228022</v>
      </c>
      <c r="AB63" s="4">
        <f>Games[[#This Row],[PreGmRate]]+Games[[#This Row],[RatingChange]]</f>
        <v>1433.8076734196459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36685</v>
      </c>
      <c r="B64" s="2">
        <v>2000</v>
      </c>
      <c r="C64" s="2">
        <f>COUNTIFS(Games[Team],Games[[#This Row],[Team]],Games[Season],Games[[#This Row],[Season]],Games[Date],"&lt;=" &amp; Games[[#This Row],[Date]])</f>
        <v>5</v>
      </c>
      <c r="D64" s="2" t="s">
        <v>23</v>
      </c>
      <c r="E64" s="2" t="s">
        <v>29</v>
      </c>
      <c r="F64" s="1" t="s">
        <v>75</v>
      </c>
      <c r="G64" s="1" t="s">
        <v>83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-2</v>
      </c>
      <c r="L64" s="2">
        <f>Games[[#This Row],[OppDaysOff]]-Games[[#This Row],[DaysOff]]</f>
        <v>2</v>
      </c>
      <c r="M64" s="1">
        <f>MAX(-16, MIN(16, Games[[#This Row],[RestDiff]]*8))</f>
        <v>-16</v>
      </c>
      <c r="N64" s="1">
        <f>MAX(-16, MIN(16, Games[[#This Row],[OppRestDiff]]*8))</f>
        <v>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1433.8076734196459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1487.4164523845136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0.273617296217187</v>
      </c>
      <c r="R64" s="1">
        <v>73</v>
      </c>
      <c r="S64" s="1">
        <v>51</v>
      </c>
      <c r="T64" s="1">
        <v>0</v>
      </c>
      <c r="U64" s="1">
        <f>Games[[#This Row],[PointsFor]]-Games[[#This Row],[PointsAgainst]]</f>
        <v>22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0.57631010384337356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75.25</v>
      </c>
      <c r="Z64" s="4">
        <f>Games[[#This Row],[K]]*Games[[#This Row],[POMult]]</f>
        <v>75.25</v>
      </c>
      <c r="AA64" s="4">
        <f>(Games[[#This Row],[Keff]]*Games[[#This Row],[MOVMult]])*(Games[[#This Row],[Result]]-Games[[#This Row],[ExpectedWin%]])</f>
        <v>31.501282281394534</v>
      </c>
      <c r="AB64" s="4">
        <f>Games[[#This Row],[PreGmRate]]+Games[[#This Row],[RatingChange]]</f>
        <v>1465.3089557010403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36685</v>
      </c>
      <c r="B65" s="2">
        <v>2000</v>
      </c>
      <c r="C65" s="2">
        <f>COUNTIFS(Games[Team],Games[[#This Row],[Team]],Games[Season],Games[[#This Row],[Season]],Games[Date],"&lt;=" &amp; Games[[#This Row],[Date]])</f>
        <v>4</v>
      </c>
      <c r="D65" s="2" t="s">
        <v>23</v>
      </c>
      <c r="E65" s="2" t="s">
        <v>29</v>
      </c>
      <c r="F65" s="1" t="s">
        <v>83</v>
      </c>
      <c r="G65" s="1" t="s">
        <v>75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5" s="2">
        <f>Games[[#This Row],[DaysOff]]-Games[[#This Row],[OppDaysOff]]</f>
        <v>2</v>
      </c>
      <c r="L65" s="2">
        <f>Games[[#This Row],[OppDaysOff]]-Games[[#This Row],[DaysOff]]</f>
        <v>-2</v>
      </c>
      <c r="M65" s="1">
        <f>MAX(-16, MIN(16, Games[[#This Row],[RestDiff]]*8))</f>
        <v>16</v>
      </c>
      <c r="N65" s="1">
        <f>MAX(-16, MIN(16, Games[[#This Row],[OppRestDiff]]*8))</f>
        <v>-16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1487.4164523845136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1433.8076734196459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0.726382703782813</v>
      </c>
      <c r="R65" s="1">
        <v>51</v>
      </c>
      <c r="S65" s="1">
        <v>73</v>
      </c>
      <c r="T65" s="1">
        <v>0</v>
      </c>
      <c r="U65" s="1">
        <f>Games[[#This Row],[PointsFor]]-Games[[#This Row],[PointsAgainst]]</f>
        <v>-22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0.57631010384337356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75.400000000000006</v>
      </c>
      <c r="Z65" s="4">
        <f>Games[[#This Row],[K]]*Games[[#This Row],[POMult]]</f>
        <v>75.400000000000006</v>
      </c>
      <c r="AA65" s="4">
        <f>(Games[[#This Row],[Keff]]*Games[[#This Row],[MOVMult]])*(Games[[#This Row],[Result]]-Games[[#This Row],[ExpectedWin%]])</f>
        <v>-31.564075535111602</v>
      </c>
      <c r="AB65" s="4">
        <f>Games[[#This Row],[PreGmRate]]+Games[[#This Row],[RatingChange]]</f>
        <v>1455.8523768494019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36685</v>
      </c>
      <c r="B66" s="2">
        <v>2000</v>
      </c>
      <c r="C66" s="2">
        <f>COUNTIFS(Games[Team],Games[[#This Row],[Team]],Games[Season],Games[[#This Row],[Season]],Games[Date],"&lt;=" &amp; Games[[#This Row],[Date]])</f>
        <v>5</v>
      </c>
      <c r="D66" s="2" t="s">
        <v>23</v>
      </c>
      <c r="E66" s="2" t="s">
        <v>29</v>
      </c>
      <c r="F66" s="1" t="s">
        <v>80</v>
      </c>
      <c r="G66" s="1" t="s">
        <v>79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6" s="2">
        <f>Games[[#This Row],[DaysOff]]-Games[[#This Row],[OppDaysOff]]</f>
        <v>2</v>
      </c>
      <c r="L66" s="2">
        <f>Games[[#This Row],[OppDaysOff]]-Games[[#This Row],[DaysOff]]</f>
        <v>-2</v>
      </c>
      <c r="M66" s="1">
        <f>MAX(-16, MIN(16, Games[[#This Row],[RestDiff]]*8))</f>
        <v>16</v>
      </c>
      <c r="N66" s="1">
        <f>MAX(-16, MIN(16, Games[[#This Row],[OppRestDiff]]*8))</f>
        <v>-16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1484.6381947005166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1497.2762673453205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0.40803690823412281</v>
      </c>
      <c r="R66" s="1">
        <v>71</v>
      </c>
      <c r="S66" s="1">
        <v>57</v>
      </c>
      <c r="T66" s="1">
        <v>0</v>
      </c>
      <c r="U66" s="1">
        <f>Games[[#This Row],[PointsFor]]-Games[[#This Row],[PointsAgainst]]</f>
        <v>14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0.48252626850543634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75.25</v>
      </c>
      <c r="Z66" s="4">
        <f>Games[[#This Row],[K]]*Games[[#This Row],[POMult]]</f>
        <v>75.25</v>
      </c>
      <c r="AA66" s="4">
        <f>(Games[[#This Row],[Keff]]*Games[[#This Row],[MOVMult]])*(Games[[#This Row],[Result]]-Games[[#This Row],[ExpectedWin%]])</f>
        <v>21.494240067645425</v>
      </c>
      <c r="AB66" s="4">
        <f>Games[[#This Row],[PreGmRate]]+Games[[#This Row],[RatingChange]]</f>
        <v>1506.1324347681621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36685</v>
      </c>
      <c r="B67" s="2">
        <v>2000</v>
      </c>
      <c r="C67" s="2">
        <f>COUNTIFS(Games[Team],Games[[#This Row],[Team]],Games[Season],Games[[#This Row],[Season]],Games[Date],"&lt;=" &amp; Games[[#This Row],[Date]])</f>
        <v>6</v>
      </c>
      <c r="D67" s="2" t="s">
        <v>23</v>
      </c>
      <c r="E67" s="2" t="s">
        <v>29</v>
      </c>
      <c r="F67" s="1" t="s">
        <v>79</v>
      </c>
      <c r="G67" s="1" t="s">
        <v>80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7" s="2">
        <f>Games[[#This Row],[DaysOff]]-Games[[#This Row],[OppDaysOff]]</f>
        <v>-2</v>
      </c>
      <c r="L67" s="2">
        <f>Games[[#This Row],[OppDaysOff]]-Games[[#This Row],[DaysOff]]</f>
        <v>2</v>
      </c>
      <c r="M67" s="1">
        <f>MAX(-16, MIN(16, Games[[#This Row],[RestDiff]]*8))</f>
        <v>-16</v>
      </c>
      <c r="N67" s="1">
        <f>MAX(-16, MIN(16, Games[[#This Row],[OppRestDiff]]*8))</f>
        <v>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1497.2762673453205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1484.6381947005166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0.59196309176587714</v>
      </c>
      <c r="R67" s="1">
        <v>57</v>
      </c>
      <c r="S67" s="1">
        <v>71</v>
      </c>
      <c r="T67" s="1">
        <v>0</v>
      </c>
      <c r="U67" s="1">
        <f>Games[[#This Row],[PointsFor]]-Games[[#This Row],[PointsAgainst]]</f>
        <v>-14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0.48252626850543634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-21.451394406381013</v>
      </c>
      <c r="AB67" s="4">
        <f>Games[[#This Row],[PreGmRate]]+Games[[#This Row],[RatingChange]]</f>
        <v>1475.8248729389395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36685</v>
      </c>
      <c r="B68" s="2">
        <v>2000</v>
      </c>
      <c r="C68" s="2">
        <f>COUNTIFS(Games[Team],Games[[#This Row],[Team]],Games[Season],Games[[#This Row],[Season]],Games[Date],"&lt;=" &amp; Games[[#This Row],[Date]])</f>
        <v>5</v>
      </c>
      <c r="D68" s="2" t="s">
        <v>23</v>
      </c>
      <c r="E68" s="2" t="s">
        <v>29</v>
      </c>
      <c r="F68" s="1" t="s">
        <v>43</v>
      </c>
      <c r="G68" s="1" t="s">
        <v>89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1500.5168193369959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1495.8025743205553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0.38783888627014007</v>
      </c>
      <c r="R68" s="1">
        <v>81</v>
      </c>
      <c r="S68" s="1">
        <v>72</v>
      </c>
      <c r="T68" s="1">
        <v>0</v>
      </c>
      <c r="U68" s="1">
        <f>Games[[#This Row],[PointsFor]]-Games[[#This Row],[PointsAgainst]]</f>
        <v>9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0.40438289377913272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18.627948067842599</v>
      </c>
      <c r="AB68" s="4">
        <f>Games[[#This Row],[PreGmRate]]+Games[[#This Row],[RatingChange]]</f>
        <v>1519.1447674048386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36685</v>
      </c>
      <c r="B69" s="2">
        <v>2000</v>
      </c>
      <c r="C69" s="2">
        <f>COUNTIFS(Games[Team],Games[[#This Row],[Team]],Games[Season],Games[[#This Row],[Season]],Games[Date],"&lt;=" &amp; Games[[#This Row],[Date]])</f>
        <v>4</v>
      </c>
      <c r="D69" s="2" t="s">
        <v>23</v>
      </c>
      <c r="E69" s="2" t="s">
        <v>29</v>
      </c>
      <c r="F69" s="1" t="s">
        <v>89</v>
      </c>
      <c r="G69" s="1" t="s">
        <v>43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1495.8025743205553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1500.5168193369959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0.61216111372986004</v>
      </c>
      <c r="R69" s="1">
        <v>72</v>
      </c>
      <c r="S69" s="1">
        <v>81</v>
      </c>
      <c r="T69" s="1">
        <v>0</v>
      </c>
      <c r="U69" s="1">
        <f>Games[[#This Row],[PointsFor]]-Games[[#This Row],[PointsAgainst]]</f>
        <v>-9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0.40438289377913272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75.400000000000006</v>
      </c>
      <c r="Z69" s="4">
        <f>Games[[#This Row],[K]]*Games[[#This Row],[POMult]]</f>
        <v>75.400000000000006</v>
      </c>
      <c r="AA69" s="4">
        <f>(Games[[#This Row],[Keff]]*Games[[#This Row],[MOVMult]])*(Games[[#This Row],[Result]]-Games[[#This Row],[ExpectedWin%]])</f>
        <v>-18.665080190236974</v>
      </c>
      <c r="AB69" s="4">
        <f>Games[[#This Row],[PreGmRate]]+Games[[#This Row],[RatingChange]]</f>
        <v>1477.1374941303184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36686</v>
      </c>
      <c r="B70" s="2">
        <v>2000</v>
      </c>
      <c r="C70" s="2">
        <f>COUNTIFS(Games[Team],Games[[#This Row],[Team]],Games[Season],Games[[#This Row],[Season]],Games[Date],"&lt;=" &amp; Games[[#This Row],[Date]])</f>
        <v>5</v>
      </c>
      <c r="D70" s="2" t="s">
        <v>23</v>
      </c>
      <c r="E70" s="2" t="s">
        <v>29</v>
      </c>
      <c r="F70" s="1" t="s">
        <v>87</v>
      </c>
      <c r="G70" s="1" t="s">
        <v>64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0" s="2">
        <f>Games[[#This Row],[DaysOff]]-Games[[#This Row],[OppDaysOff]]</f>
        <v>-2</v>
      </c>
      <c r="L70" s="2">
        <f>Games[[#This Row],[OppDaysOff]]-Games[[#This Row],[DaysOff]]</f>
        <v>2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1434.5113999961991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1440.0108746359676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0.3319436728167372</v>
      </c>
      <c r="R70" s="1">
        <v>67</v>
      </c>
      <c r="S70" s="1">
        <v>62</v>
      </c>
      <c r="T70" s="1">
        <v>0</v>
      </c>
      <c r="U70" s="1">
        <f>Games[[#This Row],[PointsFor]]-Games[[#This Row],[PointsAgainst]]</f>
        <v>5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0.3302425085439884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75.25</v>
      </c>
      <c r="Z70" s="4">
        <f>Games[[#This Row],[K]]*Games[[#This Row],[POMult]]</f>
        <v>75.25</v>
      </c>
      <c r="AA70" s="4">
        <f>(Games[[#This Row],[Keff]]*Games[[#This Row],[MOVMult]])*(Games[[#This Row],[Result]]-Games[[#This Row],[ExpectedWin%]])</f>
        <v>16.601699949660734</v>
      </c>
      <c r="AB70" s="4">
        <f>Games[[#This Row],[PreGmRate]]+Games[[#This Row],[RatingChange]]</f>
        <v>1451.1130999458599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36686</v>
      </c>
      <c r="B71" s="2">
        <v>2000</v>
      </c>
      <c r="C71" s="2">
        <f>COUNTIFS(Games[Team],Games[[#This Row],[Team]],Games[Season],Games[[#This Row],[Season]],Games[Date],"&lt;=" &amp; Games[[#This Row],[Date]])</f>
        <v>4</v>
      </c>
      <c r="D71" s="2" t="s">
        <v>23</v>
      </c>
      <c r="E71" s="2" t="s">
        <v>29</v>
      </c>
      <c r="F71" s="1" t="s">
        <v>64</v>
      </c>
      <c r="G71" s="1" t="s">
        <v>87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2</v>
      </c>
      <c r="L71" s="2">
        <f>Games[[#This Row],[OppDaysOff]]-Games[[#This Row],[DaysOff]]</f>
        <v>-2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1440.0108746359676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1434.5113999961991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0.6680563271832628</v>
      </c>
      <c r="R71" s="1">
        <v>62</v>
      </c>
      <c r="S71" s="1">
        <v>67</v>
      </c>
      <c r="T71" s="1">
        <v>0</v>
      </c>
      <c r="U71" s="1">
        <f>Games[[#This Row],[PointsFor]]-Games[[#This Row],[PointsAgainst]]</f>
        <v>-5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0.3302425085439884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75.400000000000006</v>
      </c>
      <c r="Z71" s="4">
        <f>Games[[#This Row],[K]]*Games[[#This Row],[POMult]]</f>
        <v>75.400000000000006</v>
      </c>
      <c r="AA71" s="4">
        <f>(Games[[#This Row],[Keff]]*Games[[#This Row],[MOVMult]])*(Games[[#This Row],[Result]]-Games[[#This Row],[ExpectedWin%]])</f>
        <v>-16.634793039261389</v>
      </c>
      <c r="AB71" s="4">
        <f>Games[[#This Row],[PreGmRate]]+Games[[#This Row],[RatingChange]]</f>
        <v>1423.3760815967062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36686</v>
      </c>
      <c r="B72" s="2">
        <v>2000</v>
      </c>
      <c r="C72" s="2">
        <f>COUNTIFS(Games[Team],Games[[#This Row],[Team]],Games[Season],Games[[#This Row],[Season]],Games[Date],"&lt;=" &amp; Games[[#This Row],[Date]])</f>
        <v>4</v>
      </c>
      <c r="D72" s="2" t="s">
        <v>23</v>
      </c>
      <c r="E72" s="2" t="s">
        <v>29</v>
      </c>
      <c r="F72" s="1" t="s">
        <v>85</v>
      </c>
      <c r="G72" s="1" t="s">
        <v>77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2</v>
      </c>
      <c r="L72" s="2">
        <f>Games[[#This Row],[OppDaysOff]]-Games[[#This Row],[DaysOff]]</f>
        <v>-2</v>
      </c>
      <c r="M72" s="1">
        <f>MAX(-16, MIN(16, Games[[#This Row],[RestDiff]]*8))</f>
        <v>16</v>
      </c>
      <c r="N72" s="1">
        <f>MAX(-16, MIN(16, Games[[#This Row],[OppRestDiff]]*8))</f>
        <v>-16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1513.7671832361416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1461.6341705982065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0.5001914205639536</v>
      </c>
      <c r="R72" s="1">
        <v>76</v>
      </c>
      <c r="S72" s="1">
        <v>80</v>
      </c>
      <c r="T72" s="1">
        <v>0</v>
      </c>
      <c r="U72" s="1">
        <f>Games[[#This Row],[PointsFor]]-Games[[#This Row],[PointsAgainst]]</f>
        <v>-4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0.29846611990312516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75.400000000000006</v>
      </c>
      <c r="Z72" s="4">
        <f>Games[[#This Row],[K]]*Games[[#This Row],[POMult]]</f>
        <v>75.400000000000006</v>
      </c>
      <c r="AA72" s="4">
        <f>(Games[[#This Row],[Keff]]*Games[[#This Row],[MOVMult]])*(Games[[#This Row],[Result]]-Games[[#This Row],[ExpectedWin%]])</f>
        <v>-11.256480514843483</v>
      </c>
      <c r="AB72" s="4">
        <f>Games[[#This Row],[PreGmRate]]+Games[[#This Row],[RatingChange]]</f>
        <v>1502.510702721298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36686</v>
      </c>
      <c r="B73" s="2">
        <v>2000</v>
      </c>
      <c r="C73" s="2">
        <f>COUNTIFS(Games[Team],Games[[#This Row],[Team]],Games[Season],Games[[#This Row],[Season]],Games[Date],"&lt;=" &amp; Games[[#This Row],[Date]])</f>
        <v>4</v>
      </c>
      <c r="D73" s="2" t="s">
        <v>23</v>
      </c>
      <c r="E73" s="2" t="s">
        <v>29</v>
      </c>
      <c r="F73" s="1" t="s">
        <v>77</v>
      </c>
      <c r="G73" s="1" t="s">
        <v>85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3" s="2">
        <f>Games[[#This Row],[DaysOff]]-Games[[#This Row],[OppDaysOff]]</f>
        <v>-2</v>
      </c>
      <c r="L73" s="2">
        <f>Games[[#This Row],[OppDaysOff]]-Games[[#This Row],[DaysOff]]</f>
        <v>2</v>
      </c>
      <c r="M73" s="1">
        <f>MAX(-16, MIN(16, Games[[#This Row],[RestDiff]]*8))</f>
        <v>-16</v>
      </c>
      <c r="N73" s="1">
        <f>MAX(-16, MIN(16, Games[[#This Row],[OppRestDiff]]*8))</f>
        <v>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1461.6341705982065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1513.7671832361416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0.49980857943604629</v>
      </c>
      <c r="R73" s="1">
        <v>80</v>
      </c>
      <c r="S73" s="1">
        <v>76</v>
      </c>
      <c r="T73" s="1">
        <v>0</v>
      </c>
      <c r="U73" s="1">
        <f>Games[[#This Row],[PointsFor]]-Games[[#This Row],[PointsAgainst]]</f>
        <v>4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0.29846611990312516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75.400000000000006</v>
      </c>
      <c r="Z73" s="4">
        <f>Games[[#This Row],[K]]*Games[[#This Row],[POMult]]</f>
        <v>75.400000000000006</v>
      </c>
      <c r="AA73" s="4">
        <f>(Games[[#This Row],[Keff]]*Games[[#This Row],[MOVMult]])*(Games[[#This Row],[Result]]-Games[[#This Row],[ExpectedWin%]])</f>
        <v>11.256480514843485</v>
      </c>
      <c r="AB73" s="4">
        <f>Games[[#This Row],[PreGmRate]]+Games[[#This Row],[RatingChange]]</f>
        <v>1472.8906511130501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36686</v>
      </c>
      <c r="B74" s="2">
        <v>2000</v>
      </c>
      <c r="C74" s="2">
        <f>COUNTIFS(Games[Team],Games[[#This Row],[Team]],Games[Season],Games[[#This Row],[Season]],Games[Date],"&lt;=" &amp; Games[[#This Row],[Date]])</f>
        <v>5</v>
      </c>
      <c r="D74" s="2" t="s">
        <v>23</v>
      </c>
      <c r="E74" s="2" t="s">
        <v>29</v>
      </c>
      <c r="F74" s="1" t="s">
        <v>45</v>
      </c>
      <c r="G74" s="1" t="s">
        <v>66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1</v>
      </c>
      <c r="L74" s="2">
        <f>Games[[#This Row],[OppDaysOff]]-Games[[#This Row],[DaysOff]]</f>
        <v>-1</v>
      </c>
      <c r="M74" s="1">
        <f>MAX(-16, MIN(16, Games[[#This Row],[RestDiff]]*8))</f>
        <v>8</v>
      </c>
      <c r="N74" s="1">
        <f>MAX(-16, MIN(16, Games[[#This Row],[OppRestDiff]]*8))</f>
        <v>-8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1503.9522439770512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1509.8139594456743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0.39527735963510224</v>
      </c>
      <c r="R74" s="1">
        <v>77</v>
      </c>
      <c r="S74" s="1">
        <v>56</v>
      </c>
      <c r="T74" s="1">
        <v>0</v>
      </c>
      <c r="U74" s="1">
        <f>Games[[#This Row],[PointsFor]]-Games[[#This Row],[PointsAgainst]]</f>
        <v>21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0.58571520951753986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75.25</v>
      </c>
      <c r="Z74" s="4">
        <f>Games[[#This Row],[K]]*Games[[#This Row],[POMult]]</f>
        <v>75.25</v>
      </c>
      <c r="AA74" s="4">
        <f>(Games[[#This Row],[Keff]]*Games[[#This Row],[MOVMult]])*(Games[[#This Row],[Result]]-Games[[#This Row],[ExpectedWin%]])</f>
        <v>26.653192412099781</v>
      </c>
      <c r="AB74" s="4">
        <f>Games[[#This Row],[PreGmRate]]+Games[[#This Row],[RatingChange]]</f>
        <v>1530.605436389151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36686</v>
      </c>
      <c r="B75" s="2">
        <v>2000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66</v>
      </c>
      <c r="G75" s="1" t="s">
        <v>45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-1</v>
      </c>
      <c r="L75" s="2">
        <f>Games[[#This Row],[OppDaysOff]]-Games[[#This Row],[DaysOff]]</f>
        <v>1</v>
      </c>
      <c r="M75" s="1">
        <f>MAX(-16, MIN(16, Games[[#This Row],[RestDiff]]*8))</f>
        <v>-8</v>
      </c>
      <c r="N75" s="1">
        <f>MAX(-16, MIN(16, Games[[#This Row],[OppRestDiff]]*8))</f>
        <v>8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1509.8139594456743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1503.9522439770512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0.60472264036489765</v>
      </c>
      <c r="R75" s="1">
        <v>56</v>
      </c>
      <c r="S75" s="1">
        <v>77</v>
      </c>
      <c r="T75" s="1">
        <v>0</v>
      </c>
      <c r="U75" s="1">
        <f>Games[[#This Row],[PointsFor]]-Games[[#This Row],[PointsAgainst]]</f>
        <v>-21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0.58571520951753986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-26.600063124899577</v>
      </c>
      <c r="AB75" s="4">
        <f>Games[[#This Row],[PreGmRate]]+Games[[#This Row],[RatingChange]]</f>
        <v>1483.2138963207747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36687</v>
      </c>
      <c r="B76" s="2">
        <v>2000</v>
      </c>
      <c r="C76" s="2">
        <f>COUNTIFS(Games[Team],Games[[#This Row],[Team]],Games[Season],Games[[#This Row],[Season]],Games[Date],"&lt;=" &amp; Games[[#This Row],[Date]])</f>
        <v>7</v>
      </c>
      <c r="D76" s="2" t="s">
        <v>23</v>
      </c>
      <c r="E76" s="2" t="s">
        <v>29</v>
      </c>
      <c r="F76" s="1" t="s">
        <v>79</v>
      </c>
      <c r="G76" s="1" t="s">
        <v>64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6" s="2">
        <f>Games[[#This Row],[DaysOff]]-Games[[#This Row],[OppDaysOff]]</f>
        <v>1</v>
      </c>
      <c r="L76" s="2">
        <f>Games[[#This Row],[OppDaysOff]]-Games[[#This Row],[DaysOff]]</f>
        <v>-1</v>
      </c>
      <c r="M76" s="1">
        <f>MAX(-16, MIN(16, Games[[#This Row],[RestDiff]]*8))</f>
        <v>8</v>
      </c>
      <c r="N76" s="1">
        <f>MAX(-16, MIN(16, Games[[#This Row],[OppRestDiff]]*8))</f>
        <v>-8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1475.8248729389395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1423.3760815967062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0.47763494553174435</v>
      </c>
      <c r="R76" s="1">
        <v>74</v>
      </c>
      <c r="S76" s="1">
        <v>71</v>
      </c>
      <c r="T76" s="1">
        <v>0</v>
      </c>
      <c r="U76" s="1">
        <f>Games[[#This Row],[PointsFor]]-Games[[#This Row],[PointsAgainst]]</f>
        <v>3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0.27803150733633308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10.885284063348932</v>
      </c>
      <c r="AB76" s="4">
        <f>Games[[#This Row],[PreGmRate]]+Games[[#This Row],[RatingChange]]</f>
        <v>1486.7101570022885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36687</v>
      </c>
      <c r="B77" s="2">
        <v>2000</v>
      </c>
      <c r="C77" s="2">
        <f>COUNTIFS(Games[Team],Games[[#This Row],[Team]],Games[Season],Games[[#This Row],[Season]],Games[Date],"&lt;=" &amp; Games[[#This Row],[Date]])</f>
        <v>5</v>
      </c>
      <c r="D77" s="2" t="s">
        <v>23</v>
      </c>
      <c r="E77" s="2" t="s">
        <v>29</v>
      </c>
      <c r="F77" s="1" t="s">
        <v>64</v>
      </c>
      <c r="G77" s="1" t="s">
        <v>79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-1</v>
      </c>
      <c r="L77" s="2">
        <f>Games[[#This Row],[OppDaysOff]]-Games[[#This Row],[DaysOff]]</f>
        <v>1</v>
      </c>
      <c r="M77" s="1">
        <f>MAX(-16, MIN(16, Games[[#This Row],[RestDiff]]*8))</f>
        <v>-8</v>
      </c>
      <c r="N77" s="1">
        <f>MAX(-16, MIN(16, Games[[#This Row],[OppRestDiff]]*8))</f>
        <v>8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1423.3760815967062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1475.8248729389395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0.52236505446825565</v>
      </c>
      <c r="R77" s="1">
        <v>71</v>
      </c>
      <c r="S77" s="1">
        <v>74</v>
      </c>
      <c r="T77" s="1">
        <v>0</v>
      </c>
      <c r="U77" s="1">
        <f>Games[[#This Row],[PointsFor]]-Games[[#This Row],[PointsAgainst]]</f>
        <v>-3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0.27803150733633308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75.25</v>
      </c>
      <c r="Z77" s="4">
        <f>Games[[#This Row],[K]]*Games[[#This Row],[POMult]]</f>
        <v>75.25</v>
      </c>
      <c r="AA77" s="4">
        <f>(Games[[#This Row],[Keff]]*Games[[#This Row],[MOVMult]])*(Games[[#This Row],[Result]]-Games[[#This Row],[ExpectedWin%]])</f>
        <v>-10.928854246391023</v>
      </c>
      <c r="AB77" s="4">
        <f>Games[[#This Row],[PreGmRate]]+Games[[#This Row],[RatingChange]]</f>
        <v>1412.4472273503152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36687</v>
      </c>
      <c r="B78" s="2">
        <v>2000</v>
      </c>
      <c r="C78" s="2">
        <f>COUNTIFS(Games[Team],Games[[#This Row],[Team]],Games[Season],Games[[#This Row],[Season]],Games[Date],"&lt;=" &amp; Games[[#This Row],[Date]])</f>
        <v>6</v>
      </c>
      <c r="D78" s="2" t="s">
        <v>23</v>
      </c>
      <c r="E78" s="2" t="s">
        <v>29</v>
      </c>
      <c r="F78" s="1" t="s">
        <v>87</v>
      </c>
      <c r="G78" s="1" t="s">
        <v>1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8" s="2">
        <f>Games[[#This Row],[DaysOff]]-Games[[#This Row],[OppDaysOff]]</f>
        <v>-2</v>
      </c>
      <c r="L78" s="2">
        <f>Games[[#This Row],[OppDaysOff]]-Games[[#This Row],[DaysOff]]</f>
        <v>2</v>
      </c>
      <c r="M78" s="1">
        <f>MAX(-16, MIN(16, Games[[#This Row],[RestDiff]]*8))</f>
        <v>-16</v>
      </c>
      <c r="N78" s="1">
        <f>MAX(-16, MIN(16, Games[[#This Row],[OppRestDiff]]*8))</f>
        <v>16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1451.1130999458599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1467.9197539014501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0.31767081273748699</v>
      </c>
      <c r="R78" s="1">
        <v>49</v>
      </c>
      <c r="S78" s="1">
        <v>61</v>
      </c>
      <c r="T78" s="1">
        <v>0</v>
      </c>
      <c r="U78" s="1">
        <f>Games[[#This Row],[PointsFor]]-Games[[#This Row],[PointsAgainst]]</f>
        <v>-12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0.44982933805671454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75.099999999999994</v>
      </c>
      <c r="Z78" s="4">
        <f>Games[[#This Row],[K]]*Games[[#This Row],[POMult]]</f>
        <v>75.099999999999994</v>
      </c>
      <c r="AA78" s="4">
        <f>(Games[[#This Row],[Keff]]*Games[[#This Row],[MOVMult]])*(Games[[#This Row],[Result]]-Games[[#This Row],[ExpectedWin%]])</f>
        <v>-10.731613621164534</v>
      </c>
      <c r="AB78" s="4">
        <f>Games[[#This Row],[PreGmRate]]+Games[[#This Row],[RatingChange]]</f>
        <v>1440.3814863246953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36687</v>
      </c>
      <c r="B79" s="2">
        <v>2000</v>
      </c>
      <c r="C79" s="2">
        <f>COUNTIFS(Games[Team],Games[[#This Row],[Team]],Games[Season],Games[[#This Row],[Season]],Games[Date],"&lt;=" &amp; Games[[#This Row],[Date]])</f>
        <v>5</v>
      </c>
      <c r="D79" s="2" t="s">
        <v>23</v>
      </c>
      <c r="E79" s="2" t="s">
        <v>29</v>
      </c>
      <c r="F79" s="1" t="s">
        <v>1</v>
      </c>
      <c r="G79" s="1" t="s">
        <v>87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9" s="2">
        <f>Games[[#This Row],[DaysOff]]-Games[[#This Row],[OppDaysOff]]</f>
        <v>2</v>
      </c>
      <c r="L79" s="2">
        <f>Games[[#This Row],[OppDaysOff]]-Games[[#This Row],[DaysOff]]</f>
        <v>-2</v>
      </c>
      <c r="M79" s="1">
        <f>MAX(-16, MIN(16, Games[[#This Row],[RestDiff]]*8))</f>
        <v>16</v>
      </c>
      <c r="N79" s="1">
        <f>MAX(-16, MIN(16, Games[[#This Row],[OppRestDiff]]*8))</f>
        <v>-16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1467.9197539014501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1451.1130999458599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0.68232918726251301</v>
      </c>
      <c r="R79" s="1">
        <v>61</v>
      </c>
      <c r="S79" s="1">
        <v>49</v>
      </c>
      <c r="T79" s="1">
        <v>0</v>
      </c>
      <c r="U79" s="1">
        <f>Games[[#This Row],[PointsFor]]-Games[[#This Row],[PointsAgainst]]</f>
        <v>12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0.44982933805671454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75.25</v>
      </c>
      <c r="Z79" s="4">
        <f>Games[[#This Row],[K]]*Games[[#This Row],[POMult]]</f>
        <v>75.25</v>
      </c>
      <c r="AA79" s="4">
        <f>(Games[[#This Row],[Keff]]*Games[[#This Row],[MOVMult]])*(Games[[#This Row],[Result]]-Games[[#This Row],[ExpectedWin%]])</f>
        <v>10.753048268876583</v>
      </c>
      <c r="AB79" s="4">
        <f>Games[[#This Row],[PreGmRate]]+Games[[#This Row],[RatingChange]]</f>
        <v>1478.6728021703268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36687</v>
      </c>
      <c r="B80" s="2">
        <v>2000</v>
      </c>
      <c r="C80" s="2">
        <f>COUNTIFS(Games[Team],Games[[#This Row],[Team]],Games[Season],Games[[#This Row],[Season]],Games[Date],"&lt;=" &amp; Games[[#This Row],[Date]])</f>
        <v>7</v>
      </c>
      <c r="D80" s="2" t="s">
        <v>23</v>
      </c>
      <c r="E80" s="2" t="s">
        <v>29</v>
      </c>
      <c r="F80" s="1" t="s">
        <v>66</v>
      </c>
      <c r="G80" s="1" t="s">
        <v>85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1483.2138963207747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1502.510702721298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0.3555745491514774</v>
      </c>
      <c r="R80" s="1">
        <v>70</v>
      </c>
      <c r="S80" s="1">
        <v>62</v>
      </c>
      <c r="T80" s="1">
        <v>0</v>
      </c>
      <c r="U80" s="1">
        <f>Games[[#This Row],[PointsFor]]-Games[[#This Row],[PointsAgainst]]</f>
        <v>8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0.38216998482856568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18.458690854805415</v>
      </c>
      <c r="AB80" s="4">
        <f>Games[[#This Row],[PreGmRate]]+Games[[#This Row],[RatingChange]]</f>
        <v>1501.67258717558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36687</v>
      </c>
      <c r="B81" s="2">
        <v>2000</v>
      </c>
      <c r="C81" s="2">
        <f>COUNTIFS(Games[Team],Games[[#This Row],[Team]],Games[Season],Games[[#This Row],[Season]],Games[Date],"&lt;=" &amp; Games[[#This Row],[Date]])</f>
        <v>5</v>
      </c>
      <c r="D81" s="2" t="s">
        <v>23</v>
      </c>
      <c r="E81" s="2" t="s">
        <v>29</v>
      </c>
      <c r="F81" s="1" t="s">
        <v>85</v>
      </c>
      <c r="G81" s="1" t="s">
        <v>66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1502.510702721298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1483.2138963207747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0.64442545084852254</v>
      </c>
      <c r="R81" s="1">
        <v>62</v>
      </c>
      <c r="S81" s="1">
        <v>70</v>
      </c>
      <c r="T81" s="1">
        <v>0</v>
      </c>
      <c r="U81" s="1">
        <f>Games[[#This Row],[PointsFor]]-Games[[#This Row],[PointsAgainst]]</f>
        <v>-8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0.38216998482856568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75.25</v>
      </c>
      <c r="Z81" s="4">
        <f>Games[[#This Row],[K]]*Games[[#This Row],[POMult]]</f>
        <v>75.25</v>
      </c>
      <c r="AA81" s="4">
        <f>(Games[[#This Row],[Keff]]*Games[[#This Row],[MOVMult]])*(Games[[#This Row],[Result]]-Games[[#This Row],[ExpectedWin%]])</f>
        <v>-18.532574874237589</v>
      </c>
      <c r="AB81" s="4">
        <f>Games[[#This Row],[PreGmRate]]+Games[[#This Row],[RatingChange]]</f>
        <v>1483.9781278470605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36687</v>
      </c>
      <c r="B82" s="2">
        <v>2000</v>
      </c>
      <c r="C82" s="2">
        <f>COUNTIFS(Games[Team],Games[[#This Row],[Team]],Games[Season],Games[[#This Row],[Season]],Games[Date],"&lt;=" &amp; Games[[#This Row],[Date]])</f>
        <v>5</v>
      </c>
      <c r="D82" s="2" t="s">
        <v>23</v>
      </c>
      <c r="E82" s="2" t="s">
        <v>29</v>
      </c>
      <c r="F82" s="1" t="s">
        <v>44</v>
      </c>
      <c r="G82" s="1" t="s">
        <v>71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1551.0693173756945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1572.6692806000801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0.331815407961977</v>
      </c>
      <c r="R82" s="1">
        <v>57</v>
      </c>
      <c r="S82" s="1">
        <v>76</v>
      </c>
      <c r="T82" s="1">
        <v>0</v>
      </c>
      <c r="U82" s="1">
        <f>Games[[#This Row],[PointsFor]]-Games[[#This Row],[PointsAgainst]]</f>
        <v>-19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0.55105853596368359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75.25</v>
      </c>
      <c r="Z82" s="4">
        <f>Games[[#This Row],[K]]*Games[[#This Row],[POMult]]</f>
        <v>75.25</v>
      </c>
      <c r="AA82" s="4">
        <f>(Games[[#This Row],[Keff]]*Games[[#This Row],[MOVMult]])*(Games[[#This Row],[Result]]-Games[[#This Row],[ExpectedWin%]])</f>
        <v>-13.759440897359388</v>
      </c>
      <c r="AB82" s="4">
        <f>Games[[#This Row],[PreGmRate]]+Games[[#This Row],[RatingChange]]</f>
        <v>1537.3098764783351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36687</v>
      </c>
      <c r="B83" s="2">
        <v>2000</v>
      </c>
      <c r="C83" s="2">
        <f>COUNTIFS(Games[Team],Games[[#This Row],[Team]],Games[Season],Games[[#This Row],[Season]],Games[Date],"&lt;=" &amp; Games[[#This Row],[Date]])</f>
        <v>4</v>
      </c>
      <c r="D83" s="2" t="s">
        <v>23</v>
      </c>
      <c r="E83" s="2" t="s">
        <v>29</v>
      </c>
      <c r="F83" s="1" t="s">
        <v>71</v>
      </c>
      <c r="G83" s="1" t="s">
        <v>44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1572.6692806000801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1551.0693173756945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0.66818459203802294</v>
      </c>
      <c r="R83" s="1">
        <v>76</v>
      </c>
      <c r="S83" s="1">
        <v>57</v>
      </c>
      <c r="T83" s="1">
        <v>0</v>
      </c>
      <c r="U83" s="1">
        <f>Games[[#This Row],[PointsFor]]-Games[[#This Row],[PointsAgainst]]</f>
        <v>19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0.55105853596368359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75.400000000000006</v>
      </c>
      <c r="Z83" s="4">
        <f>Games[[#This Row],[K]]*Games[[#This Row],[POMult]]</f>
        <v>75.400000000000006</v>
      </c>
      <c r="AA83" s="4">
        <f>(Games[[#This Row],[Keff]]*Games[[#This Row],[MOVMult]])*(Games[[#This Row],[Result]]-Games[[#This Row],[ExpectedWin%]])</f>
        <v>13.786868354297651</v>
      </c>
      <c r="AB83" s="4">
        <f>Games[[#This Row],[PreGmRate]]+Games[[#This Row],[RatingChange]]</f>
        <v>1586.4561489543778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36687</v>
      </c>
      <c r="B84" s="2">
        <v>2000</v>
      </c>
      <c r="C84" s="2">
        <f>COUNTIFS(Games[Team],Games[[#This Row],[Team]],Games[Season],Games[[#This Row],[Season]],Games[Date],"&lt;=" &amp; Games[[#This Row],[Date]])</f>
        <v>6</v>
      </c>
      <c r="D84" s="2" t="s">
        <v>23</v>
      </c>
      <c r="E84" s="2" t="s">
        <v>29</v>
      </c>
      <c r="F84" s="1" t="s">
        <v>80</v>
      </c>
      <c r="G84" s="1" t="s">
        <v>83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1506.1324347681621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1455.8523768494019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0.45162489600424904</v>
      </c>
      <c r="R84" s="1">
        <v>66</v>
      </c>
      <c r="S84" s="1">
        <v>55</v>
      </c>
      <c r="T84" s="1">
        <v>0</v>
      </c>
      <c r="U84" s="1">
        <f>Games[[#This Row],[PointsFor]]-Games[[#This Row],[PointsAgainst]]</f>
        <v>11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0.42214795074613026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75.099999999999994</v>
      </c>
      <c r="Z84" s="4">
        <f>Games[[#This Row],[K]]*Games[[#This Row],[POMult]]</f>
        <v>75.099999999999994</v>
      </c>
      <c r="AA84" s="4">
        <f>(Games[[#This Row],[Keff]]*Games[[#This Row],[MOVMult]])*(Games[[#This Row],[Result]]-Games[[#This Row],[ExpectedWin%]])</f>
        <v>17.385306522039375</v>
      </c>
      <c r="AB84" s="4">
        <f>Games[[#This Row],[PreGmRate]]+Games[[#This Row],[RatingChange]]</f>
        <v>1523.5177412902015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36687</v>
      </c>
      <c r="B85" s="2">
        <v>2000</v>
      </c>
      <c r="C85" s="2">
        <f>COUNTIFS(Games[Team],Games[[#This Row],[Team]],Games[Season],Games[[#This Row],[Season]],Games[Date],"&lt;=" &amp; Games[[#This Row],[Date]])</f>
        <v>5</v>
      </c>
      <c r="D85" s="2" t="s">
        <v>23</v>
      </c>
      <c r="E85" s="2" t="s">
        <v>29</v>
      </c>
      <c r="F85" s="1" t="s">
        <v>83</v>
      </c>
      <c r="G85" s="1" t="s">
        <v>80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1455.8523768494019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1506.1324347681621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0.54837510399575096</v>
      </c>
      <c r="R85" s="1">
        <v>55</v>
      </c>
      <c r="S85" s="1">
        <v>66</v>
      </c>
      <c r="T85" s="1">
        <v>0</v>
      </c>
      <c r="U85" s="1">
        <f>Games[[#This Row],[PointsFor]]-Games[[#This Row],[PointsAgainst]]</f>
        <v>-11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0.42214795074613026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75.25</v>
      </c>
      <c r="Z85" s="4">
        <f>Games[[#This Row],[K]]*Games[[#This Row],[POMult]]</f>
        <v>75.25</v>
      </c>
      <c r="AA85" s="4">
        <f>(Games[[#This Row],[Keff]]*Games[[#This Row],[MOVMult]])*(Games[[#This Row],[Result]]-Games[[#This Row],[ExpectedWin%]])</f>
        <v>-17.420030835998176</v>
      </c>
      <c r="AB85" s="4">
        <f>Games[[#This Row],[PreGmRate]]+Games[[#This Row],[RatingChange]]</f>
        <v>1438.4323460134037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36687</v>
      </c>
      <c r="B86" s="2">
        <v>2000</v>
      </c>
      <c r="C86" s="2">
        <f>COUNTIFS(Games[Team],Games[[#This Row],[Team]],Games[Season],Games[[#This Row],[Season]],Games[Date],"&lt;=" &amp; Games[[#This Row],[Date]])</f>
        <v>7</v>
      </c>
      <c r="D86" s="2" t="s">
        <v>23</v>
      </c>
      <c r="E86" s="2" t="s">
        <v>29</v>
      </c>
      <c r="F86" s="1" t="s">
        <v>2</v>
      </c>
      <c r="G86" s="1" t="s">
        <v>43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1</v>
      </c>
      <c r="L86" s="2">
        <f>Games[[#This Row],[OppDaysOff]]-Games[[#This Row],[DaysOff]]</f>
        <v>-1</v>
      </c>
      <c r="M86" s="1">
        <f>MAX(-16, MIN(16, Games[[#This Row],[RestDiff]]*8))</f>
        <v>8</v>
      </c>
      <c r="N86" s="1">
        <f>MAX(-16, MIN(16, Games[[#This Row],[OppRestDiff]]*8))</f>
        <v>-8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1644.8782935985637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1519.1447674048386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0.58232884266282503</v>
      </c>
      <c r="R86" s="1">
        <v>73</v>
      </c>
      <c r="S86" s="1">
        <v>71</v>
      </c>
      <c r="T86" s="1">
        <v>0</v>
      </c>
      <c r="U86" s="1">
        <f>Games[[#This Row],[PointsFor]]-Games[[#This Row],[PointsAgainst]]</f>
        <v>2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0.24243905628184087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7.5894221015116248</v>
      </c>
      <c r="AB86" s="4">
        <f>Games[[#This Row],[PreGmRate]]+Games[[#This Row],[RatingChange]]</f>
        <v>1652.4677157000754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36687</v>
      </c>
      <c r="B87" s="2">
        <v>2000</v>
      </c>
      <c r="C87" s="2">
        <f>COUNTIFS(Games[Team],Games[[#This Row],[Team]],Games[Season],Games[[#This Row],[Season]],Games[Date],"&lt;=" &amp; Games[[#This Row],[Date]])</f>
        <v>6</v>
      </c>
      <c r="D87" s="2" t="s">
        <v>23</v>
      </c>
      <c r="E87" s="2" t="s">
        <v>29</v>
      </c>
      <c r="F87" s="1" t="s">
        <v>43</v>
      </c>
      <c r="G87" s="1" t="s">
        <v>2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-1</v>
      </c>
      <c r="L87" s="2">
        <f>Games[[#This Row],[OppDaysOff]]-Games[[#This Row],[DaysOff]]</f>
        <v>1</v>
      </c>
      <c r="M87" s="1">
        <f>MAX(-16, MIN(16, Games[[#This Row],[RestDiff]]*8))</f>
        <v>-8</v>
      </c>
      <c r="N87" s="1">
        <f>MAX(-16, MIN(16, Games[[#This Row],[OppRestDiff]]*8))</f>
        <v>8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1519.1447674048386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1644.8782935985637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0.41767115733717491</v>
      </c>
      <c r="R87" s="1">
        <v>71</v>
      </c>
      <c r="S87" s="1">
        <v>73</v>
      </c>
      <c r="T87" s="1">
        <v>0</v>
      </c>
      <c r="U87" s="1">
        <f>Games[[#This Row],[PointsFor]]-Games[[#This Row],[PointsAgainst]]</f>
        <v>-2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0.24243905628184087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75.099999999999994</v>
      </c>
      <c r="Z87" s="4">
        <f>Games[[#This Row],[K]]*Games[[#This Row],[POMult]]</f>
        <v>75.099999999999994</v>
      </c>
      <c r="AA87" s="4">
        <f>(Games[[#This Row],[Keff]]*Games[[#This Row],[MOVMult]])*(Games[[#This Row],[Result]]-Games[[#This Row],[ExpectedWin%]])</f>
        <v>-7.6046110716947677</v>
      </c>
      <c r="AB87" s="4">
        <f>Games[[#This Row],[PreGmRate]]+Games[[#This Row],[RatingChange]]</f>
        <v>1511.5401563331438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36688</v>
      </c>
      <c r="B88" s="2">
        <v>2000</v>
      </c>
      <c r="C88" s="2">
        <f>COUNTIFS(Games[Team],Games[[#This Row],[Team]],Games[Season],Games[[#This Row],[Season]],Games[Date],"&lt;=" &amp; Games[[#This Row],[Date]])</f>
        <v>5</v>
      </c>
      <c r="D88" s="2" t="s">
        <v>23</v>
      </c>
      <c r="E88" s="2" t="s">
        <v>29</v>
      </c>
      <c r="F88" s="1" t="s">
        <v>71</v>
      </c>
      <c r="G88" s="1" t="s">
        <v>45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-1</v>
      </c>
      <c r="L88" s="2">
        <f>Games[[#This Row],[OppDaysOff]]-Games[[#This Row],[DaysOff]]</f>
        <v>1</v>
      </c>
      <c r="M88" s="1">
        <f>MAX(-16, MIN(16, Games[[#This Row],[RestDiff]]*8))</f>
        <v>-8</v>
      </c>
      <c r="N88" s="1">
        <f>MAX(-16, MIN(16, Games[[#This Row],[OppRestDiff]]*8))</f>
        <v>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1586.4561489543778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1530.605436389151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0.43680385064072497</v>
      </c>
      <c r="R88" s="1">
        <v>68</v>
      </c>
      <c r="S88" s="1">
        <v>75</v>
      </c>
      <c r="T88" s="1">
        <v>0</v>
      </c>
      <c r="U88" s="1">
        <f>Games[[#This Row],[PointsFor]]-Games[[#This Row],[PointsAgainst]]</f>
        <v>-7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0.35364761316048282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75.25</v>
      </c>
      <c r="Z88" s="4">
        <f>Games[[#This Row],[K]]*Games[[#This Row],[POMult]]</f>
        <v>75.25</v>
      </c>
      <c r="AA88" s="4">
        <f>(Games[[#This Row],[Keff]]*Games[[#This Row],[MOVMult]])*(Games[[#This Row],[Result]]-Games[[#This Row],[ExpectedWin%]])</f>
        <v>-11.624216599679631</v>
      </c>
      <c r="AB88" s="4">
        <f>Games[[#This Row],[PreGmRate]]+Games[[#This Row],[RatingChange]]</f>
        <v>1574.8319323546982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36688</v>
      </c>
      <c r="B89" s="2">
        <v>2000</v>
      </c>
      <c r="C89" s="2">
        <f>COUNTIFS(Games[Team],Games[[#This Row],[Team]],Games[Season],Games[[#This Row],[Season]],Games[Date],"&lt;=" &amp; Games[[#This Row],[Date]])</f>
        <v>6</v>
      </c>
      <c r="D89" s="2" t="s">
        <v>23</v>
      </c>
      <c r="E89" s="2" t="s">
        <v>29</v>
      </c>
      <c r="F89" s="1" t="s">
        <v>45</v>
      </c>
      <c r="G89" s="1" t="s">
        <v>71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9" s="2">
        <f>Games[[#This Row],[DaysOff]]-Games[[#This Row],[OppDaysOff]]</f>
        <v>1</v>
      </c>
      <c r="L89" s="2">
        <f>Games[[#This Row],[OppDaysOff]]-Games[[#This Row],[DaysOff]]</f>
        <v>-1</v>
      </c>
      <c r="M89" s="1">
        <f>MAX(-16, MIN(16, Games[[#This Row],[RestDiff]]*8))</f>
        <v>8</v>
      </c>
      <c r="N89" s="1">
        <f>MAX(-16, MIN(16, Games[[#This Row],[OppRestDiff]]*8))</f>
        <v>-8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1530.605436389151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1586.4561489543778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0.56319614935927509</v>
      </c>
      <c r="R89" s="1">
        <v>75</v>
      </c>
      <c r="S89" s="1">
        <v>68</v>
      </c>
      <c r="T89" s="1">
        <v>0</v>
      </c>
      <c r="U89" s="1">
        <f>Games[[#This Row],[PointsFor]]-Games[[#This Row],[PointsAgainst]]</f>
        <v>7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0.35364761316048282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75.099999999999994</v>
      </c>
      <c r="Z89" s="4">
        <f>Games[[#This Row],[K]]*Games[[#This Row],[POMult]]</f>
        <v>75.099999999999994</v>
      </c>
      <c r="AA89" s="4">
        <f>(Games[[#This Row],[Keff]]*Games[[#This Row],[MOVMult]])*(Games[[#This Row],[Result]]-Games[[#This Row],[ExpectedWin%]])</f>
        <v>11.601045403799869</v>
      </c>
      <c r="AB89" s="4">
        <f>Games[[#This Row],[PreGmRate]]+Games[[#This Row],[RatingChange]]</f>
        <v>1542.2064817929509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36689</v>
      </c>
      <c r="B90" s="2">
        <v>2000</v>
      </c>
      <c r="C90" s="2">
        <f>COUNTIFS(Games[Team],Games[[#This Row],[Team]],Games[Season],Games[[#This Row],[Season]],Games[Date],"&lt;=" &amp; Games[[#This Row],[Date]])</f>
        <v>6</v>
      </c>
      <c r="D90" s="2" t="s">
        <v>23</v>
      </c>
      <c r="E90" s="2" t="s">
        <v>29</v>
      </c>
      <c r="F90" s="1" t="s">
        <v>64</v>
      </c>
      <c r="G90" s="1" t="s">
        <v>77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1412.4472273503152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1472.8906511130501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0.28422766593847582</v>
      </c>
      <c r="R90" s="1">
        <v>78</v>
      </c>
      <c r="S90" s="1">
        <v>67</v>
      </c>
      <c r="T90" s="1">
        <v>0</v>
      </c>
      <c r="U90" s="1">
        <f>Games[[#This Row],[PointsFor]]-Games[[#This Row],[PointsAgainst]]</f>
        <v>11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0.41874403432843882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75.099999999999994</v>
      </c>
      <c r="Z90" s="4">
        <f>Games[[#This Row],[K]]*Games[[#This Row],[POMult]]</f>
        <v>75.099999999999994</v>
      </c>
      <c r="AA90" s="4">
        <f>(Games[[#This Row],[Keff]]*Games[[#This Row],[MOVMult]])*(Games[[#This Row],[Result]]-Games[[#This Row],[ExpectedWin%]])</f>
        <v>22.509377151402983</v>
      </c>
      <c r="AB90" s="4">
        <f>Games[[#This Row],[PreGmRate]]+Games[[#This Row],[RatingChange]]</f>
        <v>1434.9566045017182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36689</v>
      </c>
      <c r="B91" s="2">
        <v>2000</v>
      </c>
      <c r="C91" s="2">
        <f>COUNTIFS(Games[Team],Games[[#This Row],[Team]],Games[Season],Games[[#This Row],[Season]],Games[Date],"&lt;=" &amp; Games[[#This Row],[Date]])</f>
        <v>5</v>
      </c>
      <c r="D91" s="2" t="s">
        <v>23</v>
      </c>
      <c r="E91" s="2" t="s">
        <v>29</v>
      </c>
      <c r="F91" s="1" t="s">
        <v>77</v>
      </c>
      <c r="G91" s="1" t="s">
        <v>64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1472.8906511130501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1412.4472273503152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0.71577233406152418</v>
      </c>
      <c r="R91" s="1">
        <v>67</v>
      </c>
      <c r="S91" s="1">
        <v>78</v>
      </c>
      <c r="T91" s="1">
        <v>0</v>
      </c>
      <c r="U91" s="1">
        <f>Games[[#This Row],[PointsFor]]-Games[[#This Row],[PointsAgainst]]</f>
        <v>-11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0.41874403432843882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75.25</v>
      </c>
      <c r="Z91" s="4">
        <f>Games[[#This Row],[K]]*Games[[#This Row],[POMult]]</f>
        <v>75.25</v>
      </c>
      <c r="AA91" s="4">
        <f>(Games[[#This Row],[Keff]]*Games[[#This Row],[MOVMult]])*(Games[[#This Row],[Result]]-Games[[#This Row],[ExpectedWin%]])</f>
        <v>-22.554335960626826</v>
      </c>
      <c r="AB91" s="4">
        <f>Games[[#This Row],[PreGmRate]]+Games[[#This Row],[RatingChange]]</f>
        <v>1450.3363151524234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36689</v>
      </c>
      <c r="B92" s="2">
        <v>2000</v>
      </c>
      <c r="C92" s="2">
        <f>COUNTIFS(Games[Team],Games[[#This Row],[Team]],Games[Season],Games[[#This Row],[Season]],Games[Date],"&lt;=" &amp; Games[[#This Row],[Date]])</f>
        <v>7</v>
      </c>
      <c r="D92" s="2" t="s">
        <v>23</v>
      </c>
      <c r="E92" s="2" t="s">
        <v>29</v>
      </c>
      <c r="F92" s="1" t="s">
        <v>43</v>
      </c>
      <c r="G92" s="1" t="s">
        <v>2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1511.5401563331438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1652.4677157000754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0.21504364449024155</v>
      </c>
      <c r="R92" s="1">
        <v>85</v>
      </c>
      <c r="S92" s="1">
        <v>107</v>
      </c>
      <c r="T92" s="1">
        <v>0</v>
      </c>
      <c r="U92" s="1">
        <f>Games[[#This Row],[PointsFor]]-Games[[#This Row],[PointsAgainst]]</f>
        <v>-22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0.53878183093298004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-8.6838275577460422</v>
      </c>
      <c r="AB92" s="4">
        <f>Games[[#This Row],[PreGmRate]]+Games[[#This Row],[RatingChange]]</f>
        <v>1502.8563287753977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36689</v>
      </c>
      <c r="B93" s="2">
        <v>2000</v>
      </c>
      <c r="C93" s="2">
        <f>COUNTIFS(Games[Team],Games[[#This Row],[Team]],Games[Season],Games[[#This Row],[Season]],Games[Date],"&lt;=" &amp; Games[[#This Row],[Date]])</f>
        <v>8</v>
      </c>
      <c r="D93" s="2" t="s">
        <v>23</v>
      </c>
      <c r="E93" s="2" t="s">
        <v>29</v>
      </c>
      <c r="F93" s="1" t="s">
        <v>2</v>
      </c>
      <c r="G93" s="1" t="s">
        <v>43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1652.4677157000754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1511.5401563331438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0.7849563555097584</v>
      </c>
      <c r="R93" s="1">
        <v>107</v>
      </c>
      <c r="S93" s="1">
        <v>85</v>
      </c>
      <c r="T93" s="1">
        <v>0</v>
      </c>
      <c r="U93" s="1">
        <f>Games[[#This Row],[PointsFor]]-Games[[#This Row],[PointsAgainst]]</f>
        <v>22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0.53878183093298004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8.666448316469701</v>
      </c>
      <c r="AB93" s="4">
        <f>Games[[#This Row],[PreGmRate]]+Games[[#This Row],[RatingChange]]</f>
        <v>1661.1341640165451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36689</v>
      </c>
      <c r="B94" s="2">
        <v>2000</v>
      </c>
      <c r="C94" s="2">
        <f>COUNTIFS(Games[Team],Games[[#This Row],[Team]],Games[Season],Games[[#This Row],[Season]],Games[Date],"&lt;=" &amp; Games[[#This Row],[Date]])</f>
        <v>6</v>
      </c>
      <c r="D94" s="2" t="s">
        <v>23</v>
      </c>
      <c r="E94" s="2" t="s">
        <v>29</v>
      </c>
      <c r="F94" s="1" t="s">
        <v>1</v>
      </c>
      <c r="G94" s="1" t="s">
        <v>85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1478.6728021703268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1483.9781278470605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0.37423691558568073</v>
      </c>
      <c r="R94" s="1">
        <v>83</v>
      </c>
      <c r="S94" s="1">
        <v>70</v>
      </c>
      <c r="T94" s="1">
        <v>0</v>
      </c>
      <c r="U94" s="1">
        <f>Games[[#This Row],[PointsFor]]-Games[[#This Row],[PointsAgainst]]</f>
        <v>13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0.46996598679998303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75.099999999999994</v>
      </c>
      <c r="Z94" s="4">
        <f>Games[[#This Row],[K]]*Games[[#This Row],[POMult]]</f>
        <v>75.099999999999994</v>
      </c>
      <c r="AA94" s="4">
        <f>(Games[[#This Row],[Keff]]*Games[[#This Row],[MOVMult]])*(Games[[#This Row],[Result]]-Games[[#This Row],[ExpectedWin%]])</f>
        <v>22.085961146780221</v>
      </c>
      <c r="AB94" s="4">
        <f>Games[[#This Row],[PreGmRate]]+Games[[#This Row],[RatingChange]]</f>
        <v>1500.758763317107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36689</v>
      </c>
      <c r="B95" s="2">
        <v>2000</v>
      </c>
      <c r="C95" s="2">
        <f>COUNTIFS(Games[Team],Games[[#This Row],[Team]],Games[Season],Games[[#This Row],[Season]],Games[Date],"&lt;=" &amp; Games[[#This Row],[Date]])</f>
        <v>6</v>
      </c>
      <c r="D95" s="2" t="s">
        <v>23</v>
      </c>
      <c r="E95" s="2" t="s">
        <v>29</v>
      </c>
      <c r="F95" s="1" t="s">
        <v>85</v>
      </c>
      <c r="G95" s="1" t="s">
        <v>1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1483.9781278470605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1478.6728021703268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0.62576308441431927</v>
      </c>
      <c r="R95" s="1">
        <v>70</v>
      </c>
      <c r="S95" s="1">
        <v>83</v>
      </c>
      <c r="T95" s="1">
        <v>0</v>
      </c>
      <c r="U95" s="1">
        <f>Games[[#This Row],[PointsFor]]-Games[[#This Row],[PointsAgainst]]</f>
        <v>-13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0.46996598679998303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75.099999999999994</v>
      </c>
      <c r="Z95" s="4">
        <f>Games[[#This Row],[K]]*Games[[#This Row],[POMult]]</f>
        <v>75.099999999999994</v>
      </c>
      <c r="AA95" s="4">
        <f>(Games[[#This Row],[Keff]]*Games[[#This Row],[MOVMult]])*(Games[[#This Row],[Result]]-Games[[#This Row],[ExpectedWin%]])</f>
        <v>-22.085961146780221</v>
      </c>
      <c r="AB95" s="4">
        <f>Games[[#This Row],[PreGmRate]]+Games[[#This Row],[RatingChange]]</f>
        <v>1461.8921667002803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36690</v>
      </c>
      <c r="B96" s="2">
        <v>2000</v>
      </c>
      <c r="C96" s="2">
        <f>COUNTIFS(Games[Team],Games[[#This Row],[Team]],Games[Season],Games[[#This Row],[Season]],Games[Date],"&lt;=" &amp; Games[[#This Row],[Date]])</f>
        <v>6</v>
      </c>
      <c r="D96" s="2" t="s">
        <v>23</v>
      </c>
      <c r="E96" s="2" t="s">
        <v>29</v>
      </c>
      <c r="F96" s="1" t="s">
        <v>77</v>
      </c>
      <c r="G96" s="1" t="s">
        <v>83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6" s="2">
        <f>Games[[#This Row],[DaysOff]]-Games[[#This Row],[OppDaysOff]]</f>
        <v>-2</v>
      </c>
      <c r="L96" s="2">
        <f>Games[[#This Row],[OppDaysOff]]-Games[[#This Row],[DaysOff]]</f>
        <v>2</v>
      </c>
      <c r="M96" s="1">
        <f>MAX(-16, MIN(16, Games[[#This Row],[RestDiff]]*8))</f>
        <v>-16</v>
      </c>
      <c r="N96" s="1">
        <f>MAX(-16, MIN(16, Games[[#This Row],[OppRestDiff]]*8))</f>
        <v>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1450.3363151524234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1438.4323460134037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0.35452103936088275</v>
      </c>
      <c r="R96" s="1">
        <v>61</v>
      </c>
      <c r="S96" s="1">
        <v>74</v>
      </c>
      <c r="T96" s="1">
        <v>0</v>
      </c>
      <c r="U96" s="1">
        <f>Games[[#This Row],[PointsFor]]-Games[[#This Row],[PointsAgainst]]</f>
        <v>-13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0.46740708934171527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75.099999999999994</v>
      </c>
      <c r="Z96" s="4">
        <f>Games[[#This Row],[K]]*Games[[#This Row],[POMult]]</f>
        <v>75.099999999999994</v>
      </c>
      <c r="AA96" s="4">
        <f>(Games[[#This Row],[Keff]]*Games[[#This Row],[MOVMult]])*(Games[[#This Row],[Result]]-Games[[#This Row],[ExpectedWin%]])</f>
        <v>-12.444494098567047</v>
      </c>
      <c r="AB96" s="4">
        <f>Games[[#This Row],[PreGmRate]]+Games[[#This Row],[RatingChange]]</f>
        <v>1437.8918210538563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36690</v>
      </c>
      <c r="B97" s="2">
        <v>2000</v>
      </c>
      <c r="C97" s="2">
        <f>COUNTIFS(Games[Team],Games[[#This Row],[Team]],Games[Season],Games[[#This Row],[Season]],Games[Date],"&lt;=" &amp; Games[[#This Row],[Date]])</f>
        <v>6</v>
      </c>
      <c r="D97" s="2" t="s">
        <v>23</v>
      </c>
      <c r="E97" s="2" t="s">
        <v>29</v>
      </c>
      <c r="F97" s="1" t="s">
        <v>83</v>
      </c>
      <c r="G97" s="1" t="s">
        <v>77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7" s="2">
        <f>Games[[#This Row],[DaysOff]]-Games[[#This Row],[OppDaysOff]]</f>
        <v>2</v>
      </c>
      <c r="L97" s="2">
        <f>Games[[#This Row],[OppDaysOff]]-Games[[#This Row],[DaysOff]]</f>
        <v>-2</v>
      </c>
      <c r="M97" s="1">
        <f>MAX(-16, MIN(16, Games[[#This Row],[RestDiff]]*8))</f>
        <v>16</v>
      </c>
      <c r="N97" s="1">
        <f>MAX(-16, MIN(16, Games[[#This Row],[OppRestDiff]]*8))</f>
        <v>-16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1438.4323460134037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1450.3363151524234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0.64547896063911714</v>
      </c>
      <c r="R97" s="1">
        <v>74</v>
      </c>
      <c r="S97" s="1">
        <v>61</v>
      </c>
      <c r="T97" s="1">
        <v>0</v>
      </c>
      <c r="U97" s="1">
        <f>Games[[#This Row],[PointsFor]]-Games[[#This Row],[PointsAgainst]]</f>
        <v>13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0.46740708934171527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75.099999999999994</v>
      </c>
      <c r="Z97" s="4">
        <f>Games[[#This Row],[K]]*Games[[#This Row],[POMult]]</f>
        <v>75.099999999999994</v>
      </c>
      <c r="AA97" s="4">
        <f>(Games[[#This Row],[Keff]]*Games[[#This Row],[MOVMult]])*(Games[[#This Row],[Result]]-Games[[#This Row],[ExpectedWin%]])</f>
        <v>12.444494098567052</v>
      </c>
      <c r="AB97" s="4">
        <f>Games[[#This Row],[PreGmRate]]+Games[[#This Row],[RatingChange]]</f>
        <v>1450.8768401119708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36690</v>
      </c>
      <c r="B98" s="2">
        <v>2000</v>
      </c>
      <c r="C98" s="2">
        <f>COUNTIFS(Games[Team],Games[[#This Row],[Team]],Games[Season],Games[[#This Row],[Season]],Games[Date],"&lt;=" &amp; Games[[#This Row],[Date]])</f>
        <v>6</v>
      </c>
      <c r="D98" s="2" t="s">
        <v>23</v>
      </c>
      <c r="E98" s="2" t="s">
        <v>29</v>
      </c>
      <c r="F98" s="1" t="s">
        <v>75</v>
      </c>
      <c r="G98" s="1" t="s">
        <v>66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4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8" s="2">
        <f>Games[[#This Row],[DaysOff]]-Games[[#This Row],[OppDaysOff]]</f>
        <v>2</v>
      </c>
      <c r="L98" s="2">
        <f>Games[[#This Row],[OppDaysOff]]-Games[[#This Row],[DaysOff]]</f>
        <v>-2</v>
      </c>
      <c r="M98" s="1">
        <f>MAX(-16, MIN(16, Games[[#This Row],[RestDiff]]*8))</f>
        <v>16</v>
      </c>
      <c r="N98" s="1">
        <f>MAX(-16, MIN(16, Games[[#This Row],[OppRestDiff]]*8))</f>
        <v>-16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1465.3089557010403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1501.67258717558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0.37550724768145899</v>
      </c>
      <c r="R98" s="1">
        <v>57</v>
      </c>
      <c r="S98" s="1">
        <v>56</v>
      </c>
      <c r="T98" s="1">
        <v>0</v>
      </c>
      <c r="U98" s="1">
        <f>Games[[#This Row],[PointsFor]]-Games[[#This Row],[PointsAgainst]]</f>
        <v>1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0.23699791687409089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75.099999999999994</v>
      </c>
      <c r="Z98" s="4">
        <f>Games[[#This Row],[K]]*Games[[#This Row],[POMult]]</f>
        <v>75.099999999999994</v>
      </c>
      <c r="AA98" s="4">
        <f>(Games[[#This Row],[Keff]]*Games[[#This Row],[MOVMult]])*(Games[[#This Row],[Result]]-Games[[#This Row],[ExpectedWin%]])</f>
        <v>11.115061453324881</v>
      </c>
      <c r="AB98" s="4">
        <f>Games[[#This Row],[PreGmRate]]+Games[[#This Row],[RatingChange]]</f>
        <v>1476.4240171543652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36690</v>
      </c>
      <c r="B99" s="2">
        <v>2000</v>
      </c>
      <c r="C99" s="2">
        <f>COUNTIFS(Games[Team],Games[[#This Row],[Team]],Games[Season],Games[[#This Row],[Season]],Games[Date],"&lt;=" &amp; Games[[#This Row],[Date]])</f>
        <v>8</v>
      </c>
      <c r="D99" s="2" t="s">
        <v>23</v>
      </c>
      <c r="E99" s="2" t="s">
        <v>29</v>
      </c>
      <c r="F99" s="1" t="s">
        <v>66</v>
      </c>
      <c r="G99" s="1" t="s">
        <v>75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9" s="2">
        <f>Games[[#This Row],[DaysOff]]-Games[[#This Row],[OppDaysOff]]</f>
        <v>-2</v>
      </c>
      <c r="L99" s="2">
        <f>Games[[#This Row],[OppDaysOff]]-Games[[#This Row],[DaysOff]]</f>
        <v>2</v>
      </c>
      <c r="M99" s="1">
        <f>MAX(-16, MIN(16, Games[[#This Row],[RestDiff]]*8))</f>
        <v>-16</v>
      </c>
      <c r="N99" s="1">
        <f>MAX(-16, MIN(16, Games[[#This Row],[OppRestDiff]]*8))</f>
        <v>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1501.67258717558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1465.3089557010403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0.62449275231854107</v>
      </c>
      <c r="R99" s="1">
        <v>56</v>
      </c>
      <c r="S99" s="1">
        <v>57</v>
      </c>
      <c r="T99" s="1">
        <v>0</v>
      </c>
      <c r="U99" s="1">
        <f>Games[[#This Row],[PointsFor]]-Games[[#This Row],[PointsAgainst]]</f>
        <v>-1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0.23699791687409089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-11.070660408904144</v>
      </c>
      <c r="AB99" s="4">
        <f>Games[[#This Row],[PreGmRate]]+Games[[#This Row],[RatingChange]]</f>
        <v>1490.6019267666759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36690</v>
      </c>
      <c r="B100" s="2">
        <v>2000</v>
      </c>
      <c r="C100" s="2">
        <f>COUNTIFS(Games[Team],Games[[#This Row],[Team]],Games[Season],Games[[#This Row],[Season]],Games[Date],"&lt;=" &amp; Games[[#This Row],[Date]])</f>
        <v>6</v>
      </c>
      <c r="D100" s="2" t="s">
        <v>23</v>
      </c>
      <c r="E100" s="2" t="s">
        <v>29</v>
      </c>
      <c r="F100" s="1" t="s">
        <v>44</v>
      </c>
      <c r="G100" s="1" t="s">
        <v>89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1537.3098764783351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1477.1374941303184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0.42034200203574612</v>
      </c>
      <c r="R100" s="1">
        <v>75</v>
      </c>
      <c r="S100" s="1">
        <v>69</v>
      </c>
      <c r="T100" s="1">
        <v>0</v>
      </c>
      <c r="U100" s="1">
        <f>Games[[#This Row],[PointsFor]]-Games[[#This Row],[PointsAgainst]]</f>
        <v>6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0.33450734138750221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75.099999999999994</v>
      </c>
      <c r="Z100" s="4">
        <f>Games[[#This Row],[K]]*Games[[#This Row],[POMult]]</f>
        <v>75.099999999999994</v>
      </c>
      <c r="AA100" s="4">
        <f>(Games[[#This Row],[Keff]]*Games[[#This Row],[MOVMult]])*(Games[[#This Row],[Result]]-Games[[#This Row],[ExpectedWin%]])</f>
        <v>14.561879171558157</v>
      </c>
      <c r="AB100" s="4">
        <f>Games[[#This Row],[PreGmRate]]+Games[[#This Row],[RatingChange]]</f>
        <v>1551.8717556498932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36690</v>
      </c>
      <c r="B101" s="2">
        <v>2000</v>
      </c>
      <c r="C101" s="2">
        <f>COUNTIFS(Games[Team],Games[[#This Row],[Team]],Games[Season],Games[[#This Row],[Season]],Games[Date],"&lt;=" &amp; Games[[#This Row],[Date]])</f>
        <v>5</v>
      </c>
      <c r="D101" s="2" t="s">
        <v>23</v>
      </c>
      <c r="E101" s="2" t="s">
        <v>29</v>
      </c>
      <c r="F101" s="1" t="s">
        <v>89</v>
      </c>
      <c r="G101" s="1" t="s">
        <v>44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1477.1374941303184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1537.3098764783351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0.57965799796425388</v>
      </c>
      <c r="R101" s="1">
        <v>69</v>
      </c>
      <c r="S101" s="1">
        <v>75</v>
      </c>
      <c r="T101" s="1">
        <v>0</v>
      </c>
      <c r="U101" s="1">
        <f>Games[[#This Row],[PointsFor]]-Games[[#This Row],[PointsAgainst]]</f>
        <v>-6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0.33450734138750221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75.25</v>
      </c>
      <c r="Z101" s="4">
        <f>Games[[#This Row],[K]]*Games[[#This Row],[POMult]]</f>
        <v>75.25</v>
      </c>
      <c r="AA101" s="4">
        <f>(Games[[#This Row],[Keff]]*Games[[#This Row],[MOVMult]])*(Games[[#This Row],[Result]]-Games[[#This Row],[ExpectedWin%]])</f>
        <v>-14.590964149930112</v>
      </c>
      <c r="AB101" s="4">
        <f>Games[[#This Row],[PreGmRate]]+Games[[#This Row],[RatingChange]]</f>
        <v>1462.5465299803882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36690</v>
      </c>
      <c r="B102" s="2">
        <v>2000</v>
      </c>
      <c r="C102" s="2">
        <f>COUNTIFS(Games[Team],Games[[#This Row],[Team]],Games[Season],Games[[#This Row],[Season]],Games[Date],"&lt;=" &amp; Games[[#This Row],[Date]])</f>
        <v>6</v>
      </c>
      <c r="D102" s="2" t="s">
        <v>23</v>
      </c>
      <c r="E102" s="2" t="s">
        <v>29</v>
      </c>
      <c r="F102" s="1" t="s">
        <v>71</v>
      </c>
      <c r="G102" s="1" t="s">
        <v>87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2" s="2">
        <f>Games[[#This Row],[DaysOff]]-Games[[#This Row],[OppDaysOff]]</f>
        <v>-1</v>
      </c>
      <c r="L102" s="2">
        <f>Games[[#This Row],[OppDaysOff]]-Games[[#This Row],[DaysOff]]</f>
        <v>1</v>
      </c>
      <c r="M102" s="1">
        <f>MAX(-16, MIN(16, Games[[#This Row],[RestDiff]]*8))</f>
        <v>-8</v>
      </c>
      <c r="N102" s="1">
        <f>MAX(-16, MIN(16, Games[[#This Row],[OppRestDiff]]*8))</f>
        <v>8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1574.8319323546982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1440.3814863246953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0.54941632972979504</v>
      </c>
      <c r="R102" s="1">
        <v>59</v>
      </c>
      <c r="S102" s="1">
        <v>69</v>
      </c>
      <c r="T102" s="1">
        <v>1</v>
      </c>
      <c r="U102" s="1">
        <f>Games[[#This Row],[PointsFor]]-Games[[#This Row],[PointsAgainst]]</f>
        <v>-10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0.34244814158396425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75.099999999999994</v>
      </c>
      <c r="Z102" s="4">
        <f>Games[[#This Row],[K]]*Games[[#This Row],[POMult]]</f>
        <v>75.099999999999994</v>
      </c>
      <c r="AA102" s="4">
        <f>(Games[[#This Row],[Keff]]*Games[[#This Row],[MOVMult]])*(Games[[#This Row],[Result]]-Games[[#This Row],[ExpectedWin%]])</f>
        <v>-14.129809740495997</v>
      </c>
      <c r="AB102" s="4">
        <f>Games[[#This Row],[PreGmRate]]+Games[[#This Row],[RatingChange]]</f>
        <v>1560.7021226142022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36690</v>
      </c>
      <c r="B103" s="2">
        <v>2000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87</v>
      </c>
      <c r="G103" s="1" t="s">
        <v>71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1</v>
      </c>
      <c r="L103" s="2">
        <f>Games[[#This Row],[OppDaysOff]]-Games[[#This Row],[DaysOff]]</f>
        <v>-1</v>
      </c>
      <c r="M103" s="1">
        <f>MAX(-16, MIN(16, Games[[#This Row],[RestDiff]]*8))</f>
        <v>8</v>
      </c>
      <c r="N103" s="1">
        <f>MAX(-16, MIN(16, Games[[#This Row],[OppRestDiff]]*8))</f>
        <v>-8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1440.3814863246953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1574.8319323546982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0.45058367027020502</v>
      </c>
      <c r="R103" s="1">
        <v>69</v>
      </c>
      <c r="S103" s="1">
        <v>59</v>
      </c>
      <c r="T103" s="1">
        <v>1</v>
      </c>
      <c r="U103" s="1">
        <f>Games[[#This Row],[PointsFor]]-Games[[#This Row],[PointsAgainst]]</f>
        <v>10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0.34244814158396425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14.101587750335218</v>
      </c>
      <c r="AB103" s="4">
        <f>Games[[#This Row],[PreGmRate]]+Games[[#This Row],[RatingChange]]</f>
        <v>1454.4830740750306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36690</v>
      </c>
      <c r="B104" s="2">
        <v>2000</v>
      </c>
      <c r="C104" s="2">
        <f>COUNTIFS(Games[Team],Games[[#This Row],[Team]],Games[Season],Games[[#This Row],[Season]],Games[Date],"&lt;=" &amp; Games[[#This Row],[Date]])</f>
        <v>8</v>
      </c>
      <c r="D104" s="2" t="s">
        <v>23</v>
      </c>
      <c r="E104" s="2" t="s">
        <v>29</v>
      </c>
      <c r="F104" s="1" t="s">
        <v>79</v>
      </c>
      <c r="G104" s="1" t="s">
        <v>43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4" s="2">
        <f>Games[[#This Row],[DaysOff]]-Games[[#This Row],[OppDaysOff]]</f>
        <v>2</v>
      </c>
      <c r="L104" s="2">
        <f>Games[[#This Row],[OppDaysOff]]-Games[[#This Row],[DaysOff]]</f>
        <v>-2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1486.7101570022885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1502.8563287753977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0.40316834169835325</v>
      </c>
      <c r="R104" s="1">
        <v>88</v>
      </c>
      <c r="S104" s="1">
        <v>80</v>
      </c>
      <c r="T104" s="1">
        <v>0</v>
      </c>
      <c r="U104" s="1">
        <f>Games[[#This Row],[PointsFor]]-Games[[#This Row],[PointsAgainst]]</f>
        <v>8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0.38316006152798388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74.8</v>
      </c>
      <c r="Z104" s="4">
        <f>Games[[#This Row],[K]]*Games[[#This Row],[POMult]]</f>
        <v>74.8</v>
      </c>
      <c r="AA104" s="4">
        <f>(Games[[#This Row],[Keff]]*Games[[#This Row],[MOVMult]])*(Games[[#This Row],[Result]]-Games[[#This Row],[ExpectedWin%]])</f>
        <v>17.105417707769728</v>
      </c>
      <c r="AB104" s="4">
        <f>Games[[#This Row],[PreGmRate]]+Games[[#This Row],[RatingChange]]</f>
        <v>1503.8155747100582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36690</v>
      </c>
      <c r="B105" s="2">
        <v>2000</v>
      </c>
      <c r="C105" s="2">
        <f>COUNTIFS(Games[Team],Games[[#This Row],[Team]],Games[Season],Games[[#This Row],[Season]],Games[Date],"&lt;=" &amp; Games[[#This Row],[Date]])</f>
        <v>8</v>
      </c>
      <c r="D105" s="2" t="s">
        <v>23</v>
      </c>
      <c r="E105" s="2" t="s">
        <v>29</v>
      </c>
      <c r="F105" s="1" t="s">
        <v>43</v>
      </c>
      <c r="G105" s="1" t="s">
        <v>79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5" s="2">
        <f>Games[[#This Row],[DaysOff]]-Games[[#This Row],[OppDaysOff]]</f>
        <v>-2</v>
      </c>
      <c r="L105" s="2">
        <f>Games[[#This Row],[OppDaysOff]]-Games[[#This Row],[DaysOff]]</f>
        <v>2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1502.8563287753977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1486.7101570022885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0.59683165830164675</v>
      </c>
      <c r="R105" s="1">
        <v>80</v>
      </c>
      <c r="S105" s="1">
        <v>88</v>
      </c>
      <c r="T105" s="1">
        <v>0</v>
      </c>
      <c r="U105" s="1">
        <f>Games[[#This Row],[PointsFor]]-Games[[#This Row],[PointsAgainst]]</f>
        <v>-8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0.38316006152798388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-17.105417707769728</v>
      </c>
      <c r="AB105" s="4">
        <f>Games[[#This Row],[PreGmRate]]+Games[[#This Row],[RatingChange]]</f>
        <v>1485.7509110676281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36691</v>
      </c>
      <c r="B106" s="2">
        <v>2000</v>
      </c>
      <c r="C106" s="2">
        <f>COUNTIFS(Games[Team],Games[[#This Row],[Team]],Games[Season],Games[[#This Row],[Season]],Games[Date],"&lt;=" &amp; Games[[#This Row],[Date]])</f>
        <v>6</v>
      </c>
      <c r="D106" s="2" t="s">
        <v>23</v>
      </c>
      <c r="E106" s="2" t="s">
        <v>29</v>
      </c>
      <c r="F106" s="1" t="s">
        <v>89</v>
      </c>
      <c r="G106" s="1" t="s">
        <v>44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1462.5465299803882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1551.8717556498932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0.26938595651378527</v>
      </c>
      <c r="R106" s="1">
        <v>80</v>
      </c>
      <c r="S106" s="1">
        <v>81</v>
      </c>
      <c r="T106" s="1">
        <v>1</v>
      </c>
      <c r="U106" s="1">
        <f>Games[[#This Row],[PointsFor]]-Games[[#This Row],[PointsAgainst]]</f>
        <v>-1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0.20453648109271941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75.099999999999994</v>
      </c>
      <c r="Z106" s="4">
        <f>Games[[#This Row],[K]]*Games[[#This Row],[POMult]]</f>
        <v>75.099999999999994</v>
      </c>
      <c r="AA106" s="4">
        <f>(Games[[#This Row],[Keff]]*Games[[#This Row],[MOVMult]])*(Games[[#This Row],[Result]]-Games[[#This Row],[ExpectedWin%]])</f>
        <v>-4.1379540956445604</v>
      </c>
      <c r="AB106" s="4">
        <f>Games[[#This Row],[PreGmRate]]+Games[[#This Row],[RatingChange]]</f>
        <v>1458.4085758847436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36691</v>
      </c>
      <c r="B107" s="2">
        <v>2000</v>
      </c>
      <c r="C107" s="2">
        <f>COUNTIFS(Games[Team],Games[[#This Row],[Team]],Games[Season],Games[[#This Row],[Season]],Games[Date],"&lt;=" &amp; Games[[#This Row],[Date]])</f>
        <v>7</v>
      </c>
      <c r="D107" s="2" t="s">
        <v>23</v>
      </c>
      <c r="E107" s="2" t="s">
        <v>29</v>
      </c>
      <c r="F107" s="1" t="s">
        <v>44</v>
      </c>
      <c r="G107" s="1" t="s">
        <v>89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1551.8717556498932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1462.5465299803882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0.73061404348621473</v>
      </c>
      <c r="R107" s="1">
        <v>81</v>
      </c>
      <c r="S107" s="1">
        <v>80</v>
      </c>
      <c r="T107" s="1">
        <v>1</v>
      </c>
      <c r="U107" s="1">
        <f>Games[[#This Row],[PointsFor]]-Games[[#This Row],[PointsAgainst]]</f>
        <v>1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0.20453648109271941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74.95</v>
      </c>
      <c r="Z107" s="4">
        <f>Games[[#This Row],[K]]*Games[[#This Row],[POMult]]</f>
        <v>74.95</v>
      </c>
      <c r="AA107" s="4">
        <f>(Games[[#This Row],[Keff]]*Games[[#This Row],[MOVMult]])*(Games[[#This Row],[Result]]-Games[[#This Row],[ExpectedWin%]])</f>
        <v>4.1296892073043923</v>
      </c>
      <c r="AB107" s="4">
        <f>Games[[#This Row],[PreGmRate]]+Games[[#This Row],[RatingChange]]</f>
        <v>1556.0014448571976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36692</v>
      </c>
      <c r="B108" s="2">
        <v>2000</v>
      </c>
      <c r="C108" s="2">
        <f>COUNTIFS(Games[Team],Games[[#This Row],[Team]],Games[Season],Games[[#This Row],[Season]],Games[Date],"&lt;=" &amp; Games[[#This Row],[Date]])</f>
        <v>7</v>
      </c>
      <c r="D108" s="2" t="s">
        <v>23</v>
      </c>
      <c r="E108" s="2" t="s">
        <v>29</v>
      </c>
      <c r="F108" s="1" t="s">
        <v>83</v>
      </c>
      <c r="G108" s="1" t="s">
        <v>2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8" s="2">
        <f>Games[[#This Row],[DaysOff]]-Games[[#This Row],[OppDaysOff]]</f>
        <v>-1</v>
      </c>
      <c r="L108" s="2">
        <f>Games[[#This Row],[OppDaysOff]]-Games[[#This Row],[DaysOff]]</f>
        <v>1</v>
      </c>
      <c r="M108" s="1">
        <f>MAX(-16, MIN(16, Games[[#This Row],[RestDiff]]*8))</f>
        <v>-8</v>
      </c>
      <c r="N108" s="1">
        <f>MAX(-16, MIN(16, Games[[#This Row],[OppRestDiff]]*8))</f>
        <v>8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1450.8768401119708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1661.1341640165451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0.14356571409180197</v>
      </c>
      <c r="R108" s="1">
        <v>53</v>
      </c>
      <c r="S108" s="1">
        <v>77</v>
      </c>
      <c r="T108" s="1">
        <v>0</v>
      </c>
      <c r="U108" s="1">
        <f>Games[[#This Row],[PointsFor]]-Games[[#This Row],[PointsAgainst]]</f>
        <v>-24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0.53473724585938875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74.95</v>
      </c>
      <c r="Z108" s="4">
        <f>Games[[#This Row],[K]]*Games[[#This Row],[POMult]]</f>
        <v>74.95</v>
      </c>
      <c r="AA108" s="4">
        <f>(Games[[#This Row],[Keff]]*Games[[#This Row],[MOVMult]])*(Games[[#This Row],[Result]]-Games[[#This Row],[ExpectedWin%]])</f>
        <v>-5.7539065947688322</v>
      </c>
      <c r="AB108" s="4">
        <f>Games[[#This Row],[PreGmRate]]+Games[[#This Row],[RatingChange]]</f>
        <v>1445.122933517202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36692</v>
      </c>
      <c r="B109" s="2">
        <v>2000</v>
      </c>
      <c r="C109" s="2">
        <f>COUNTIFS(Games[Team],Games[[#This Row],[Team]],Games[Season],Games[[#This Row],[Season]],Games[Date],"&lt;=" &amp; Games[[#This Row],[Date]])</f>
        <v>9</v>
      </c>
      <c r="D109" s="2" t="s">
        <v>23</v>
      </c>
      <c r="E109" s="2" t="s">
        <v>29</v>
      </c>
      <c r="F109" s="1" t="s">
        <v>2</v>
      </c>
      <c r="G109" s="1" t="s">
        <v>83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1</v>
      </c>
      <c r="L109" s="2">
        <f>Games[[#This Row],[OppDaysOff]]-Games[[#This Row],[DaysOff]]</f>
        <v>-1</v>
      </c>
      <c r="M109" s="1">
        <f>MAX(-16, MIN(16, Games[[#This Row],[RestDiff]]*8))</f>
        <v>8</v>
      </c>
      <c r="N109" s="1">
        <f>MAX(-16, MIN(16, Games[[#This Row],[OppRestDiff]]*8))</f>
        <v>-8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1661.1341640165451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1450.8768401119708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0.85643428590819803</v>
      </c>
      <c r="R109" s="1">
        <v>77</v>
      </c>
      <c r="S109" s="1">
        <v>53</v>
      </c>
      <c r="T109" s="1">
        <v>0</v>
      </c>
      <c r="U109" s="1">
        <f>Games[[#This Row],[PointsFor]]-Games[[#This Row],[PointsAgainst]]</f>
        <v>24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0.53473724585938875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5.730875614402847</v>
      </c>
      <c r="AB109" s="4">
        <f>Games[[#This Row],[PreGmRate]]+Games[[#This Row],[RatingChange]]</f>
        <v>1666.8650396309479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36692</v>
      </c>
      <c r="B110" s="2">
        <v>2000</v>
      </c>
      <c r="C110" s="2">
        <f>COUNTIFS(Games[Team],Games[[#This Row],[Team]],Games[Season],Games[[#This Row],[Season]],Games[Date],"&lt;=" &amp; Games[[#This Row],[Date]])</f>
        <v>9</v>
      </c>
      <c r="D110" s="2" t="s">
        <v>23</v>
      </c>
      <c r="E110" s="2" t="s">
        <v>29</v>
      </c>
      <c r="F110" s="1" t="s">
        <v>79</v>
      </c>
      <c r="G110" s="1" t="s">
        <v>80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0" s="2">
        <f>Games[[#This Row],[DaysOff]]-Games[[#This Row],[OppDaysOff]]</f>
        <v>-3</v>
      </c>
      <c r="L110" s="2">
        <f>Games[[#This Row],[OppDaysOff]]-Games[[#This Row],[DaysOff]]</f>
        <v>3</v>
      </c>
      <c r="M110" s="1">
        <f>MAX(-16, MIN(16, Games[[#This Row],[RestDiff]]*8))</f>
        <v>-16</v>
      </c>
      <c r="N110" s="1">
        <f>MAX(-16, MIN(16, Games[[#This Row],[OppRestDiff]]*8))</f>
        <v>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1503.8155747100582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1523.5177412902015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0.3140689715524852</v>
      </c>
      <c r="R110" s="1">
        <v>66</v>
      </c>
      <c r="S110" s="1">
        <v>72</v>
      </c>
      <c r="T110" s="1">
        <v>0</v>
      </c>
      <c r="U110" s="1">
        <f>Games[[#This Row],[PointsFor]]-Games[[#This Row],[PointsAgainst]]</f>
        <v>-6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0.34560643152017551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74.650000000000006</v>
      </c>
      <c r="Z110" s="4">
        <f>Games[[#This Row],[K]]*Games[[#This Row],[POMult]]</f>
        <v>74.650000000000006</v>
      </c>
      <c r="AA110" s="4">
        <f>(Games[[#This Row],[Keff]]*Games[[#This Row],[MOVMult]])*(Games[[#This Row],[Result]]-Games[[#This Row],[ExpectedWin%]])</f>
        <v>-8.1028287484316319</v>
      </c>
      <c r="AB110" s="4">
        <f>Games[[#This Row],[PreGmRate]]+Games[[#This Row],[RatingChange]]</f>
        <v>1495.7127459616265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36692</v>
      </c>
      <c r="B111" s="2">
        <v>2000</v>
      </c>
      <c r="C111" s="2">
        <f>COUNTIFS(Games[Team],Games[[#This Row],[Team]],Games[Season],Games[[#This Row],[Season]],Games[Date],"&lt;=" &amp; Games[[#This Row],[Date]])</f>
        <v>7</v>
      </c>
      <c r="D111" s="2" t="s">
        <v>23</v>
      </c>
      <c r="E111" s="2" t="s">
        <v>29</v>
      </c>
      <c r="F111" s="1" t="s">
        <v>80</v>
      </c>
      <c r="G111" s="1" t="s">
        <v>79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3</v>
      </c>
      <c r="L111" s="2">
        <f>Games[[#This Row],[OppDaysOff]]-Games[[#This Row],[DaysOff]]</f>
        <v>-3</v>
      </c>
      <c r="M111" s="1">
        <f>MAX(-16, MIN(16, Games[[#This Row],[RestDiff]]*8))</f>
        <v>16</v>
      </c>
      <c r="N111" s="1">
        <f>MAX(-16, MIN(16, Games[[#This Row],[OppRestDiff]]*8))</f>
        <v>-16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1523.5177412902015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1503.8155747100582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0.68593102844751486</v>
      </c>
      <c r="R111" s="1">
        <v>72</v>
      </c>
      <c r="S111" s="1">
        <v>66</v>
      </c>
      <c r="T111" s="1">
        <v>0</v>
      </c>
      <c r="U111" s="1">
        <f>Games[[#This Row],[PointsFor]]-Games[[#This Row],[PointsAgainst]]</f>
        <v>6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0.34560643152017551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74.95</v>
      </c>
      <c r="Z111" s="4">
        <f>Games[[#This Row],[K]]*Games[[#This Row],[POMult]]</f>
        <v>74.95</v>
      </c>
      <c r="AA111" s="4">
        <f>(Games[[#This Row],[Keff]]*Games[[#This Row],[MOVMult]])*(Games[[#This Row],[Result]]-Games[[#This Row],[ExpectedWin%]])</f>
        <v>8.1353920253844692</v>
      </c>
      <c r="AB111" s="4">
        <f>Games[[#This Row],[PreGmRate]]+Games[[#This Row],[RatingChange]]</f>
        <v>1531.6531333155858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36692</v>
      </c>
      <c r="B112" s="2">
        <v>2000</v>
      </c>
      <c r="C112" s="2">
        <f>COUNTIFS(Games[Team],Games[[#This Row],[Team]],Games[Season],Games[[#This Row],[Season]],Games[Date],"&lt;=" &amp; Games[[#This Row],[Date]])</f>
        <v>7</v>
      </c>
      <c r="D112" s="2" t="s">
        <v>23</v>
      </c>
      <c r="E112" s="2" t="s">
        <v>29</v>
      </c>
      <c r="F112" s="1" t="s">
        <v>45</v>
      </c>
      <c r="G112" s="1" t="s">
        <v>87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2</v>
      </c>
      <c r="L112" s="2">
        <f>Games[[#This Row],[OppDaysOff]]-Games[[#This Row],[DaysOff]]</f>
        <v>-2</v>
      </c>
      <c r="M112" s="1">
        <f>MAX(-16, MIN(16, Games[[#This Row],[RestDiff]]*8))</f>
        <v>16</v>
      </c>
      <c r="N112" s="1">
        <f>MAX(-16, MIN(16, Games[[#This Row],[OppRestDiff]]*8))</f>
        <v>-16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1542.2064817929509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1454.4830740750306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0.55122970991173326</v>
      </c>
      <c r="R112" s="1">
        <v>54</v>
      </c>
      <c r="S112" s="1">
        <v>50</v>
      </c>
      <c r="T112" s="1">
        <v>0</v>
      </c>
      <c r="U112" s="1">
        <f>Games[[#This Row],[PointsFor]]-Games[[#This Row],[PointsAgainst]]</f>
        <v>4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0.29021704478211952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74.95</v>
      </c>
      <c r="Z112" s="4">
        <f>Games[[#This Row],[K]]*Games[[#This Row],[POMult]]</f>
        <v>74.95</v>
      </c>
      <c r="AA112" s="4">
        <f>(Games[[#This Row],[Keff]]*Games[[#This Row],[MOVMult]])*(Games[[#This Row],[Result]]-Games[[#This Row],[ExpectedWin%]])</f>
        <v>9.7615470137885758</v>
      </c>
      <c r="AB112" s="4">
        <f>Games[[#This Row],[PreGmRate]]+Games[[#This Row],[RatingChange]]</f>
        <v>1551.9680288067395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36692</v>
      </c>
      <c r="B113" s="2">
        <v>2000</v>
      </c>
      <c r="C113" s="2">
        <f>COUNTIFS(Games[Team],Games[[#This Row],[Team]],Games[Season],Games[[#This Row],[Season]],Games[Date],"&lt;=" &amp; Games[[#This Row],[Date]])</f>
        <v>8</v>
      </c>
      <c r="D113" s="2" t="s">
        <v>23</v>
      </c>
      <c r="E113" s="2" t="s">
        <v>29</v>
      </c>
      <c r="F113" s="1" t="s">
        <v>87</v>
      </c>
      <c r="G113" s="1" t="s">
        <v>45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3" s="2">
        <f>Games[[#This Row],[DaysOff]]-Games[[#This Row],[OppDaysOff]]</f>
        <v>-2</v>
      </c>
      <c r="L113" s="2">
        <f>Games[[#This Row],[OppDaysOff]]-Games[[#This Row],[DaysOff]]</f>
        <v>2</v>
      </c>
      <c r="M113" s="1">
        <f>MAX(-16, MIN(16, Games[[#This Row],[RestDiff]]*8))</f>
        <v>-16</v>
      </c>
      <c r="N113" s="1">
        <f>MAX(-16, MIN(16, Games[[#This Row],[OppRestDiff]]*8))</f>
        <v>16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1454.4830740750306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1542.2064817929509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0.44877029008826669</v>
      </c>
      <c r="R113" s="1">
        <v>50</v>
      </c>
      <c r="S113" s="1">
        <v>54</v>
      </c>
      <c r="T113" s="1">
        <v>0</v>
      </c>
      <c r="U113" s="1">
        <f>Games[[#This Row],[PointsFor]]-Games[[#This Row],[PointsAgainst]]</f>
        <v>-4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0.29021704478211952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74.8</v>
      </c>
      <c r="Z113" s="4">
        <f>Games[[#This Row],[K]]*Games[[#This Row],[POMult]]</f>
        <v>74.8</v>
      </c>
      <c r="AA113" s="4">
        <f>(Games[[#This Row],[Keff]]*Games[[#This Row],[MOVMult]])*(Games[[#This Row],[Result]]-Games[[#This Row],[ExpectedWin%]])</f>
        <v>-9.7420108956822578</v>
      </c>
      <c r="AB113" s="4">
        <f>Games[[#This Row],[PreGmRate]]+Games[[#This Row],[RatingChange]]</f>
        <v>1444.7410631793482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36692</v>
      </c>
      <c r="B114" s="2">
        <v>2000</v>
      </c>
      <c r="C114" s="2">
        <f>COUNTIFS(Games[Team],Games[[#This Row],[Team]],Games[Season],Games[[#This Row],[Season]],Games[Date],"&lt;=" &amp; Games[[#This Row],[Date]])</f>
        <v>7</v>
      </c>
      <c r="D114" s="2" t="s">
        <v>23</v>
      </c>
      <c r="E114" s="2" t="s">
        <v>29</v>
      </c>
      <c r="F114" s="1" t="s">
        <v>64</v>
      </c>
      <c r="G114" s="1" t="s">
        <v>43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1</v>
      </c>
      <c r="L114" s="2">
        <f>Games[[#This Row],[OppDaysOff]]-Games[[#This Row],[DaysOff]]</f>
        <v>-1</v>
      </c>
      <c r="M114" s="1">
        <f>MAX(-16, MIN(16, Games[[#This Row],[RestDiff]]*8))</f>
        <v>8</v>
      </c>
      <c r="N114" s="1">
        <f>MAX(-16, MIN(16, Games[[#This Row],[OppRestDiff]]*8))</f>
        <v>-8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1434.9566045017182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1485.7509110676281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0.33540590882988902</v>
      </c>
      <c r="R114" s="1">
        <v>68</v>
      </c>
      <c r="S114" s="1">
        <v>96</v>
      </c>
      <c r="T114" s="1">
        <v>0</v>
      </c>
      <c r="U114" s="1">
        <f>Games[[#This Row],[PointsFor]]-Games[[#This Row],[PointsAgainst]]</f>
        <v>-28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0.65151207341408035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74.95</v>
      </c>
      <c r="Z114" s="4">
        <f>Games[[#This Row],[K]]*Games[[#This Row],[POMult]]</f>
        <v>74.95</v>
      </c>
      <c r="AA114" s="4">
        <f>(Games[[#This Row],[Keff]]*Games[[#This Row],[MOVMult]])*(Games[[#This Row],[Result]]-Games[[#This Row],[ExpectedWin%]])</f>
        <v>-16.37814888232727</v>
      </c>
      <c r="AB114" s="4">
        <f>Games[[#This Row],[PreGmRate]]+Games[[#This Row],[RatingChange]]</f>
        <v>1418.578455619391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36692</v>
      </c>
      <c r="B115" s="2">
        <v>2000</v>
      </c>
      <c r="C115" s="2">
        <f>COUNTIFS(Games[Team],Games[[#This Row],[Team]],Games[Season],Games[[#This Row],[Season]],Games[Date],"&lt;=" &amp; Games[[#This Row],[Date]])</f>
        <v>9</v>
      </c>
      <c r="D115" s="2" t="s">
        <v>23</v>
      </c>
      <c r="E115" s="2" t="s">
        <v>29</v>
      </c>
      <c r="F115" s="1" t="s">
        <v>43</v>
      </c>
      <c r="G115" s="1" t="s">
        <v>64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5" s="2">
        <f>Games[[#This Row],[DaysOff]]-Games[[#This Row],[OppDaysOff]]</f>
        <v>-1</v>
      </c>
      <c r="L115" s="2">
        <f>Games[[#This Row],[OppDaysOff]]-Games[[#This Row],[DaysOff]]</f>
        <v>1</v>
      </c>
      <c r="M115" s="1">
        <f>MAX(-16, MIN(16, Games[[#This Row],[RestDiff]]*8))</f>
        <v>-8</v>
      </c>
      <c r="N115" s="1">
        <f>MAX(-16, MIN(16, Games[[#This Row],[OppRestDiff]]*8))</f>
        <v>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1485.7509110676281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1434.9566045017182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0.66459409117011103</v>
      </c>
      <c r="R115" s="1">
        <v>96</v>
      </c>
      <c r="S115" s="1">
        <v>68</v>
      </c>
      <c r="T115" s="1">
        <v>0</v>
      </c>
      <c r="U115" s="1">
        <f>Games[[#This Row],[PointsFor]]-Games[[#This Row],[PointsAgainst]]</f>
        <v>28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0.65151207341408035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16.312592582598139</v>
      </c>
      <c r="AB115" s="4">
        <f>Games[[#This Row],[PreGmRate]]+Games[[#This Row],[RatingChange]]</f>
        <v>1502.0635036502263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36693</v>
      </c>
      <c r="B116" s="2">
        <v>2000</v>
      </c>
      <c r="C116" s="2">
        <f>COUNTIFS(Games[Team],Games[[#This Row],[Team]],Games[Season],Games[[#This Row],[Season]],Games[Date],"&lt;=" &amp; Games[[#This Row],[Date]])</f>
        <v>7</v>
      </c>
      <c r="D116" s="2" t="s">
        <v>23</v>
      </c>
      <c r="E116" s="2" t="s">
        <v>29</v>
      </c>
      <c r="F116" s="1" t="s">
        <v>77</v>
      </c>
      <c r="G116" s="1" t="s">
        <v>1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-1</v>
      </c>
      <c r="L116" s="2">
        <f>Games[[#This Row],[OppDaysOff]]-Games[[#This Row],[DaysOff]]</f>
        <v>1</v>
      </c>
      <c r="M116" s="1">
        <f>MAX(-16, MIN(16, Games[[#This Row],[RestDiff]]*8))</f>
        <v>-8</v>
      </c>
      <c r="N116" s="1">
        <f>MAX(-16, MIN(16, Games[[#This Row],[OppRestDiff]]*8))</f>
        <v>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1437.8918210538563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1500.758763317107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0.28139802771096584</v>
      </c>
      <c r="R116" s="1">
        <v>93</v>
      </c>
      <c r="S116" s="1">
        <v>81</v>
      </c>
      <c r="T116" s="1">
        <v>0</v>
      </c>
      <c r="U116" s="1">
        <f>Games[[#This Row],[PointsFor]]-Games[[#This Row],[PointsAgainst]]</f>
        <v>12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0.43342280439371106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74.95</v>
      </c>
      <c r="Z116" s="4">
        <f>Games[[#This Row],[K]]*Games[[#This Row],[POMult]]</f>
        <v>74.95</v>
      </c>
      <c r="AA116" s="4">
        <f>(Games[[#This Row],[Keff]]*Games[[#This Row],[MOVMult]])*(Games[[#This Row],[Result]]-Games[[#This Row],[ExpectedWin%]])</f>
        <v>23.343813231323761</v>
      </c>
      <c r="AB116" s="4">
        <f>Games[[#This Row],[PreGmRate]]+Games[[#This Row],[RatingChange]]</f>
        <v>1461.2356342851801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36693</v>
      </c>
      <c r="B117" s="2">
        <v>2000</v>
      </c>
      <c r="C117" s="2">
        <f>COUNTIFS(Games[Team],Games[[#This Row],[Team]],Games[Season],Games[[#This Row],[Season]],Games[Date],"&lt;=" &amp; Games[[#This Row],[Date]])</f>
        <v>7</v>
      </c>
      <c r="D117" s="2" t="s">
        <v>23</v>
      </c>
      <c r="E117" s="2" t="s">
        <v>29</v>
      </c>
      <c r="F117" s="1" t="s">
        <v>1</v>
      </c>
      <c r="G117" s="1" t="s">
        <v>77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7" s="2">
        <f>Games[[#This Row],[DaysOff]]-Games[[#This Row],[OppDaysOff]]</f>
        <v>1</v>
      </c>
      <c r="L117" s="2">
        <f>Games[[#This Row],[OppDaysOff]]-Games[[#This Row],[DaysOff]]</f>
        <v>-1</v>
      </c>
      <c r="M117" s="1">
        <f>MAX(-16, MIN(16, Games[[#This Row],[RestDiff]]*8))</f>
        <v>8</v>
      </c>
      <c r="N117" s="1">
        <f>MAX(-16, MIN(16, Games[[#This Row],[OppRestDiff]]*8))</f>
        <v>-8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1500.758763317107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1437.8918210538563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0.71860197228903411</v>
      </c>
      <c r="R117" s="1">
        <v>81</v>
      </c>
      <c r="S117" s="1">
        <v>93</v>
      </c>
      <c r="T117" s="1">
        <v>0</v>
      </c>
      <c r="U117" s="1">
        <f>Games[[#This Row],[PointsFor]]-Games[[#This Row],[PointsAgainst]]</f>
        <v>-12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0.43342280439371106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74.95</v>
      </c>
      <c r="Z117" s="4">
        <f>Games[[#This Row],[K]]*Games[[#This Row],[POMult]]</f>
        <v>74.95</v>
      </c>
      <c r="AA117" s="4">
        <f>(Games[[#This Row],[Keff]]*Games[[#This Row],[MOVMult]])*(Games[[#This Row],[Result]]-Games[[#This Row],[ExpectedWin%]])</f>
        <v>-23.343813231323757</v>
      </c>
      <c r="AB117" s="4">
        <f>Games[[#This Row],[PreGmRate]]+Games[[#This Row],[RatingChange]]</f>
        <v>1477.4149500857832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36694</v>
      </c>
      <c r="B118" s="2">
        <v>2000</v>
      </c>
      <c r="C118" s="2">
        <f>COUNTIFS(Games[Team],Games[[#This Row],[Team]],Games[Season],Games[[#This Row],[Season]],Games[Date],"&lt;=" &amp; Games[[#This Row],[Date]])</f>
        <v>8</v>
      </c>
      <c r="D118" s="2" t="s">
        <v>23</v>
      </c>
      <c r="E118" s="2" t="s">
        <v>29</v>
      </c>
      <c r="F118" s="1" t="s">
        <v>1</v>
      </c>
      <c r="G118" s="1" t="s">
        <v>83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-1</v>
      </c>
      <c r="L118" s="2">
        <f>Games[[#This Row],[OppDaysOff]]-Games[[#This Row],[DaysOff]]</f>
        <v>1</v>
      </c>
      <c r="M118" s="1">
        <f>MAX(-16, MIN(16, Games[[#This Row],[RestDiff]]*8))</f>
        <v>-8</v>
      </c>
      <c r="N118" s="1">
        <f>MAX(-16, MIN(16, Games[[#This Row],[OppRestDiff]]*8))</f>
        <v>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1477.4149500857832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1445.122933517202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0.40377544228009593</v>
      </c>
      <c r="R118" s="1">
        <v>48</v>
      </c>
      <c r="S118" s="1">
        <v>55</v>
      </c>
      <c r="T118" s="1">
        <v>0</v>
      </c>
      <c r="U118" s="1">
        <f>Games[[#This Row],[PointsFor]]-Games[[#This Row],[PointsAgainst]]</f>
        <v>-7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0.36040857281644717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74.8</v>
      </c>
      <c r="Z118" s="4">
        <f>Games[[#This Row],[K]]*Games[[#This Row],[POMult]]</f>
        <v>74.8</v>
      </c>
      <c r="AA118" s="4">
        <f>(Games[[#This Row],[Keff]]*Games[[#This Row],[MOVMult]])*(Games[[#This Row],[Result]]-Games[[#This Row],[ExpectedWin%]])</f>
        <v>-10.885204990609333</v>
      </c>
      <c r="AB118" s="4">
        <f>Games[[#This Row],[PreGmRate]]+Games[[#This Row],[RatingChange]]</f>
        <v>1466.5297450951739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36694</v>
      </c>
      <c r="B119" s="2">
        <v>2000</v>
      </c>
      <c r="C119" s="2">
        <f>COUNTIFS(Games[Team],Games[[#This Row],[Team]],Games[Season],Games[[#This Row],[Season]],Games[Date],"&lt;=" &amp; Games[[#This Row],[Date]])</f>
        <v>8</v>
      </c>
      <c r="D119" s="2" t="s">
        <v>23</v>
      </c>
      <c r="E119" s="2" t="s">
        <v>29</v>
      </c>
      <c r="F119" s="1" t="s">
        <v>83</v>
      </c>
      <c r="G119" s="1" t="s">
        <v>1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9" s="2">
        <f>Games[[#This Row],[DaysOff]]-Games[[#This Row],[OppDaysOff]]</f>
        <v>1</v>
      </c>
      <c r="L119" s="2">
        <f>Games[[#This Row],[OppDaysOff]]-Games[[#This Row],[DaysOff]]</f>
        <v>-1</v>
      </c>
      <c r="M119" s="1">
        <f>MAX(-16, MIN(16, Games[[#This Row],[RestDiff]]*8))</f>
        <v>8</v>
      </c>
      <c r="N119" s="1">
        <f>MAX(-16, MIN(16, Games[[#This Row],[OppRestDiff]]*8))</f>
        <v>-8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1445.122933517202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1477.4149500857832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0.59622455771990412</v>
      </c>
      <c r="R119" s="1">
        <v>55</v>
      </c>
      <c r="S119" s="1">
        <v>48</v>
      </c>
      <c r="T119" s="1">
        <v>0</v>
      </c>
      <c r="U119" s="1">
        <f>Games[[#This Row],[PointsFor]]-Games[[#This Row],[PointsAgainst]]</f>
        <v>7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0.36040857281644717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74.8</v>
      </c>
      <c r="Z119" s="4">
        <f>Games[[#This Row],[K]]*Games[[#This Row],[POMult]]</f>
        <v>74.8</v>
      </c>
      <c r="AA119" s="4">
        <f>(Games[[#This Row],[Keff]]*Games[[#This Row],[MOVMult]])*(Games[[#This Row],[Result]]-Games[[#This Row],[ExpectedWin%]])</f>
        <v>10.885204990609331</v>
      </c>
      <c r="AB119" s="4">
        <f>Games[[#This Row],[PreGmRate]]+Games[[#This Row],[RatingChange]]</f>
        <v>1456.0081385078113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36694</v>
      </c>
      <c r="B120" s="2">
        <v>2000</v>
      </c>
      <c r="C120" s="2">
        <f>COUNTIFS(Games[Team],Games[[#This Row],[Team]],Games[Season],Games[[#This Row],[Season]],Games[Date],"&lt;=" &amp; Games[[#This Row],[Date]])</f>
        <v>7</v>
      </c>
      <c r="D120" s="2" t="s">
        <v>23</v>
      </c>
      <c r="E120" s="2" t="s">
        <v>29</v>
      </c>
      <c r="F120" s="1" t="s">
        <v>85</v>
      </c>
      <c r="G120" s="1" t="s">
        <v>79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3</v>
      </c>
      <c r="L120" s="2">
        <f>Games[[#This Row],[OppDaysOff]]-Games[[#This Row],[DaysOff]]</f>
        <v>-3</v>
      </c>
      <c r="M120" s="1">
        <f>MAX(-16, MIN(16, Games[[#This Row],[RestDiff]]*8))</f>
        <v>16</v>
      </c>
      <c r="N120" s="1">
        <f>MAX(-16, MIN(16, Games[[#This Row],[OppRestDiff]]*8))</f>
        <v>-16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1461.8921667002803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1495.7127459616265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0.37894631860111444</v>
      </c>
      <c r="R120" s="1">
        <v>79</v>
      </c>
      <c r="S120" s="1">
        <v>54</v>
      </c>
      <c r="T120" s="1">
        <v>0</v>
      </c>
      <c r="U120" s="1">
        <f>Games[[#This Row],[PointsFor]]-Games[[#This Row],[PointsAgainst]]</f>
        <v>25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0.62376462753875772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74.95</v>
      </c>
      <c r="Z120" s="4">
        <f>Games[[#This Row],[K]]*Games[[#This Row],[POMult]]</f>
        <v>74.95</v>
      </c>
      <c r="AA120" s="4">
        <f>(Games[[#This Row],[Keff]]*Games[[#This Row],[MOVMult]])*(Games[[#This Row],[Result]]-Games[[#This Row],[ExpectedWin%]])</f>
        <v>29.0349793035383</v>
      </c>
      <c r="AB120" s="4">
        <f>Games[[#This Row],[PreGmRate]]+Games[[#This Row],[RatingChange]]</f>
        <v>1490.9271460038185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36694</v>
      </c>
      <c r="B121" s="2">
        <v>2000</v>
      </c>
      <c r="C121" s="2">
        <f>COUNTIFS(Games[Team],Games[[#This Row],[Team]],Games[Season],Games[[#This Row],[Season]],Games[Date],"&lt;=" &amp; Games[[#This Row],[Date]])</f>
        <v>10</v>
      </c>
      <c r="D121" s="2" t="s">
        <v>23</v>
      </c>
      <c r="E121" s="2" t="s">
        <v>29</v>
      </c>
      <c r="F121" s="1" t="s">
        <v>79</v>
      </c>
      <c r="G121" s="1" t="s">
        <v>85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1" s="2">
        <f>Games[[#This Row],[DaysOff]]-Games[[#This Row],[OppDaysOff]]</f>
        <v>-3</v>
      </c>
      <c r="L121" s="2">
        <f>Games[[#This Row],[OppDaysOff]]-Games[[#This Row],[DaysOff]]</f>
        <v>3</v>
      </c>
      <c r="M121" s="1">
        <f>MAX(-16, MIN(16, Games[[#This Row],[RestDiff]]*8))</f>
        <v>-16</v>
      </c>
      <c r="N121" s="1">
        <f>MAX(-16, MIN(16, Games[[#This Row],[OppRestDiff]]*8))</f>
        <v>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1495.7127459616265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1461.8921667002803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0.6210536813988855</v>
      </c>
      <c r="R121" s="1">
        <v>54</v>
      </c>
      <c r="S121" s="1">
        <v>79</v>
      </c>
      <c r="T121" s="1">
        <v>0</v>
      </c>
      <c r="U121" s="1">
        <f>Games[[#This Row],[PointsFor]]-Games[[#This Row],[PointsAgainst]]</f>
        <v>-25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0.62376462753875772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-28.860653210321583</v>
      </c>
      <c r="AB121" s="4">
        <f>Games[[#This Row],[PreGmRate]]+Games[[#This Row],[RatingChange]]</f>
        <v>1466.852092751305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36694</v>
      </c>
      <c r="B122" s="2">
        <v>2000</v>
      </c>
      <c r="C122" s="2">
        <f>COUNTIFS(Games[Team],Games[[#This Row],[Team]],Games[Season],Games[[#This Row],[Season]],Games[Date],"&lt;=" &amp; Games[[#This Row],[Date]])</f>
        <v>8</v>
      </c>
      <c r="D122" s="2" t="s">
        <v>23</v>
      </c>
      <c r="E122" s="2" t="s">
        <v>29</v>
      </c>
      <c r="F122" s="1" t="s">
        <v>80</v>
      </c>
      <c r="G122" s="1" t="s">
        <v>44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-1</v>
      </c>
      <c r="L122" s="2">
        <f>Games[[#This Row],[OppDaysOff]]-Games[[#This Row],[DaysOff]]</f>
        <v>1</v>
      </c>
      <c r="M122" s="1">
        <f>MAX(-16, MIN(16, Games[[#This Row],[RestDiff]]*8))</f>
        <v>-8</v>
      </c>
      <c r="N122" s="1">
        <f>MAX(-16, MIN(16, Games[[#This Row],[OppRestDiff]]*8))</f>
        <v>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1531.6531333155858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1556.0014448571976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0.3283171051296388</v>
      </c>
      <c r="R122" s="1">
        <v>69</v>
      </c>
      <c r="S122" s="1">
        <v>62</v>
      </c>
      <c r="T122" s="1">
        <v>0</v>
      </c>
      <c r="U122" s="1">
        <f>Games[[#This Row],[PointsFor]]-Games[[#This Row],[PointsAgainst]]</f>
        <v>7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0.36274694284126469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74.8</v>
      </c>
      <c r="Z122" s="4">
        <f>Games[[#This Row],[K]]*Games[[#This Row],[POMult]]</f>
        <v>74.8</v>
      </c>
      <c r="AA122" s="4">
        <f>(Games[[#This Row],[Keff]]*Games[[#This Row],[MOVMult]])*(Games[[#This Row],[Result]]-Games[[#This Row],[ExpectedWin%]])</f>
        <v>18.225088567139959</v>
      </c>
      <c r="AB122" s="4">
        <f>Games[[#This Row],[PreGmRate]]+Games[[#This Row],[RatingChange]]</f>
        <v>1549.8782218827257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36694</v>
      </c>
      <c r="B123" s="2">
        <v>2000</v>
      </c>
      <c r="C123" s="2">
        <f>COUNTIFS(Games[Team],Games[[#This Row],[Team]],Games[Season],Games[[#This Row],[Season]],Games[Date],"&lt;=" &amp; Games[[#This Row],[Date]])</f>
        <v>8</v>
      </c>
      <c r="D123" s="2" t="s">
        <v>23</v>
      </c>
      <c r="E123" s="2" t="s">
        <v>29</v>
      </c>
      <c r="F123" s="1" t="s">
        <v>44</v>
      </c>
      <c r="G123" s="1" t="s">
        <v>80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1</v>
      </c>
      <c r="L123" s="2">
        <f>Games[[#This Row],[OppDaysOff]]-Games[[#This Row],[DaysOff]]</f>
        <v>-1</v>
      </c>
      <c r="M123" s="1">
        <f>MAX(-16, MIN(16, Games[[#This Row],[RestDiff]]*8))</f>
        <v>8</v>
      </c>
      <c r="N123" s="1">
        <f>MAX(-16, MIN(16, Games[[#This Row],[OppRestDiff]]*8))</f>
        <v>-8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1556.0014448571976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1531.6531333155858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0.67168289487036115</v>
      </c>
      <c r="R123" s="1">
        <v>62</v>
      </c>
      <c r="S123" s="1">
        <v>69</v>
      </c>
      <c r="T123" s="1">
        <v>0</v>
      </c>
      <c r="U123" s="1">
        <f>Games[[#This Row],[PointsFor]]-Games[[#This Row],[PointsAgainst]]</f>
        <v>-7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0.36274694284126469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74.8</v>
      </c>
      <c r="Z123" s="4">
        <f>Games[[#This Row],[K]]*Games[[#This Row],[POMult]]</f>
        <v>74.8</v>
      </c>
      <c r="AA123" s="4">
        <f>(Games[[#This Row],[Keff]]*Games[[#This Row],[MOVMult]])*(Games[[#This Row],[Result]]-Games[[#This Row],[ExpectedWin%]])</f>
        <v>-18.225088567139956</v>
      </c>
      <c r="AB123" s="4">
        <f>Games[[#This Row],[PreGmRate]]+Games[[#This Row],[RatingChange]]</f>
        <v>1537.7763562900577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36694</v>
      </c>
      <c r="B124" s="2">
        <v>2000</v>
      </c>
      <c r="C124" s="2">
        <f>COUNTIFS(Games[Team],Games[[#This Row],[Team]],Games[Season],Games[[#This Row],[Season]],Games[Date],"&lt;=" &amp; Games[[#This Row],[Date]])</f>
        <v>7</v>
      </c>
      <c r="D124" s="2" t="s">
        <v>23</v>
      </c>
      <c r="E124" s="2" t="s">
        <v>29</v>
      </c>
      <c r="F124" s="1" t="s">
        <v>71</v>
      </c>
      <c r="G124" s="1" t="s">
        <v>89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1</v>
      </c>
      <c r="L124" s="2">
        <f>Games[[#This Row],[OppDaysOff]]-Games[[#This Row],[DaysOff]]</f>
        <v>-1</v>
      </c>
      <c r="M124" s="1">
        <f>MAX(-16, MIN(16, Games[[#This Row],[RestDiff]]*8))</f>
        <v>8</v>
      </c>
      <c r="N124" s="1">
        <f>MAX(-16, MIN(16, Games[[#This Row],[OppRestDiff]]*8))</f>
        <v>-8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1560.7021226142022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1458.4085758847436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0.54919272907505479</v>
      </c>
      <c r="R124" s="1">
        <v>94</v>
      </c>
      <c r="S124" s="1">
        <v>81</v>
      </c>
      <c r="T124" s="1">
        <v>0</v>
      </c>
      <c r="U124" s="1">
        <f>Games[[#This Row],[PointsFor]]-Games[[#This Row],[PointsAgainst]]</f>
        <v>13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0.43496530271497785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74.95</v>
      </c>
      <c r="Z124" s="4">
        <f>Games[[#This Row],[K]]*Games[[#This Row],[POMult]]</f>
        <v>74.95</v>
      </c>
      <c r="AA124" s="4">
        <f>(Games[[#This Row],[Keff]]*Games[[#This Row],[MOVMult]])*(Games[[#This Row],[Result]]-Games[[#This Row],[ExpectedWin%]])</f>
        <v>14.69660980374544</v>
      </c>
      <c r="AB124" s="4">
        <f>Games[[#This Row],[PreGmRate]]+Games[[#This Row],[RatingChange]]</f>
        <v>1575.3987324179475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36694</v>
      </c>
      <c r="B125" s="2">
        <v>2000</v>
      </c>
      <c r="C125" s="2">
        <f>COUNTIFS(Games[Team],Games[[#This Row],[Team]],Games[Season],Games[[#This Row],[Season]],Games[Date],"&lt;=" &amp; Games[[#This Row],[Date]])</f>
        <v>7</v>
      </c>
      <c r="D125" s="2" t="s">
        <v>23</v>
      </c>
      <c r="E125" s="2" t="s">
        <v>29</v>
      </c>
      <c r="F125" s="1" t="s">
        <v>89</v>
      </c>
      <c r="G125" s="1" t="s">
        <v>71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5" s="2">
        <f>Games[[#This Row],[DaysOff]]-Games[[#This Row],[OppDaysOff]]</f>
        <v>-1</v>
      </c>
      <c r="L125" s="2">
        <f>Games[[#This Row],[OppDaysOff]]-Games[[#This Row],[DaysOff]]</f>
        <v>1</v>
      </c>
      <c r="M125" s="1">
        <f>MAX(-16, MIN(16, Games[[#This Row],[RestDiff]]*8))</f>
        <v>-8</v>
      </c>
      <c r="N125" s="1">
        <f>MAX(-16, MIN(16, Games[[#This Row],[OppRestDiff]]*8))</f>
        <v>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1458.4085758847436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1560.7021226142022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0.4508072709249451</v>
      </c>
      <c r="R125" s="1">
        <v>81</v>
      </c>
      <c r="S125" s="1">
        <v>94</v>
      </c>
      <c r="T125" s="1">
        <v>0</v>
      </c>
      <c r="U125" s="1">
        <f>Games[[#This Row],[PointsFor]]-Games[[#This Row],[PointsAgainst]]</f>
        <v>-13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0.43496530271497785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74.95</v>
      </c>
      <c r="Z125" s="4">
        <f>Games[[#This Row],[K]]*Games[[#This Row],[POMult]]</f>
        <v>74.95</v>
      </c>
      <c r="AA125" s="4">
        <f>(Games[[#This Row],[Keff]]*Games[[#This Row],[MOVMult]])*(Games[[#This Row],[Result]]-Games[[#This Row],[ExpectedWin%]])</f>
        <v>-14.696609803745437</v>
      </c>
      <c r="AB125" s="4">
        <f>Games[[#This Row],[PreGmRate]]+Games[[#This Row],[RatingChange]]</f>
        <v>1443.7119660809983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36694</v>
      </c>
      <c r="B126" s="2">
        <v>2000</v>
      </c>
      <c r="C126" s="2">
        <f>COUNTIFS(Games[Team],Games[[#This Row],[Team]],Games[Season],Games[[#This Row],[Season]],Games[Date],"&lt;=" &amp; Games[[#This Row],[Date]])</f>
        <v>8</v>
      </c>
      <c r="D126" s="2" t="s">
        <v>23</v>
      </c>
      <c r="E126" s="2" t="s">
        <v>29</v>
      </c>
      <c r="F126" s="1" t="s">
        <v>64</v>
      </c>
      <c r="G126" s="1" t="s">
        <v>45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1418.578455619391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1551.9680288067395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0.2224587551310401</v>
      </c>
      <c r="R126" s="1">
        <v>63</v>
      </c>
      <c r="S126" s="1">
        <v>74</v>
      </c>
      <c r="T126" s="1">
        <v>0</v>
      </c>
      <c r="U126" s="1">
        <f>Games[[#This Row],[PointsFor]]-Games[[#This Row],[PointsAgainst]]</f>
        <v>-11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0.39583567692635496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74.8</v>
      </c>
      <c r="Z126" s="4">
        <f>Games[[#This Row],[K]]*Games[[#This Row],[POMult]]</f>
        <v>74.8</v>
      </c>
      <c r="AA126" s="4">
        <f>(Games[[#This Row],[Keff]]*Games[[#This Row],[MOVMult]])*(Games[[#This Row],[Result]]-Games[[#This Row],[ExpectedWin%]])</f>
        <v>-6.5866719720266147</v>
      </c>
      <c r="AB126" s="4">
        <f>Games[[#This Row],[PreGmRate]]+Games[[#This Row],[RatingChange]]</f>
        <v>1411.9917836473644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36694</v>
      </c>
      <c r="B127" s="2">
        <v>2000</v>
      </c>
      <c r="C127" s="2">
        <f>COUNTIFS(Games[Team],Games[[#This Row],[Team]],Games[Season],Games[[#This Row],[Season]],Games[Date],"&lt;=" &amp; Games[[#This Row],[Date]])</f>
        <v>8</v>
      </c>
      <c r="D127" s="2" t="s">
        <v>23</v>
      </c>
      <c r="E127" s="2" t="s">
        <v>29</v>
      </c>
      <c r="F127" s="1" t="s">
        <v>45</v>
      </c>
      <c r="G127" s="1" t="s">
        <v>64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1551.9680288067395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1418.578455619391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0.77754124486895992</v>
      </c>
      <c r="R127" s="1">
        <v>74</v>
      </c>
      <c r="S127" s="1">
        <v>63</v>
      </c>
      <c r="T127" s="1">
        <v>0</v>
      </c>
      <c r="U127" s="1">
        <f>Games[[#This Row],[PointsFor]]-Games[[#This Row],[PointsAgainst]]</f>
        <v>11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0.39583567692635496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74.8</v>
      </c>
      <c r="Z127" s="4">
        <f>Games[[#This Row],[K]]*Games[[#This Row],[POMult]]</f>
        <v>74.8</v>
      </c>
      <c r="AA127" s="4">
        <f>(Games[[#This Row],[Keff]]*Games[[#This Row],[MOVMult]])*(Games[[#This Row],[Result]]-Games[[#This Row],[ExpectedWin%]])</f>
        <v>6.5866719720266138</v>
      </c>
      <c r="AB127" s="4">
        <f>Games[[#This Row],[PreGmRate]]+Games[[#This Row],[RatingChange]]</f>
        <v>1558.5547007787661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36694</v>
      </c>
      <c r="B128" s="2">
        <v>2000</v>
      </c>
      <c r="C128" s="2">
        <f>COUNTIFS(Games[Team],Games[[#This Row],[Team]],Games[Season],Games[[#This Row],[Season]],Games[Date],"&lt;=" &amp; Games[[#This Row],[Date]])</f>
        <v>7</v>
      </c>
      <c r="D128" s="2" t="s">
        <v>23</v>
      </c>
      <c r="E128" s="2" t="s">
        <v>29</v>
      </c>
      <c r="F128" s="1" t="s">
        <v>75</v>
      </c>
      <c r="G128" s="1" t="s">
        <v>43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2</v>
      </c>
      <c r="L128" s="2">
        <f>Games[[#This Row],[OppDaysOff]]-Games[[#This Row],[DaysOff]]</f>
        <v>-2</v>
      </c>
      <c r="M128" s="1">
        <f>MAX(-16, MIN(16, Games[[#This Row],[RestDiff]]*8))</f>
        <v>16</v>
      </c>
      <c r="N128" s="1">
        <f>MAX(-16, MIN(16, Games[[#This Row],[OppRestDiff]]*8))</f>
        <v>-16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1476.4240171543652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1502.0635036502263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0.39009121648088346</v>
      </c>
      <c r="R128" s="1">
        <v>67</v>
      </c>
      <c r="S128" s="1">
        <v>70</v>
      </c>
      <c r="T128" s="1">
        <v>0</v>
      </c>
      <c r="U128" s="1">
        <f>Games[[#This Row],[PointsFor]]-Games[[#This Row],[PointsAgainst]]</f>
        <v>-3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0.28411309292426712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74.95</v>
      </c>
      <c r="Z128" s="4">
        <f>Games[[#This Row],[K]]*Games[[#This Row],[POMult]]</f>
        <v>74.95</v>
      </c>
      <c r="AA128" s="4">
        <f>(Games[[#This Row],[Keff]]*Games[[#This Row],[MOVMult]])*(Games[[#This Row],[Result]]-Games[[#This Row],[ExpectedWin%]])</f>
        <v>-8.3067101516711759</v>
      </c>
      <c r="AB128" s="4">
        <f>Games[[#This Row],[PreGmRate]]+Games[[#This Row],[RatingChange]]</f>
        <v>1468.1173070026939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36694</v>
      </c>
      <c r="B129" s="2">
        <v>2000</v>
      </c>
      <c r="C129" s="2">
        <f>COUNTIFS(Games[Team],Games[[#This Row],[Team]],Games[Season],Games[[#This Row],[Season]],Games[Date],"&lt;=" &amp; Games[[#This Row],[Date]])</f>
        <v>10</v>
      </c>
      <c r="D129" s="2" t="s">
        <v>23</v>
      </c>
      <c r="E129" s="2" t="s">
        <v>29</v>
      </c>
      <c r="F129" s="1" t="s">
        <v>43</v>
      </c>
      <c r="G129" s="1" t="s">
        <v>75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9" s="2">
        <f>Games[[#This Row],[DaysOff]]-Games[[#This Row],[OppDaysOff]]</f>
        <v>-2</v>
      </c>
      <c r="L129" s="2">
        <f>Games[[#This Row],[OppDaysOff]]-Games[[#This Row],[DaysOff]]</f>
        <v>2</v>
      </c>
      <c r="M129" s="1">
        <f>MAX(-16, MIN(16, Games[[#This Row],[RestDiff]]*8))</f>
        <v>-16</v>
      </c>
      <c r="N129" s="1">
        <f>MAX(-16, MIN(16, Games[[#This Row],[OppRestDiff]]*8))</f>
        <v>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1502.0635036502263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1476.4240171543652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0.60990878351911659</v>
      </c>
      <c r="R129" s="1">
        <v>70</v>
      </c>
      <c r="S129" s="1">
        <v>67</v>
      </c>
      <c r="T129" s="1">
        <v>0</v>
      </c>
      <c r="U129" s="1">
        <f>Games[[#This Row],[PointsFor]]-Games[[#This Row],[PointsAgainst]]</f>
        <v>3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0.28411309292426712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8.2568366417545356</v>
      </c>
      <c r="AB129" s="4">
        <f>Games[[#This Row],[PreGmRate]]+Games[[#This Row],[RatingChange]]</f>
        <v>1510.3203402919808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36695</v>
      </c>
      <c r="B130" s="2">
        <v>2000</v>
      </c>
      <c r="C130" s="2">
        <f>COUNTIFS(Games[Team],Games[[#This Row],[Team]],Games[Season],Games[[#This Row],[Season]],Games[Date],"&lt;=" &amp; Games[[#This Row],[Date]])</f>
        <v>8</v>
      </c>
      <c r="D130" s="2" t="s">
        <v>23</v>
      </c>
      <c r="E130" s="2" t="s">
        <v>29</v>
      </c>
      <c r="F130" s="1" t="s">
        <v>85</v>
      </c>
      <c r="G130" s="1" t="s">
        <v>77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1490.9271460038185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1461.2356342851801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0.40017687275541758</v>
      </c>
      <c r="R130" s="1">
        <v>74</v>
      </c>
      <c r="S130" s="1">
        <v>111</v>
      </c>
      <c r="T130" s="1">
        <v>0</v>
      </c>
      <c r="U130" s="1">
        <f>Games[[#This Row],[PointsFor]]-Games[[#This Row],[PointsAgainst]]</f>
        <v>-37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0.76586707435692103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74.8</v>
      </c>
      <c r="Z130" s="4">
        <f>Games[[#This Row],[K]]*Games[[#This Row],[POMult]]</f>
        <v>74.8</v>
      </c>
      <c r="AA130" s="4">
        <f>(Games[[#This Row],[Keff]]*Games[[#This Row],[MOVMult]])*(Games[[#This Row],[Result]]-Games[[#This Row],[ExpectedWin%]])</f>
        <v>-22.924875349034515</v>
      </c>
      <c r="AB130" s="4">
        <f>Games[[#This Row],[PreGmRate]]+Games[[#This Row],[RatingChange]]</f>
        <v>1468.0022706547841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36695</v>
      </c>
      <c r="B131" s="2">
        <v>2000</v>
      </c>
      <c r="C131" s="2">
        <f>COUNTIFS(Games[Team],Games[[#This Row],[Team]],Games[Season],Games[[#This Row],[Season]],Games[Date],"&lt;=" &amp; Games[[#This Row],[Date]])</f>
        <v>8</v>
      </c>
      <c r="D131" s="2" t="s">
        <v>23</v>
      </c>
      <c r="E131" s="2" t="s">
        <v>29</v>
      </c>
      <c r="F131" s="1" t="s">
        <v>77</v>
      </c>
      <c r="G131" s="1" t="s">
        <v>85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1461.2356342851801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1490.9271460038185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0.59982312724458242</v>
      </c>
      <c r="R131" s="1">
        <v>111</v>
      </c>
      <c r="S131" s="1">
        <v>74</v>
      </c>
      <c r="T131" s="1">
        <v>0</v>
      </c>
      <c r="U131" s="1">
        <f>Games[[#This Row],[PointsFor]]-Games[[#This Row],[PointsAgainst]]</f>
        <v>37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0.76586707435692103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74.8</v>
      </c>
      <c r="Z131" s="4">
        <f>Games[[#This Row],[K]]*Games[[#This Row],[POMult]]</f>
        <v>74.8</v>
      </c>
      <c r="AA131" s="4">
        <f>(Games[[#This Row],[Keff]]*Games[[#This Row],[MOVMult]])*(Games[[#This Row],[Result]]-Games[[#This Row],[ExpectedWin%]])</f>
        <v>22.924875349034515</v>
      </c>
      <c r="AB131" s="4">
        <f>Games[[#This Row],[PreGmRate]]+Games[[#This Row],[RatingChange]]</f>
        <v>1484.1605096342146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36695</v>
      </c>
      <c r="B132" s="2">
        <v>2000</v>
      </c>
      <c r="C132" s="2">
        <f>COUNTIFS(Games[Team],Games[[#This Row],[Team]],Games[Season],Games[[#This Row],[Season]],Games[Date],"&lt;=" &amp; Games[[#This Row],[Date]])</f>
        <v>9</v>
      </c>
      <c r="D132" s="2" t="s">
        <v>23</v>
      </c>
      <c r="E132" s="2" t="s">
        <v>29</v>
      </c>
      <c r="F132" s="1" t="s">
        <v>80</v>
      </c>
      <c r="G132" s="1" t="s">
        <v>2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-2</v>
      </c>
      <c r="L132" s="2">
        <f>Games[[#This Row],[OppDaysOff]]-Games[[#This Row],[DaysOff]]</f>
        <v>2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1549.8782218827257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1666.8650396309479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0.20731608588873537</v>
      </c>
      <c r="R132" s="1">
        <v>66</v>
      </c>
      <c r="S132" s="1">
        <v>78</v>
      </c>
      <c r="T132" s="1">
        <v>0</v>
      </c>
      <c r="U132" s="1">
        <f>Games[[#This Row],[PointsFor]]-Games[[#This Row],[PointsAgainst]]</f>
        <v>-12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0.41561185299311837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74.650000000000006</v>
      </c>
      <c r="Z132" s="4">
        <f>Games[[#This Row],[K]]*Games[[#This Row],[POMult]]</f>
        <v>74.650000000000006</v>
      </c>
      <c r="AA132" s="4">
        <f>(Games[[#This Row],[Keff]]*Games[[#This Row],[MOVMult]])*(Games[[#This Row],[Result]]-Games[[#This Row],[ExpectedWin%]])</f>
        <v>-6.4320696379483104</v>
      </c>
      <c r="AB132" s="4">
        <f>Games[[#This Row],[PreGmRate]]+Games[[#This Row],[RatingChange]]</f>
        <v>1543.4461522447773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36695</v>
      </c>
      <c r="B133" s="2">
        <v>2000</v>
      </c>
      <c r="C133" s="2">
        <f>COUNTIFS(Games[Team],Games[[#This Row],[Team]],Games[Season],Games[[#This Row],[Season]],Games[Date],"&lt;=" &amp; Games[[#This Row],[Date]])</f>
        <v>10</v>
      </c>
      <c r="D133" s="2" t="s">
        <v>23</v>
      </c>
      <c r="E133" s="2" t="s">
        <v>29</v>
      </c>
      <c r="F133" s="1" t="s">
        <v>2</v>
      </c>
      <c r="G133" s="1" t="s">
        <v>80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3" s="2">
        <f>Games[[#This Row],[DaysOff]]-Games[[#This Row],[OppDaysOff]]</f>
        <v>2</v>
      </c>
      <c r="L133" s="2">
        <f>Games[[#This Row],[OppDaysOff]]-Games[[#This Row],[DaysOff]]</f>
        <v>-2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1666.8650396309479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1549.8782218827257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0.7926839141112646</v>
      </c>
      <c r="R133" s="1">
        <v>78</v>
      </c>
      <c r="S133" s="1">
        <v>66</v>
      </c>
      <c r="T133" s="1">
        <v>0</v>
      </c>
      <c r="U133" s="1">
        <f>Games[[#This Row],[PointsFor]]-Games[[#This Row],[PointsAgainst]]</f>
        <v>12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0.41561185299311837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74.5</v>
      </c>
      <c r="Z133" s="4">
        <f>Games[[#This Row],[K]]*Games[[#This Row],[POMult]]</f>
        <v>74.5</v>
      </c>
      <c r="AA133" s="4">
        <f>(Games[[#This Row],[Keff]]*Games[[#This Row],[MOVMult]])*(Games[[#This Row],[Result]]-Games[[#This Row],[ExpectedWin%]])</f>
        <v>6.4191451845565863</v>
      </c>
      <c r="AB133" s="4">
        <f>Games[[#This Row],[PreGmRate]]+Games[[#This Row],[RatingChange]]</f>
        <v>1673.2841848155044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36695</v>
      </c>
      <c r="B134" s="2">
        <v>2000</v>
      </c>
      <c r="C134" s="2">
        <f>COUNTIFS(Games[Team],Games[[#This Row],[Team]],Games[Season],Games[[#This Row],[Season]],Games[Date],"&lt;=" &amp; Games[[#This Row],[Date]])</f>
        <v>9</v>
      </c>
      <c r="D134" s="2" t="s">
        <v>23</v>
      </c>
      <c r="E134" s="2" t="s">
        <v>29</v>
      </c>
      <c r="F134" s="1" t="s">
        <v>64</v>
      </c>
      <c r="G134" s="1" t="s">
        <v>71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1411.9917836473644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1575.3987324179475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0.19400573910604316</v>
      </c>
      <c r="R134" s="1">
        <v>62</v>
      </c>
      <c r="S134" s="1">
        <v>70</v>
      </c>
      <c r="T134" s="1">
        <v>0</v>
      </c>
      <c r="U134" s="1">
        <f>Games[[#This Row],[PointsFor]]-Games[[#This Row],[PointsAgainst]]</f>
        <v>-8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0.34177517022616816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74.650000000000006</v>
      </c>
      <c r="Z134" s="4">
        <f>Games[[#This Row],[K]]*Games[[#This Row],[POMult]]</f>
        <v>74.650000000000006</v>
      </c>
      <c r="AA134" s="4">
        <f>(Games[[#This Row],[Keff]]*Games[[#This Row],[MOVMult]])*(Games[[#This Row],[Result]]-Games[[#This Row],[ExpectedWin%]])</f>
        <v>-4.9497686175088731</v>
      </c>
      <c r="AB134" s="4">
        <f>Games[[#This Row],[PreGmRate]]+Games[[#This Row],[RatingChange]]</f>
        <v>1407.0420150298555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36695</v>
      </c>
      <c r="B135" s="2">
        <v>2000</v>
      </c>
      <c r="C135" s="2">
        <f>COUNTIFS(Games[Team],Games[[#This Row],[Team]],Games[Season],Games[[#This Row],[Season]],Games[Date],"&lt;=" &amp; Games[[#This Row],[Date]])</f>
        <v>8</v>
      </c>
      <c r="D135" s="2" t="s">
        <v>23</v>
      </c>
      <c r="E135" s="2" t="s">
        <v>29</v>
      </c>
      <c r="F135" s="1" t="s">
        <v>71</v>
      </c>
      <c r="G135" s="1" t="s">
        <v>64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1575.3987324179475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1411.9917836473644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0.80599426089395676</v>
      </c>
      <c r="R135" s="1">
        <v>70</v>
      </c>
      <c r="S135" s="1">
        <v>62</v>
      </c>
      <c r="T135" s="1">
        <v>0</v>
      </c>
      <c r="U135" s="1">
        <f>Games[[#This Row],[PointsFor]]-Games[[#This Row],[PointsAgainst]]</f>
        <v>8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0.34177517022616816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74.8</v>
      </c>
      <c r="Z135" s="4">
        <f>Games[[#This Row],[K]]*Games[[#This Row],[POMult]]</f>
        <v>74.8</v>
      </c>
      <c r="AA135" s="4">
        <f>(Games[[#This Row],[Keff]]*Games[[#This Row],[MOVMult]])*(Games[[#This Row],[Result]]-Games[[#This Row],[ExpectedWin%]])</f>
        <v>4.9597145691850475</v>
      </c>
      <c r="AB135" s="4">
        <f>Games[[#This Row],[PreGmRate]]+Games[[#This Row],[RatingChange]]</f>
        <v>1580.3584469871325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36695</v>
      </c>
      <c r="B136" s="2">
        <v>2000</v>
      </c>
      <c r="C136" s="2">
        <f>COUNTIFS(Games[Team],Games[[#This Row],[Team]],Games[Season],Games[[#This Row],[Season]],Games[Date],"&lt;=" &amp; Games[[#This Row],[Date]])</f>
        <v>9</v>
      </c>
      <c r="D136" s="2" t="s">
        <v>23</v>
      </c>
      <c r="E136" s="2" t="s">
        <v>29</v>
      </c>
      <c r="F136" s="1" t="s">
        <v>83</v>
      </c>
      <c r="G136" s="1" t="s">
        <v>66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6" s="2">
        <f>Games[[#This Row],[DaysOff]]-Games[[#This Row],[OppDaysOff]]</f>
        <v>-4</v>
      </c>
      <c r="L136" s="2">
        <f>Games[[#This Row],[OppDaysOff]]-Games[[#This Row],[DaysOff]]</f>
        <v>4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1456.0081385078113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1490.6019267666759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0.29590235475496268</v>
      </c>
      <c r="R136" s="1">
        <v>52</v>
      </c>
      <c r="S136" s="1">
        <v>58</v>
      </c>
      <c r="T136" s="1">
        <v>0</v>
      </c>
      <c r="U136" s="1">
        <f>Games[[#This Row],[PointsFor]]-Games[[#This Row],[PointsAgainst]]</f>
        <v>-6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0.34143774034670893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74.650000000000006</v>
      </c>
      <c r="Z136" s="4">
        <f>Games[[#This Row],[K]]*Games[[#This Row],[POMult]]</f>
        <v>74.650000000000006</v>
      </c>
      <c r="AA136" s="4">
        <f>(Games[[#This Row],[Keff]]*Games[[#This Row],[MOVMult]])*(Games[[#This Row],[Result]]-Games[[#This Row],[ExpectedWin%]])</f>
        <v>-7.5420560718305714</v>
      </c>
      <c r="AB136" s="4">
        <f>Games[[#This Row],[PreGmRate]]+Games[[#This Row],[RatingChange]]</f>
        <v>1448.4660824359808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36695</v>
      </c>
      <c r="B137" s="2">
        <v>2000</v>
      </c>
      <c r="C137" s="2">
        <f>COUNTIFS(Games[Team],Games[[#This Row],[Team]],Games[Season],Games[[#This Row],[Season]],Games[Date],"&lt;=" &amp; Games[[#This Row],[Date]])</f>
        <v>9</v>
      </c>
      <c r="D137" s="2" t="s">
        <v>23</v>
      </c>
      <c r="E137" s="2" t="s">
        <v>29</v>
      </c>
      <c r="F137" s="1" t="s">
        <v>66</v>
      </c>
      <c r="G137" s="1" t="s">
        <v>83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7" s="2">
        <f>Games[[#This Row],[DaysOff]]-Games[[#This Row],[OppDaysOff]]</f>
        <v>4</v>
      </c>
      <c r="L137" s="2">
        <f>Games[[#This Row],[OppDaysOff]]-Games[[#This Row],[DaysOff]]</f>
        <v>-4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1490.6019267666759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1456.0081385078113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0.70409764524503726</v>
      </c>
      <c r="R137" s="1">
        <v>58</v>
      </c>
      <c r="S137" s="1">
        <v>52</v>
      </c>
      <c r="T137" s="1">
        <v>0</v>
      </c>
      <c r="U137" s="1">
        <f>Games[[#This Row],[PointsFor]]-Games[[#This Row],[PointsAgainst]]</f>
        <v>6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0.34143774034670893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74.650000000000006</v>
      </c>
      <c r="Z137" s="4">
        <f>Games[[#This Row],[K]]*Games[[#This Row],[POMult]]</f>
        <v>74.650000000000006</v>
      </c>
      <c r="AA137" s="4">
        <f>(Games[[#This Row],[Keff]]*Games[[#This Row],[MOVMult]])*(Games[[#This Row],[Result]]-Games[[#This Row],[ExpectedWin%]])</f>
        <v>7.5420560718305723</v>
      </c>
      <c r="AB137" s="4">
        <f>Games[[#This Row],[PreGmRate]]+Games[[#This Row],[RatingChange]]</f>
        <v>1498.1439828385064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36695</v>
      </c>
      <c r="B138" s="2">
        <v>2000</v>
      </c>
      <c r="C138" s="2">
        <f>COUNTIFS(Games[Team],Games[[#This Row],[Team]],Games[Season],Games[[#This Row],[Season]],Games[Date],"&lt;=" &amp; Games[[#This Row],[Date]])</f>
        <v>11</v>
      </c>
      <c r="D138" s="2" t="s">
        <v>23</v>
      </c>
      <c r="E138" s="2" t="s">
        <v>29</v>
      </c>
      <c r="F138" s="1" t="s">
        <v>43</v>
      </c>
      <c r="G138" s="1" t="s">
        <v>87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-2</v>
      </c>
      <c r="L138" s="2">
        <f>Games[[#This Row],[OppDaysOff]]-Games[[#This Row],[DaysOff]]</f>
        <v>2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1510.3203402919808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1444.7410631793482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0.42794388507238784</v>
      </c>
      <c r="R138" s="1">
        <v>56</v>
      </c>
      <c r="S138" s="1">
        <v>53</v>
      </c>
      <c r="T138" s="1">
        <v>0</v>
      </c>
      <c r="U138" s="1">
        <f>Games[[#This Row],[PointsFor]]-Games[[#This Row],[PointsAgainst]]</f>
        <v>3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0.27514690830976618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74.349999999999994</v>
      </c>
      <c r="Z138" s="4">
        <f>Games[[#This Row],[K]]*Games[[#This Row],[POMult]]</f>
        <v>74.349999999999994</v>
      </c>
      <c r="AA138" s="4">
        <f>(Games[[#This Row],[Keff]]*Games[[#This Row],[MOVMult]])*(Games[[#This Row],[Result]]-Games[[#This Row],[ExpectedWin%]])</f>
        <v>11.70265069874084</v>
      </c>
      <c r="AB138" s="4">
        <f>Games[[#This Row],[PreGmRate]]+Games[[#This Row],[RatingChange]]</f>
        <v>1522.0229909907216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36695</v>
      </c>
      <c r="B139" s="2">
        <v>2000</v>
      </c>
      <c r="C139" s="2">
        <f>COUNTIFS(Games[Team],Games[[#This Row],[Team]],Games[Season],Games[[#This Row],[Season]],Games[Date],"&lt;=" &amp; Games[[#This Row],[Date]])</f>
        <v>9</v>
      </c>
      <c r="D139" s="2" t="s">
        <v>23</v>
      </c>
      <c r="E139" s="2" t="s">
        <v>29</v>
      </c>
      <c r="F139" s="1" t="s">
        <v>87</v>
      </c>
      <c r="G139" s="1" t="s">
        <v>43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9" s="2">
        <f>Games[[#This Row],[DaysOff]]-Games[[#This Row],[OppDaysOff]]</f>
        <v>2</v>
      </c>
      <c r="L139" s="2">
        <f>Games[[#This Row],[OppDaysOff]]-Games[[#This Row],[DaysOff]]</f>
        <v>-2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1444.7410631793482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1510.3203402919808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0.57205611492761221</v>
      </c>
      <c r="R139" s="1">
        <v>53</v>
      </c>
      <c r="S139" s="1">
        <v>56</v>
      </c>
      <c r="T139" s="1">
        <v>0</v>
      </c>
      <c r="U139" s="1">
        <f>Games[[#This Row],[PointsFor]]-Games[[#This Row],[PointsAgainst]]</f>
        <v>-3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0.27514690830976618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74.650000000000006</v>
      </c>
      <c r="Z139" s="4">
        <f>Games[[#This Row],[K]]*Games[[#This Row],[POMult]]</f>
        <v>74.650000000000006</v>
      </c>
      <c r="AA139" s="4">
        <f>(Games[[#This Row],[Keff]]*Games[[#This Row],[MOVMult]])*(Games[[#This Row],[Result]]-Games[[#This Row],[ExpectedWin%]])</f>
        <v>-11.749870540161449</v>
      </c>
      <c r="AB139" s="4">
        <f>Games[[#This Row],[PreGmRate]]+Games[[#This Row],[RatingChange]]</f>
        <v>1432.9911926391867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36696</v>
      </c>
      <c r="B140" s="2">
        <v>2000</v>
      </c>
      <c r="C140" s="2">
        <f>COUNTIFS(Games[Team],Games[[#This Row],[Team]],Games[Season],Games[[#This Row],[Season]],Games[Date],"&lt;=" &amp; Games[[#This Row],[Date]])</f>
        <v>9</v>
      </c>
      <c r="D140" s="2" t="s">
        <v>23</v>
      </c>
      <c r="E140" s="2" t="s">
        <v>29</v>
      </c>
      <c r="F140" s="1" t="s">
        <v>45</v>
      </c>
      <c r="G140" s="1" t="s">
        <v>1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1558.5547007787661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1466.5297450951739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0.51154678623944416</v>
      </c>
      <c r="R140" s="1">
        <v>70</v>
      </c>
      <c r="S140" s="1">
        <v>81</v>
      </c>
      <c r="T140" s="1">
        <v>0</v>
      </c>
      <c r="U140" s="1">
        <f>Games[[#This Row],[PointsFor]]-Games[[#This Row],[PointsAgainst]]</f>
        <v>-11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0.40850849048028215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74.650000000000006</v>
      </c>
      <c r="Z140" s="4">
        <f>Games[[#This Row],[K]]*Games[[#This Row],[POMult]]</f>
        <v>74.650000000000006</v>
      </c>
      <c r="AA140" s="4">
        <f>(Games[[#This Row],[Keff]]*Games[[#This Row],[MOVMult]])*(Games[[#This Row],[Result]]-Games[[#This Row],[ExpectedWin%]])</f>
        <v>-15.599700487343769</v>
      </c>
      <c r="AB140" s="4">
        <f>Games[[#This Row],[PreGmRate]]+Games[[#This Row],[RatingChange]]</f>
        <v>1542.9550002914223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36696</v>
      </c>
      <c r="B141" s="2">
        <v>2000</v>
      </c>
      <c r="C141" s="2">
        <f>COUNTIFS(Games[Team],Games[[#This Row],[Team]],Games[Season],Games[[#This Row],[Season]],Games[Date],"&lt;=" &amp; Games[[#This Row],[Date]])</f>
        <v>9</v>
      </c>
      <c r="D141" s="2" t="s">
        <v>23</v>
      </c>
      <c r="E141" s="2" t="s">
        <v>29</v>
      </c>
      <c r="F141" s="1" t="s">
        <v>1</v>
      </c>
      <c r="G141" s="1" t="s">
        <v>45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1466.5297450951739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1558.5547007787661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0.48845321376055578</v>
      </c>
      <c r="R141" s="1">
        <v>81</v>
      </c>
      <c r="S141" s="1">
        <v>70</v>
      </c>
      <c r="T141" s="1">
        <v>0</v>
      </c>
      <c r="U141" s="1">
        <f>Games[[#This Row],[PointsFor]]-Games[[#This Row],[PointsAgainst]]</f>
        <v>11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0.40850849048028215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74.650000000000006</v>
      </c>
      <c r="Z141" s="4">
        <f>Games[[#This Row],[K]]*Games[[#This Row],[POMult]]</f>
        <v>74.650000000000006</v>
      </c>
      <c r="AA141" s="4">
        <f>(Games[[#This Row],[Keff]]*Games[[#This Row],[MOVMult]])*(Games[[#This Row],[Result]]-Games[[#This Row],[ExpectedWin%]])</f>
        <v>15.599700487343773</v>
      </c>
      <c r="AB141" s="4">
        <f>Games[[#This Row],[PreGmRate]]+Games[[#This Row],[RatingChange]]</f>
        <v>1482.1294455825177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36696</v>
      </c>
      <c r="B142" s="2">
        <v>2000</v>
      </c>
      <c r="C142" s="2">
        <f>COUNTIFS(Games[Team],Games[[#This Row],[Team]],Games[Season],Games[[#This Row],[Season]],Games[Date],"&lt;=" &amp; Games[[#This Row],[Date]])</f>
        <v>9</v>
      </c>
      <c r="D142" s="2" t="s">
        <v>23</v>
      </c>
      <c r="E142" s="2" t="s">
        <v>29</v>
      </c>
      <c r="F142" s="1" t="s">
        <v>77</v>
      </c>
      <c r="G142" s="1" t="s">
        <v>75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-1</v>
      </c>
      <c r="L142" s="2">
        <f>Games[[#This Row],[OppDaysOff]]-Games[[#This Row],[DaysOff]]</f>
        <v>1</v>
      </c>
      <c r="M142" s="1">
        <f>MAX(-16, MIN(16, Games[[#This Row],[RestDiff]]*8))</f>
        <v>-8</v>
      </c>
      <c r="N142" s="1">
        <f>MAX(-16, MIN(16, Games[[#This Row],[OppRestDiff]]*8))</f>
        <v>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1484.1605096342146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1468.1173070026939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0.38147455603769392</v>
      </c>
      <c r="R142" s="1">
        <v>55</v>
      </c>
      <c r="S142" s="1">
        <v>80</v>
      </c>
      <c r="T142" s="1">
        <v>0</v>
      </c>
      <c r="U142" s="1">
        <f>Games[[#This Row],[PointsFor]]-Games[[#This Row],[PointsAgainst]]</f>
        <v>-25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0.63288346368546933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74.650000000000006</v>
      </c>
      <c r="Z142" s="4">
        <f>Games[[#This Row],[K]]*Games[[#This Row],[POMult]]</f>
        <v>74.650000000000006</v>
      </c>
      <c r="AA142" s="4">
        <f>(Games[[#This Row],[Keff]]*Games[[#This Row],[MOVMult]])*(Games[[#This Row],[Result]]-Games[[#This Row],[ExpectedWin%]])</f>
        <v>-18.022670246559375</v>
      </c>
      <c r="AB142" s="4">
        <f>Games[[#This Row],[PreGmRate]]+Games[[#This Row],[RatingChange]]</f>
        <v>1466.1378393876553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36696</v>
      </c>
      <c r="B143" s="2">
        <v>2000</v>
      </c>
      <c r="C143" s="2">
        <f>COUNTIFS(Games[Team],Games[[#This Row],[Team]],Games[Season],Games[[#This Row],[Season]],Games[Date],"&lt;=" &amp; Games[[#This Row],[Date]])</f>
        <v>8</v>
      </c>
      <c r="D143" s="2" t="s">
        <v>23</v>
      </c>
      <c r="E143" s="2" t="s">
        <v>29</v>
      </c>
      <c r="F143" s="1" t="s">
        <v>75</v>
      </c>
      <c r="G143" s="1" t="s">
        <v>77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3" s="2">
        <f>Games[[#This Row],[DaysOff]]-Games[[#This Row],[OppDaysOff]]</f>
        <v>1</v>
      </c>
      <c r="L143" s="2">
        <f>Games[[#This Row],[OppDaysOff]]-Games[[#This Row],[DaysOff]]</f>
        <v>-1</v>
      </c>
      <c r="M143" s="1">
        <f>MAX(-16, MIN(16, Games[[#This Row],[RestDiff]]*8))</f>
        <v>8</v>
      </c>
      <c r="N143" s="1">
        <f>MAX(-16, MIN(16, Games[[#This Row],[OppRestDiff]]*8))</f>
        <v>-8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1468.1173070026939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1484.1605096342146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0.61852544396230602</v>
      </c>
      <c r="R143" s="1">
        <v>80</v>
      </c>
      <c r="S143" s="1">
        <v>55</v>
      </c>
      <c r="T143" s="1">
        <v>0</v>
      </c>
      <c r="U143" s="1">
        <f>Games[[#This Row],[PointsFor]]-Games[[#This Row],[PointsAgainst]]</f>
        <v>25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0.63288346368546933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74.8</v>
      </c>
      <c r="Z143" s="4">
        <f>Games[[#This Row],[K]]*Games[[#This Row],[POMult]]</f>
        <v>74.8</v>
      </c>
      <c r="AA143" s="4">
        <f>(Games[[#This Row],[Keff]]*Games[[#This Row],[MOVMult]])*(Games[[#This Row],[Result]]-Games[[#This Row],[ExpectedWin%]])</f>
        <v>18.058884587309329</v>
      </c>
      <c r="AB143" s="4">
        <f>Games[[#This Row],[PreGmRate]]+Games[[#This Row],[RatingChange]]</f>
        <v>1486.1761915900033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36697</v>
      </c>
      <c r="B144" s="2">
        <v>2000</v>
      </c>
      <c r="C144" s="2">
        <f>COUNTIFS(Games[Team],Games[[#This Row],[Team]],Games[Season],Games[[#This Row],[Season]],Games[Date],"&lt;=" &amp; Games[[#This Row],[Date]])</f>
        <v>11</v>
      </c>
      <c r="D144" s="2" t="s">
        <v>23</v>
      </c>
      <c r="E144" s="2" t="s">
        <v>29</v>
      </c>
      <c r="F144" s="1" t="s">
        <v>2</v>
      </c>
      <c r="G144" s="1" t="s">
        <v>71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1673.2841848155044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1580.3584469871325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0.51284234412867391</v>
      </c>
      <c r="R144" s="1">
        <v>84</v>
      </c>
      <c r="S144" s="1">
        <v>90</v>
      </c>
      <c r="T144" s="1">
        <v>0</v>
      </c>
      <c r="U144" s="1">
        <f>Games[[#This Row],[PointsFor]]-Games[[#This Row],[PointsAgainst]]</f>
        <v>-6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0.32603335286465346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-12.431595760227291</v>
      </c>
      <c r="AB144" s="4">
        <f>Games[[#This Row],[PreGmRate]]+Games[[#This Row],[RatingChange]]</f>
        <v>1660.8525890552771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36697</v>
      </c>
      <c r="B145" s="2">
        <v>2000</v>
      </c>
      <c r="C145" s="2">
        <f>COUNTIFS(Games[Team],Games[[#This Row],[Team]],Games[Season],Games[[#This Row],[Season]],Games[Date],"&lt;=" &amp; Games[[#This Row],[Date]])</f>
        <v>9</v>
      </c>
      <c r="D145" s="2" t="s">
        <v>23</v>
      </c>
      <c r="E145" s="2" t="s">
        <v>29</v>
      </c>
      <c r="F145" s="1" t="s">
        <v>71</v>
      </c>
      <c r="G145" s="1" t="s">
        <v>2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1580.3584469871325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1673.2841848155044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0.48715765587132615</v>
      </c>
      <c r="R145" s="1">
        <v>90</v>
      </c>
      <c r="S145" s="1">
        <v>84</v>
      </c>
      <c r="T145" s="1">
        <v>0</v>
      </c>
      <c r="U145" s="1">
        <f>Games[[#This Row],[PointsFor]]-Games[[#This Row],[PointsAgainst]]</f>
        <v>6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0.32603335286465346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74.650000000000006</v>
      </c>
      <c r="Z145" s="4">
        <f>Games[[#This Row],[K]]*Games[[#This Row],[POMult]]</f>
        <v>74.650000000000006</v>
      </c>
      <c r="AA145" s="4">
        <f>(Games[[#This Row],[Keff]]*Games[[#This Row],[MOVMult]])*(Games[[#This Row],[Result]]-Games[[#This Row],[ExpectedWin%]])</f>
        <v>12.481756872911463</v>
      </c>
      <c r="AB145" s="4">
        <f>Games[[#This Row],[PreGmRate]]+Games[[#This Row],[RatingChange]]</f>
        <v>1592.8402038600441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36697</v>
      </c>
      <c r="B146" s="2">
        <v>2000</v>
      </c>
      <c r="C146" s="2">
        <f>COUNTIFS(Games[Team],Games[[#This Row],[Team]],Games[Season],Games[[#This Row],[Season]],Games[Date],"&lt;=" &amp; Games[[#This Row],[Date]])</f>
        <v>9</v>
      </c>
      <c r="D146" s="2" t="s">
        <v>23</v>
      </c>
      <c r="E146" s="2" t="s">
        <v>29</v>
      </c>
      <c r="F146" s="1" t="s">
        <v>44</v>
      </c>
      <c r="G146" s="1" t="s">
        <v>80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1</v>
      </c>
      <c r="L146" s="2">
        <f>Games[[#This Row],[OppDaysOff]]-Games[[#This Row],[DaysOff]]</f>
        <v>-1</v>
      </c>
      <c r="M146" s="1">
        <f>MAX(-16, MIN(16, Games[[#This Row],[RestDiff]]*8))</f>
        <v>8</v>
      </c>
      <c r="N146" s="1">
        <f>MAX(-16, MIN(16, Games[[#This Row],[OppRestDiff]]*8))</f>
        <v>-8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1537.7763562900577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1543.4461522447773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0.3955414686378389</v>
      </c>
      <c r="R146" s="1">
        <v>74</v>
      </c>
      <c r="S146" s="1">
        <v>55</v>
      </c>
      <c r="T146" s="1">
        <v>0</v>
      </c>
      <c r="U146" s="1">
        <f>Games[[#This Row],[PointsFor]]-Games[[#This Row],[PointsAgainst]]</f>
        <v>19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0.55833951346078303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74.650000000000006</v>
      </c>
      <c r="Z146" s="4">
        <f>Games[[#This Row],[K]]*Games[[#This Row],[POMult]]</f>
        <v>74.650000000000006</v>
      </c>
      <c r="AA146" s="4">
        <f>(Games[[#This Row],[Keff]]*Games[[#This Row],[MOVMult]])*(Games[[#This Row],[Result]]-Games[[#This Row],[ExpectedWin%]])</f>
        <v>25.19385859428985</v>
      </c>
      <c r="AB146" s="4">
        <f>Games[[#This Row],[PreGmRate]]+Games[[#This Row],[RatingChange]]</f>
        <v>1562.9702148843476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36697</v>
      </c>
      <c r="B147" s="2">
        <v>2000</v>
      </c>
      <c r="C147" s="2">
        <f>COUNTIFS(Games[Team],Games[[#This Row],[Team]],Games[Season],Games[[#This Row],[Season]],Games[Date],"&lt;=" &amp; Games[[#This Row],[Date]])</f>
        <v>10</v>
      </c>
      <c r="D147" s="2" t="s">
        <v>23</v>
      </c>
      <c r="E147" s="2" t="s">
        <v>29</v>
      </c>
      <c r="F147" s="1" t="s">
        <v>80</v>
      </c>
      <c r="G147" s="1" t="s">
        <v>44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-1</v>
      </c>
      <c r="L147" s="2">
        <f>Games[[#This Row],[OppDaysOff]]-Games[[#This Row],[DaysOff]]</f>
        <v>1</v>
      </c>
      <c r="M147" s="1">
        <f>MAX(-16, MIN(16, Games[[#This Row],[RestDiff]]*8))</f>
        <v>-8</v>
      </c>
      <c r="N147" s="1">
        <f>MAX(-16, MIN(16, Games[[#This Row],[OppRestDiff]]*8))</f>
        <v>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1543.4461522447773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1537.7763562900577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0.6044585313621611</v>
      </c>
      <c r="R147" s="1">
        <v>55</v>
      </c>
      <c r="S147" s="1">
        <v>74</v>
      </c>
      <c r="T147" s="1">
        <v>0</v>
      </c>
      <c r="U147" s="1">
        <f>Games[[#This Row],[PointsFor]]-Games[[#This Row],[PointsAgainst]]</f>
        <v>-19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0.55833951346078303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74.5</v>
      </c>
      <c r="Z147" s="4">
        <f>Games[[#This Row],[K]]*Games[[#This Row],[POMult]]</f>
        <v>74.5</v>
      </c>
      <c r="AA147" s="4">
        <f>(Games[[#This Row],[Keff]]*Games[[#This Row],[MOVMult]])*(Games[[#This Row],[Result]]-Games[[#This Row],[ExpectedWin%]])</f>
        <v>-25.143234631943653</v>
      </c>
      <c r="AB147" s="4">
        <f>Games[[#This Row],[PreGmRate]]+Games[[#This Row],[RatingChange]]</f>
        <v>1518.3029176128337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36697</v>
      </c>
      <c r="B148" s="2">
        <v>2000</v>
      </c>
      <c r="C148" s="2">
        <f>COUNTIFS(Games[Team],Games[[#This Row],[Team]],Games[Season],Games[[#This Row],[Season]],Games[Date],"&lt;=" &amp; Games[[#This Row],[Date]])</f>
        <v>10</v>
      </c>
      <c r="D148" s="2" t="s">
        <v>23</v>
      </c>
      <c r="E148" s="2" t="s">
        <v>29</v>
      </c>
      <c r="F148" s="1" t="s">
        <v>64</v>
      </c>
      <c r="G148" s="1" t="s">
        <v>89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-1</v>
      </c>
      <c r="L148" s="2">
        <f>Games[[#This Row],[OppDaysOff]]-Games[[#This Row],[DaysOff]]</f>
        <v>1</v>
      </c>
      <c r="M148" s="1">
        <f>MAX(-16, MIN(16, Games[[#This Row],[RestDiff]]*8))</f>
        <v>-8</v>
      </c>
      <c r="N148" s="1">
        <f>MAX(-16, MIN(16, Games[[#This Row],[OppRestDiff]]*8))</f>
        <v>8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1407.0420150298555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1443.7119660809983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0.31287005464272116</v>
      </c>
      <c r="R148" s="1">
        <v>87</v>
      </c>
      <c r="S148" s="1">
        <v>85</v>
      </c>
      <c r="T148" s="1">
        <v>1</v>
      </c>
      <c r="U148" s="1">
        <f>Games[[#This Row],[PointsFor]]-Games[[#This Row],[PointsAgainst]]</f>
        <v>2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0.2339093193204633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74.5</v>
      </c>
      <c r="Z148" s="4">
        <f>Games[[#This Row],[K]]*Games[[#This Row],[POMult]]</f>
        <v>74.5</v>
      </c>
      <c r="AA148" s="4">
        <f>(Games[[#This Row],[Keff]]*Games[[#This Row],[MOVMult]])*(Games[[#This Row],[Result]]-Games[[#This Row],[ExpectedWin%]])</f>
        <v>11.974094286340502</v>
      </c>
      <c r="AB148" s="4">
        <f>Games[[#This Row],[PreGmRate]]+Games[[#This Row],[RatingChange]]</f>
        <v>1419.016109316196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36697</v>
      </c>
      <c r="B149" s="2">
        <v>2000</v>
      </c>
      <c r="C149" s="2">
        <f>COUNTIFS(Games[Team],Games[[#This Row],[Team]],Games[Season],Games[[#This Row],[Season]],Games[Date],"&lt;=" &amp; Games[[#This Row],[Date]])</f>
        <v>8</v>
      </c>
      <c r="D149" s="2" t="s">
        <v>23</v>
      </c>
      <c r="E149" s="2" t="s">
        <v>29</v>
      </c>
      <c r="F149" s="1" t="s">
        <v>89</v>
      </c>
      <c r="G149" s="1" t="s">
        <v>64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1</v>
      </c>
      <c r="L149" s="2">
        <f>Games[[#This Row],[OppDaysOff]]-Games[[#This Row],[DaysOff]]</f>
        <v>-1</v>
      </c>
      <c r="M149" s="1">
        <f>MAX(-16, MIN(16, Games[[#This Row],[RestDiff]]*8))</f>
        <v>8</v>
      </c>
      <c r="N149" s="1">
        <f>MAX(-16, MIN(16, Games[[#This Row],[OppRestDiff]]*8))</f>
        <v>-8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1443.7119660809983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1407.0420150298555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0.68712994535727889</v>
      </c>
      <c r="R149" s="1">
        <v>85</v>
      </c>
      <c r="S149" s="1">
        <v>87</v>
      </c>
      <c r="T149" s="1">
        <v>1</v>
      </c>
      <c r="U149" s="1">
        <f>Games[[#This Row],[PointsFor]]-Games[[#This Row],[PointsAgainst]]</f>
        <v>-2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0.2339093193204633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74.8</v>
      </c>
      <c r="Z149" s="4">
        <f>Games[[#This Row],[K]]*Games[[#This Row],[POMult]]</f>
        <v>74.8</v>
      </c>
      <c r="AA149" s="4">
        <f>(Games[[#This Row],[Keff]]*Games[[#This Row],[MOVMult]])*(Games[[#This Row],[Result]]-Games[[#This Row],[ExpectedWin%]])</f>
        <v>-12.022312115681473</v>
      </c>
      <c r="AB149" s="4">
        <f>Games[[#This Row],[PreGmRate]]+Games[[#This Row],[RatingChange]]</f>
        <v>1431.6896539653169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36697</v>
      </c>
      <c r="B150" s="2">
        <v>2000</v>
      </c>
      <c r="C150" s="2">
        <f>COUNTIFS(Games[Team],Games[[#This Row],[Team]],Games[Season],Games[[#This Row],[Season]],Games[Date],"&lt;=" &amp; Games[[#This Row],[Date]])</f>
        <v>10</v>
      </c>
      <c r="D150" s="2" t="s">
        <v>23</v>
      </c>
      <c r="E150" s="2" t="s">
        <v>29</v>
      </c>
      <c r="F150" s="1" t="s">
        <v>87</v>
      </c>
      <c r="G150" s="1" t="s">
        <v>43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1432.9911926391867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1522.0229909907216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0.26971853052575528</v>
      </c>
      <c r="R150" s="1">
        <v>63</v>
      </c>
      <c r="S150" s="1">
        <v>66</v>
      </c>
      <c r="T150" s="1">
        <v>0</v>
      </c>
      <c r="U150" s="1">
        <f>Games[[#This Row],[PointsFor]]-Games[[#This Row],[PointsAgainst]]</f>
        <v>-3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0.27014091177872224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74.5</v>
      </c>
      <c r="Z150" s="4">
        <f>Games[[#This Row],[K]]*Games[[#This Row],[POMult]]</f>
        <v>74.5</v>
      </c>
      <c r="AA150" s="4">
        <f>(Games[[#This Row],[Keff]]*Games[[#This Row],[MOVMult]])*(Games[[#This Row],[Result]]-Games[[#This Row],[ExpectedWin%]])</f>
        <v>-5.4282197271084272</v>
      </c>
      <c r="AB150" s="4">
        <f>Games[[#This Row],[PreGmRate]]+Games[[#This Row],[RatingChange]]</f>
        <v>1427.5629729120783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36697</v>
      </c>
      <c r="B151" s="2">
        <v>2000</v>
      </c>
      <c r="C151" s="2">
        <f>COUNTIFS(Games[Team],Games[[#This Row],[Team]],Games[Season],Games[[#This Row],[Season]],Games[Date],"&lt;=" &amp; Games[[#This Row],[Date]])</f>
        <v>12</v>
      </c>
      <c r="D151" s="2" t="s">
        <v>23</v>
      </c>
      <c r="E151" s="2" t="s">
        <v>29</v>
      </c>
      <c r="F151" s="1" t="s">
        <v>43</v>
      </c>
      <c r="G151" s="1" t="s">
        <v>87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1522.0229909907216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1432.9911926391867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0.73028146947424466</v>
      </c>
      <c r="R151" s="1">
        <v>66</v>
      </c>
      <c r="S151" s="1">
        <v>63</v>
      </c>
      <c r="T151" s="1">
        <v>0</v>
      </c>
      <c r="U151" s="1">
        <f>Games[[#This Row],[PointsFor]]-Games[[#This Row],[PointsAgainst]]</f>
        <v>3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0.27014091177872224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74.2</v>
      </c>
      <c r="Z151" s="4">
        <f>Games[[#This Row],[K]]*Games[[#This Row],[POMult]]</f>
        <v>74.2</v>
      </c>
      <c r="AA151" s="4">
        <f>(Games[[#This Row],[Keff]]*Games[[#This Row],[MOVMult]])*(Games[[#This Row],[Result]]-Games[[#This Row],[ExpectedWin%]])</f>
        <v>5.4063611241804752</v>
      </c>
      <c r="AB151" s="4">
        <f>Games[[#This Row],[PreGmRate]]+Games[[#This Row],[RatingChange]]</f>
        <v>1527.429352114902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36698</v>
      </c>
      <c r="B152" s="2">
        <v>2000</v>
      </c>
      <c r="C152" s="2">
        <f>COUNTIFS(Games[Team],Games[[#This Row],[Team]],Games[Season],Games[[#This Row],[Season]],Games[Date],"&lt;=" &amp; Games[[#This Row],[Date]])</f>
        <v>10</v>
      </c>
      <c r="D152" s="2" t="s">
        <v>23</v>
      </c>
      <c r="E152" s="2" t="s">
        <v>29</v>
      </c>
      <c r="F152" s="1" t="s">
        <v>45</v>
      </c>
      <c r="G152" s="1" t="s">
        <v>85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-1</v>
      </c>
      <c r="L152" s="2">
        <f>Games[[#This Row],[OppDaysOff]]-Games[[#This Row],[DaysOff]]</f>
        <v>1</v>
      </c>
      <c r="M152" s="1">
        <f>MAX(-16, MIN(16, Games[[#This Row],[RestDiff]]*8))</f>
        <v>-8</v>
      </c>
      <c r="N152" s="1">
        <f>MAX(-16, MIN(16, Games[[#This Row],[OppRestDiff]]*8))</f>
        <v>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1542.9550002914223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1468.0022706547841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0.4640163972048969</v>
      </c>
      <c r="R152" s="1">
        <v>70</v>
      </c>
      <c r="S152" s="1">
        <v>58</v>
      </c>
      <c r="T152" s="1">
        <v>0</v>
      </c>
      <c r="U152" s="1">
        <f>Games[[#This Row],[PointsFor]]-Games[[#This Row],[PointsAgainst]]</f>
        <v>12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0.42931421610261994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74.5</v>
      </c>
      <c r="Z152" s="4">
        <f>Games[[#This Row],[K]]*Games[[#This Row],[POMult]]</f>
        <v>74.5</v>
      </c>
      <c r="AA152" s="4">
        <f>(Games[[#This Row],[Keff]]*Games[[#This Row],[MOVMult]])*(Games[[#This Row],[Result]]-Games[[#This Row],[ExpectedWin%]])</f>
        <v>17.142850830698908</v>
      </c>
      <c r="AB152" s="4">
        <f>Games[[#This Row],[PreGmRate]]+Games[[#This Row],[RatingChange]]</f>
        <v>1560.0978511221213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36698</v>
      </c>
      <c r="B153" s="2">
        <v>2000</v>
      </c>
      <c r="C153" s="2">
        <f>COUNTIFS(Games[Team],Games[[#This Row],[Team]],Games[Season],Games[[#This Row],[Season]],Games[Date],"&lt;=" &amp; Games[[#This Row],[Date]])</f>
        <v>9</v>
      </c>
      <c r="D153" s="2" t="s">
        <v>23</v>
      </c>
      <c r="E153" s="2" t="s">
        <v>29</v>
      </c>
      <c r="F153" s="1" t="s">
        <v>85</v>
      </c>
      <c r="G153" s="1" t="s">
        <v>45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1</v>
      </c>
      <c r="L153" s="2">
        <f>Games[[#This Row],[OppDaysOff]]-Games[[#This Row],[DaysOff]]</f>
        <v>-1</v>
      </c>
      <c r="M153" s="1">
        <f>MAX(-16, MIN(16, Games[[#This Row],[RestDiff]]*8))</f>
        <v>8</v>
      </c>
      <c r="N153" s="1">
        <f>MAX(-16, MIN(16, Games[[#This Row],[OppRestDiff]]*8))</f>
        <v>-8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1468.0022706547841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1542.9550002914223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0.53598360279510315</v>
      </c>
      <c r="R153" s="1">
        <v>58</v>
      </c>
      <c r="S153" s="1">
        <v>70</v>
      </c>
      <c r="T153" s="1">
        <v>0</v>
      </c>
      <c r="U153" s="1">
        <f>Games[[#This Row],[PointsFor]]-Games[[#This Row],[PointsAgainst]]</f>
        <v>-12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0.42931421610261994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74.650000000000006</v>
      </c>
      <c r="Z153" s="4">
        <f>Games[[#This Row],[K]]*Games[[#This Row],[POMult]]</f>
        <v>74.650000000000006</v>
      </c>
      <c r="AA153" s="4">
        <f>(Games[[#This Row],[Keff]]*Games[[#This Row],[MOVMult]])*(Games[[#This Row],[Result]]-Games[[#This Row],[ExpectedWin%]])</f>
        <v>-17.177366637740587</v>
      </c>
      <c r="AB153" s="4">
        <f>Games[[#This Row],[PreGmRate]]+Games[[#This Row],[RatingChange]]</f>
        <v>1450.8249040170435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36698</v>
      </c>
      <c r="B154" s="2">
        <v>2000</v>
      </c>
      <c r="C154" s="2">
        <f>COUNTIFS(Games[Team],Games[[#This Row],[Team]],Games[Season],Games[[#This Row],[Season]],Games[Date],"&lt;=" &amp; Games[[#This Row],[Date]])</f>
        <v>10</v>
      </c>
      <c r="D154" s="2" t="s">
        <v>23</v>
      </c>
      <c r="E154" s="2" t="s">
        <v>29</v>
      </c>
      <c r="F154" s="1" t="s">
        <v>77</v>
      </c>
      <c r="G154" s="1" t="s">
        <v>66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4" s="2">
        <f>Games[[#This Row],[DaysOff]]-Games[[#This Row],[OppDaysOff]]</f>
        <v>-1</v>
      </c>
      <c r="L154" s="2">
        <f>Games[[#This Row],[OppDaysOff]]-Games[[#This Row],[DaysOff]]</f>
        <v>1</v>
      </c>
      <c r="M154" s="1">
        <f>MAX(-16, MIN(16, Games[[#This Row],[RestDiff]]*8))</f>
        <v>-8</v>
      </c>
      <c r="N154" s="1">
        <f>MAX(-16, MIN(16, Games[[#This Row],[OppRestDiff]]*8))</f>
        <v>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1466.1378393876553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1498.1439828385064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0.31867048644804846</v>
      </c>
      <c r="R154" s="1">
        <v>67</v>
      </c>
      <c r="S154" s="1">
        <v>63</v>
      </c>
      <c r="T154" s="1">
        <v>0</v>
      </c>
      <c r="U154" s="1">
        <f>Games[[#This Row],[PointsFor]]-Games[[#This Row],[PointsAgainst]]</f>
        <v>4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0.30334206032274069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74.5</v>
      </c>
      <c r="Z154" s="4">
        <f>Games[[#This Row],[K]]*Games[[#This Row],[POMult]]</f>
        <v>74.5</v>
      </c>
      <c r="AA154" s="4">
        <f>(Games[[#This Row],[Keff]]*Games[[#This Row],[MOVMult]])*(Games[[#This Row],[Result]]-Games[[#This Row],[ExpectedWin%]])</f>
        <v>15.397354430765702</v>
      </c>
      <c r="AB154" s="4">
        <f>Games[[#This Row],[PreGmRate]]+Games[[#This Row],[RatingChange]]</f>
        <v>1481.535193818421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36698</v>
      </c>
      <c r="B155" s="2">
        <v>2000</v>
      </c>
      <c r="C155" s="2">
        <f>COUNTIFS(Games[Team],Games[[#This Row],[Team]],Games[Season],Games[[#This Row],[Season]],Games[Date],"&lt;=" &amp; Games[[#This Row],[Date]])</f>
        <v>10</v>
      </c>
      <c r="D155" s="2" t="s">
        <v>23</v>
      </c>
      <c r="E155" s="2" t="s">
        <v>29</v>
      </c>
      <c r="F155" s="1" t="s">
        <v>66</v>
      </c>
      <c r="G155" s="1" t="s">
        <v>77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1</v>
      </c>
      <c r="L155" s="2">
        <f>Games[[#This Row],[OppDaysOff]]-Games[[#This Row],[DaysOff]]</f>
        <v>-1</v>
      </c>
      <c r="M155" s="1">
        <f>MAX(-16, MIN(16, Games[[#This Row],[RestDiff]]*8))</f>
        <v>8</v>
      </c>
      <c r="N155" s="1">
        <f>MAX(-16, MIN(16, Games[[#This Row],[OppRestDiff]]*8))</f>
        <v>-8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1498.1439828385064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1466.1378393876553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0.68132951355195148</v>
      </c>
      <c r="R155" s="1">
        <v>63</v>
      </c>
      <c r="S155" s="1">
        <v>67</v>
      </c>
      <c r="T155" s="1">
        <v>0</v>
      </c>
      <c r="U155" s="1">
        <f>Games[[#This Row],[PointsFor]]-Games[[#This Row],[PointsAgainst]]</f>
        <v>-4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0.30334206032274069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74.5</v>
      </c>
      <c r="Z155" s="4">
        <f>Games[[#This Row],[K]]*Games[[#This Row],[POMult]]</f>
        <v>74.5</v>
      </c>
      <c r="AA155" s="4">
        <f>(Games[[#This Row],[Keff]]*Games[[#This Row],[MOVMult]])*(Games[[#This Row],[Result]]-Games[[#This Row],[ExpectedWin%]])</f>
        <v>-15.397354430765702</v>
      </c>
      <c r="AB155" s="4">
        <f>Games[[#This Row],[PreGmRate]]+Games[[#This Row],[RatingChange]]</f>
        <v>1482.7466284077407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36698</v>
      </c>
      <c r="B156" s="2">
        <v>2000</v>
      </c>
      <c r="C156" s="2">
        <f>COUNTIFS(Games[Team],Games[[#This Row],[Team]],Games[Season],Games[[#This Row],[Season]],Games[Date],"&lt;=" &amp; Games[[#This Row],[Date]])</f>
        <v>10</v>
      </c>
      <c r="D156" s="2" t="s">
        <v>23</v>
      </c>
      <c r="E156" s="2" t="s">
        <v>29</v>
      </c>
      <c r="F156" s="1" t="s">
        <v>83</v>
      </c>
      <c r="G156" s="1" t="s">
        <v>75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1</v>
      </c>
      <c r="L156" s="2">
        <f>Games[[#This Row],[OppDaysOff]]-Games[[#This Row],[DaysOff]]</f>
        <v>-1</v>
      </c>
      <c r="M156" s="1">
        <f>MAX(-16, MIN(16, Games[[#This Row],[RestDiff]]*8))</f>
        <v>8</v>
      </c>
      <c r="N156" s="1">
        <f>MAX(-16, MIN(16, Games[[#This Row],[OppRestDiff]]*8))</f>
        <v>-8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1448.4660824359808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1486.1761915900033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0.3523977233265444</v>
      </c>
      <c r="R156" s="1">
        <v>57</v>
      </c>
      <c r="S156" s="1">
        <v>55</v>
      </c>
      <c r="T156" s="1">
        <v>0</v>
      </c>
      <c r="U156" s="1">
        <f>Games[[#This Row],[PointsFor]]-Games[[#This Row],[PointsAgainst]]</f>
        <v>2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0.25968082719408986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74.5</v>
      </c>
      <c r="Z156" s="4">
        <f>Games[[#This Row],[K]]*Games[[#This Row],[POMult]]</f>
        <v>74.5</v>
      </c>
      <c r="AA156" s="4">
        <f>(Games[[#This Row],[Keff]]*Games[[#This Row],[MOVMult]])*(Games[[#This Row],[Result]]-Games[[#This Row],[ExpectedWin%]])</f>
        <v>12.52865717000074</v>
      </c>
      <c r="AB156" s="4">
        <f>Games[[#This Row],[PreGmRate]]+Games[[#This Row],[RatingChange]]</f>
        <v>1460.9947396059815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36698</v>
      </c>
      <c r="B157" s="2">
        <v>2000</v>
      </c>
      <c r="C157" s="2">
        <f>COUNTIFS(Games[Team],Games[[#This Row],[Team]],Games[Season],Games[[#This Row],[Season]],Games[Date],"&lt;=" &amp; Games[[#This Row],[Date]])</f>
        <v>9</v>
      </c>
      <c r="D157" s="2" t="s">
        <v>23</v>
      </c>
      <c r="E157" s="2" t="s">
        <v>29</v>
      </c>
      <c r="F157" s="1" t="s">
        <v>75</v>
      </c>
      <c r="G157" s="1" t="s">
        <v>83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7" s="2">
        <f>Games[[#This Row],[DaysOff]]-Games[[#This Row],[OppDaysOff]]</f>
        <v>-1</v>
      </c>
      <c r="L157" s="2">
        <f>Games[[#This Row],[OppDaysOff]]-Games[[#This Row],[DaysOff]]</f>
        <v>1</v>
      </c>
      <c r="M157" s="1">
        <f>MAX(-16, MIN(16, Games[[#This Row],[RestDiff]]*8))</f>
        <v>-8</v>
      </c>
      <c r="N157" s="1">
        <f>MAX(-16, MIN(16, Games[[#This Row],[OppRestDiff]]*8))</f>
        <v>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1486.1761915900033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1448.4660824359808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0.64760227667345549</v>
      </c>
      <c r="R157" s="1">
        <v>55</v>
      </c>
      <c r="S157" s="1">
        <v>57</v>
      </c>
      <c r="T157" s="1">
        <v>0</v>
      </c>
      <c r="U157" s="1">
        <f>Games[[#This Row],[PointsFor]]-Games[[#This Row],[PointsAgainst]]</f>
        <v>-2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0.25968082719408986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74.650000000000006</v>
      </c>
      <c r="Z157" s="4">
        <f>Games[[#This Row],[K]]*Games[[#This Row],[POMult]]</f>
        <v>74.650000000000006</v>
      </c>
      <c r="AA157" s="4">
        <f>(Games[[#This Row],[Keff]]*Games[[#This Row],[MOVMult]])*(Games[[#This Row],[Result]]-Games[[#This Row],[ExpectedWin%]])</f>
        <v>-12.55388265423564</v>
      </c>
      <c r="AB157" s="4">
        <f>Games[[#This Row],[PreGmRate]]+Games[[#This Row],[RatingChange]]</f>
        <v>1473.6223089357677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36699</v>
      </c>
      <c r="B158" s="2">
        <v>2000</v>
      </c>
      <c r="C158" s="2">
        <f>COUNTIFS(Games[Team],Games[[#This Row],[Team]],Games[Season],Games[[#This Row],[Season]],Games[Date],"&lt;=" &amp; Games[[#This Row],[Date]])</f>
        <v>10</v>
      </c>
      <c r="D158" s="2" t="s">
        <v>23</v>
      </c>
      <c r="E158" s="2" t="s">
        <v>29</v>
      </c>
      <c r="F158" s="1" t="s">
        <v>44</v>
      </c>
      <c r="G158" s="1" t="s">
        <v>64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1562.9702148843476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1419.016109316196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0.58543456105949454</v>
      </c>
      <c r="R158" s="1">
        <v>90</v>
      </c>
      <c r="S158" s="1">
        <v>57</v>
      </c>
      <c r="T158" s="1">
        <v>0</v>
      </c>
      <c r="U158" s="1">
        <f>Games[[#This Row],[PointsFor]]-Games[[#This Row],[PointsAgainst]]</f>
        <v>33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0.65991153486204501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74.5</v>
      </c>
      <c r="Z158" s="4">
        <f>Games[[#This Row],[K]]*Games[[#This Row],[POMult]]</f>
        <v>74.5</v>
      </c>
      <c r="AA158" s="4">
        <f>(Games[[#This Row],[Keff]]*Games[[#This Row],[MOVMult]])*(Games[[#This Row],[Result]]-Games[[#This Row],[ExpectedWin%]])</f>
        <v>20.381450375842984</v>
      </c>
      <c r="AB158" s="4">
        <f>Games[[#This Row],[PreGmRate]]+Games[[#This Row],[RatingChange]]</f>
        <v>1583.3516652601907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36699</v>
      </c>
      <c r="B159" s="2">
        <v>2000</v>
      </c>
      <c r="C159" s="2">
        <f>COUNTIFS(Games[Team],Games[[#This Row],[Team]],Games[Season],Games[[#This Row],[Season]],Games[Date],"&lt;=" &amp; Games[[#This Row],[Date]])</f>
        <v>11</v>
      </c>
      <c r="D159" s="2" t="s">
        <v>23</v>
      </c>
      <c r="E159" s="2" t="s">
        <v>29</v>
      </c>
      <c r="F159" s="1" t="s">
        <v>64</v>
      </c>
      <c r="G159" s="1" t="s">
        <v>44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1419.016109316196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1562.9702148843476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0.41456543894050546</v>
      </c>
      <c r="R159" s="1">
        <v>57</v>
      </c>
      <c r="S159" s="1">
        <v>90</v>
      </c>
      <c r="T159" s="1">
        <v>0</v>
      </c>
      <c r="U159" s="1">
        <f>Games[[#This Row],[PointsFor]]-Games[[#This Row],[PointsAgainst]]</f>
        <v>-33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0.65991153486204501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74.349999999999994</v>
      </c>
      <c r="Z159" s="4">
        <f>Games[[#This Row],[K]]*Games[[#This Row],[POMult]]</f>
        <v>74.349999999999994</v>
      </c>
      <c r="AA159" s="4">
        <f>(Games[[#This Row],[Keff]]*Games[[#This Row],[MOVMult]])*(Games[[#This Row],[Result]]-Games[[#This Row],[ExpectedWin%]])</f>
        <v>-20.340413898576184</v>
      </c>
      <c r="AB159" s="4">
        <f>Games[[#This Row],[PreGmRate]]+Games[[#This Row],[RatingChange]]</f>
        <v>1398.6756954176199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36699</v>
      </c>
      <c r="B160" s="2">
        <v>2000</v>
      </c>
      <c r="C160" s="2">
        <f>COUNTIFS(Games[Team],Games[[#This Row],[Team]],Games[Season],Games[[#This Row],[Season]],Games[Date],"&lt;=" &amp; Games[[#This Row],[Date]])</f>
        <v>13</v>
      </c>
      <c r="D160" s="2" t="s">
        <v>23</v>
      </c>
      <c r="E160" s="2" t="s">
        <v>29</v>
      </c>
      <c r="F160" s="1" t="s">
        <v>43</v>
      </c>
      <c r="G160" s="1" t="s">
        <v>80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1527.429352114902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1518.3029176128337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0.39388592131671962</v>
      </c>
      <c r="R160" s="1">
        <v>64</v>
      </c>
      <c r="S160" s="1">
        <v>86</v>
      </c>
      <c r="T160" s="1">
        <v>0</v>
      </c>
      <c r="U160" s="1">
        <f>Games[[#This Row],[PointsFor]]-Games[[#This Row],[PointsAgainst]]</f>
        <v>-22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0.59751187714436804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74.05</v>
      </c>
      <c r="Z160" s="4">
        <f>Games[[#This Row],[K]]*Games[[#This Row],[POMult]]</f>
        <v>74.05</v>
      </c>
      <c r="AA160" s="4">
        <f>(Games[[#This Row],[Keff]]*Games[[#This Row],[MOVMult]])*(Games[[#This Row],[Result]]-Games[[#This Row],[ExpectedWin%]])</f>
        <v>-17.42777977658654</v>
      </c>
      <c r="AB160" s="4">
        <f>Games[[#This Row],[PreGmRate]]+Games[[#This Row],[RatingChange]]</f>
        <v>1510.0015723383156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36699</v>
      </c>
      <c r="B161" s="2">
        <v>2000</v>
      </c>
      <c r="C161" s="2">
        <f>COUNTIFS(Games[Team],Games[[#This Row],[Team]],Games[Season],Games[[#This Row],[Season]],Games[Date],"&lt;=" &amp; Games[[#This Row],[Date]])</f>
        <v>11</v>
      </c>
      <c r="D161" s="2" t="s">
        <v>23</v>
      </c>
      <c r="E161" s="2" t="s">
        <v>29</v>
      </c>
      <c r="F161" s="1" t="s">
        <v>80</v>
      </c>
      <c r="G161" s="1" t="s">
        <v>43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1518.3029176128337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1527.429352114902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0.60611407868328038</v>
      </c>
      <c r="R161" s="1">
        <v>86</v>
      </c>
      <c r="S161" s="1">
        <v>64</v>
      </c>
      <c r="T161" s="1">
        <v>0</v>
      </c>
      <c r="U161" s="1">
        <f>Games[[#This Row],[PointsFor]]-Games[[#This Row],[PointsAgainst]]</f>
        <v>22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0.59751187714436804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74.349999999999994</v>
      </c>
      <c r="Z161" s="4">
        <f>Games[[#This Row],[K]]*Games[[#This Row],[POMult]]</f>
        <v>74.349999999999994</v>
      </c>
      <c r="AA161" s="4">
        <f>(Games[[#This Row],[Keff]]*Games[[#This Row],[MOVMult]])*(Games[[#This Row],[Result]]-Games[[#This Row],[ExpectedWin%]])</f>
        <v>17.498385231454549</v>
      </c>
      <c r="AB161" s="4">
        <f>Games[[#This Row],[PreGmRate]]+Games[[#This Row],[RatingChange]]</f>
        <v>1535.8013028442881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36699</v>
      </c>
      <c r="B162" s="2">
        <v>2000</v>
      </c>
      <c r="C162" s="2">
        <f>COUNTIFS(Games[Team],Games[[#This Row],[Team]],Games[Season],Games[[#This Row],[Season]],Games[Date],"&lt;=" &amp; Games[[#This Row],[Date]])</f>
        <v>10</v>
      </c>
      <c r="D162" s="2" t="s">
        <v>23</v>
      </c>
      <c r="E162" s="2" t="s">
        <v>29</v>
      </c>
      <c r="F162" s="1" t="s">
        <v>1</v>
      </c>
      <c r="G162" s="1" t="s">
        <v>79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2" s="2">
        <f>Games[[#This Row],[DaysOff]]-Games[[#This Row],[OppDaysOff]]</f>
        <v>-2</v>
      </c>
      <c r="L162" s="2">
        <f>Games[[#This Row],[OppDaysOff]]-Games[[#This Row],[DaysOff]]</f>
        <v>2</v>
      </c>
      <c r="M162" s="1">
        <f>MAX(-16, MIN(16, Games[[#This Row],[RestDiff]]*8))</f>
        <v>-16</v>
      </c>
      <c r="N162" s="1">
        <f>MAX(-16, MIN(16, Games[[#This Row],[OppRestDiff]]*8))</f>
        <v>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1482.1294455825177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1466.852092751305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0.3589771963744276</v>
      </c>
      <c r="R162" s="1">
        <v>64</v>
      </c>
      <c r="S162" s="1">
        <v>77</v>
      </c>
      <c r="T162" s="1">
        <v>0</v>
      </c>
      <c r="U162" s="1">
        <f>Games[[#This Row],[PointsFor]]-Games[[#This Row],[PointsAgainst]]</f>
        <v>-13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0.46610965427545031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74.5</v>
      </c>
      <c r="Z162" s="4">
        <f>Games[[#This Row],[K]]*Games[[#This Row],[POMult]]</f>
        <v>74.5</v>
      </c>
      <c r="AA162" s="4">
        <f>(Games[[#This Row],[Keff]]*Games[[#This Row],[MOVMult]])*(Games[[#This Row],[Result]]-Games[[#This Row],[ExpectedWin%]])</f>
        <v>-12.46554389866669</v>
      </c>
      <c r="AB162" s="4">
        <f>Games[[#This Row],[PreGmRate]]+Games[[#This Row],[RatingChange]]</f>
        <v>1469.663901683851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36699</v>
      </c>
      <c r="B163" s="2">
        <v>2000</v>
      </c>
      <c r="C163" s="2">
        <f>COUNTIFS(Games[Team],Games[[#This Row],[Team]],Games[Season],Games[[#This Row],[Season]],Games[Date],"&lt;=" &amp; Games[[#This Row],[Date]])</f>
        <v>11</v>
      </c>
      <c r="D163" s="2" t="s">
        <v>23</v>
      </c>
      <c r="E163" s="2" t="s">
        <v>29</v>
      </c>
      <c r="F163" s="1" t="s">
        <v>79</v>
      </c>
      <c r="G163" s="1" t="s">
        <v>1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3" s="2">
        <f>Games[[#This Row],[DaysOff]]-Games[[#This Row],[OppDaysOff]]</f>
        <v>2</v>
      </c>
      <c r="L163" s="2">
        <f>Games[[#This Row],[OppDaysOff]]-Games[[#This Row],[DaysOff]]</f>
        <v>-2</v>
      </c>
      <c r="M163" s="1">
        <f>MAX(-16, MIN(16, Games[[#This Row],[RestDiff]]*8))</f>
        <v>16</v>
      </c>
      <c r="N163" s="1">
        <f>MAX(-16, MIN(16, Games[[#This Row],[OppRestDiff]]*8))</f>
        <v>-16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1466.852092751305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1482.1294455825177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0.6410228036255724</v>
      </c>
      <c r="R163" s="1">
        <v>77</v>
      </c>
      <c r="S163" s="1">
        <v>64</v>
      </c>
      <c r="T163" s="1">
        <v>0</v>
      </c>
      <c r="U163" s="1">
        <f>Games[[#This Row],[PointsFor]]-Games[[#This Row],[PointsAgainst]]</f>
        <v>13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0.46610965427545031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74.349999999999994</v>
      </c>
      <c r="Z163" s="4">
        <f>Games[[#This Row],[K]]*Games[[#This Row],[POMult]]</f>
        <v>74.349999999999994</v>
      </c>
      <c r="AA163" s="4">
        <f>(Games[[#This Row],[Keff]]*Games[[#This Row],[MOVMult]])*(Games[[#This Row],[Result]]-Games[[#This Row],[ExpectedWin%]])</f>
        <v>12.440445488132461</v>
      </c>
      <c r="AB163" s="4">
        <f>Games[[#This Row],[PreGmRate]]+Games[[#This Row],[RatingChange]]</f>
        <v>1479.2925382394374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36700</v>
      </c>
      <c r="B164" s="2">
        <v>2000</v>
      </c>
      <c r="C164" s="2">
        <f>COUNTIFS(Games[Team],Games[[#This Row],[Team]],Games[Season],Games[[#This Row],[Season]],Games[Date],"&lt;=" &amp; Games[[#This Row],[Date]])</f>
        <v>11</v>
      </c>
      <c r="D164" s="2" t="s">
        <v>23</v>
      </c>
      <c r="E164" s="2" t="s">
        <v>29</v>
      </c>
      <c r="F164" s="1" t="s">
        <v>66</v>
      </c>
      <c r="G164" s="1" t="s">
        <v>85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1482.7466284077407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1450.8249040170435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0.4256096385330761</v>
      </c>
      <c r="R164" s="1">
        <v>69</v>
      </c>
      <c r="S164" s="1">
        <v>60</v>
      </c>
      <c r="T164" s="1">
        <v>0</v>
      </c>
      <c r="U164" s="1">
        <f>Games[[#This Row],[PointsFor]]-Games[[#This Row],[PointsAgainst]]</f>
        <v>9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0.39545193735230327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74.349999999999994</v>
      </c>
      <c r="Z164" s="4">
        <f>Games[[#This Row],[K]]*Games[[#This Row],[POMult]]</f>
        <v>74.349999999999994</v>
      </c>
      <c r="AA164" s="4">
        <f>(Games[[#This Row],[Keff]]*Games[[#This Row],[MOVMult]])*(Games[[#This Row],[Result]]-Games[[#This Row],[ExpectedWin%]])</f>
        <v>16.888140135088779</v>
      </c>
      <c r="AB164" s="4">
        <f>Games[[#This Row],[PreGmRate]]+Games[[#This Row],[RatingChange]]</f>
        <v>1499.6347685428295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36700</v>
      </c>
      <c r="B165" s="2">
        <v>2000</v>
      </c>
      <c r="C165" s="2">
        <f>COUNTIFS(Games[Team],Games[[#This Row],[Team]],Games[Season],Games[[#This Row],[Season]],Games[Date],"&lt;=" &amp; Games[[#This Row],[Date]])</f>
        <v>10</v>
      </c>
      <c r="D165" s="2" t="s">
        <v>23</v>
      </c>
      <c r="E165" s="2" t="s">
        <v>29</v>
      </c>
      <c r="F165" s="1" t="s">
        <v>85</v>
      </c>
      <c r="G165" s="1" t="s">
        <v>66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1450.8249040170435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1482.7466284077407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0.5743903614669239</v>
      </c>
      <c r="R165" s="1">
        <v>60</v>
      </c>
      <c r="S165" s="1">
        <v>69</v>
      </c>
      <c r="T165" s="1">
        <v>0</v>
      </c>
      <c r="U165" s="1">
        <f>Games[[#This Row],[PointsFor]]-Games[[#This Row],[PointsAgainst]]</f>
        <v>-9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0.39545193735230327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74.5</v>
      </c>
      <c r="Z165" s="4">
        <f>Games[[#This Row],[K]]*Games[[#This Row],[POMult]]</f>
        <v>74.5</v>
      </c>
      <c r="AA165" s="4">
        <f>(Games[[#This Row],[Keff]]*Games[[#This Row],[MOVMult]])*(Games[[#This Row],[Result]]-Games[[#This Row],[ExpectedWin%]])</f>
        <v>-16.92221170227457</v>
      </c>
      <c r="AB165" s="4">
        <f>Games[[#This Row],[PreGmRate]]+Games[[#This Row],[RatingChange]]</f>
        <v>1433.902692314769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36700</v>
      </c>
      <c r="B166" s="2">
        <v>2000</v>
      </c>
      <c r="C166" s="2">
        <f>COUNTIFS(Games[Team],Games[[#This Row],[Team]],Games[Season],Games[[#This Row],[Season]],Games[Date],"&lt;=" &amp; Games[[#This Row],[Date]])</f>
        <v>10</v>
      </c>
      <c r="D166" s="2" t="s">
        <v>23</v>
      </c>
      <c r="E166" s="2" t="s">
        <v>29</v>
      </c>
      <c r="F166" s="1" t="s">
        <v>71</v>
      </c>
      <c r="G166" s="1" t="s">
        <v>83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1</v>
      </c>
      <c r="L166" s="2">
        <f>Games[[#This Row],[OppDaysOff]]-Games[[#This Row],[DaysOff]]</f>
        <v>-1</v>
      </c>
      <c r="M166" s="1">
        <f>MAX(-16, MIN(16, Games[[#This Row],[RestDiff]]*8))</f>
        <v>8</v>
      </c>
      <c r="N166" s="1">
        <f>MAX(-16, MIN(16, Games[[#This Row],[OppRestDiff]]*8))</f>
        <v>-8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1592.8402038600441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1460.9947396059815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0.59086056294201938</v>
      </c>
      <c r="R166" s="1">
        <v>68</v>
      </c>
      <c r="S166" s="1">
        <v>54</v>
      </c>
      <c r="T166" s="1">
        <v>0</v>
      </c>
      <c r="U166" s="1">
        <f>Games[[#This Row],[PointsFor]]-Games[[#This Row],[PointsAgainst]]</f>
        <v>14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0.43933755074853209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74.5</v>
      </c>
      <c r="Z166" s="4">
        <f>Games[[#This Row],[K]]*Games[[#This Row],[POMult]]</f>
        <v>74.5</v>
      </c>
      <c r="AA166" s="4">
        <f>(Games[[#This Row],[Keff]]*Games[[#This Row],[MOVMult]])*(Games[[#This Row],[Result]]-Games[[#This Row],[ExpectedWin%]])</f>
        <v>13.391398705280638</v>
      </c>
      <c r="AB166" s="4">
        <f>Games[[#This Row],[PreGmRate]]+Games[[#This Row],[RatingChange]]</f>
        <v>1606.2316025653247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36700</v>
      </c>
      <c r="B167" s="2">
        <v>2000</v>
      </c>
      <c r="C167" s="2">
        <f>COUNTIFS(Games[Team],Games[[#This Row],[Team]],Games[Season],Games[[#This Row],[Season]],Games[Date],"&lt;=" &amp; Games[[#This Row],[Date]])</f>
        <v>11</v>
      </c>
      <c r="D167" s="2" t="s">
        <v>23</v>
      </c>
      <c r="E167" s="2" t="s">
        <v>29</v>
      </c>
      <c r="F167" s="1" t="s">
        <v>83</v>
      </c>
      <c r="G167" s="1" t="s">
        <v>71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7" s="2">
        <f>Games[[#This Row],[DaysOff]]-Games[[#This Row],[OppDaysOff]]</f>
        <v>-1</v>
      </c>
      <c r="L167" s="2">
        <f>Games[[#This Row],[OppDaysOff]]-Games[[#This Row],[DaysOff]]</f>
        <v>1</v>
      </c>
      <c r="M167" s="1">
        <f>MAX(-16, MIN(16, Games[[#This Row],[RestDiff]]*8))</f>
        <v>-8</v>
      </c>
      <c r="N167" s="1">
        <f>MAX(-16, MIN(16, Games[[#This Row],[OppRestDiff]]*8))</f>
        <v>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1460.9947396059815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1592.8402038600441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0.40913943705798067</v>
      </c>
      <c r="R167" s="1">
        <v>54</v>
      </c>
      <c r="S167" s="1">
        <v>68</v>
      </c>
      <c r="T167" s="1">
        <v>0</v>
      </c>
      <c r="U167" s="1">
        <f>Games[[#This Row],[PointsFor]]-Games[[#This Row],[PointsAgainst]]</f>
        <v>-14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0.43933755074853209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74.349999999999994</v>
      </c>
      <c r="Z167" s="4">
        <f>Games[[#This Row],[K]]*Games[[#This Row],[POMult]]</f>
        <v>74.349999999999994</v>
      </c>
      <c r="AA167" s="4">
        <f>(Games[[#This Row],[Keff]]*Games[[#This Row],[MOVMult]])*(Games[[#This Row],[Result]]-Games[[#This Row],[ExpectedWin%]])</f>
        <v>-13.364436157551886</v>
      </c>
      <c r="AB167" s="4">
        <f>Games[[#This Row],[PreGmRate]]+Games[[#This Row],[RatingChange]]</f>
        <v>1447.6303034484297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36700</v>
      </c>
      <c r="B168" s="2">
        <v>2000</v>
      </c>
      <c r="C168" s="2">
        <f>COUNTIFS(Games[Team],Games[[#This Row],[Team]],Games[Season],Games[[#This Row],[Season]],Games[Date],"&lt;=" &amp; Games[[#This Row],[Date]])</f>
        <v>11</v>
      </c>
      <c r="D168" s="2" t="s">
        <v>23</v>
      </c>
      <c r="E168" s="2" t="s">
        <v>29</v>
      </c>
      <c r="F168" s="1" t="s">
        <v>87</v>
      </c>
      <c r="G168" s="1" t="s">
        <v>89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1427.5629729120783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1431.6896539653169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0.37582716120135523</v>
      </c>
      <c r="R168" s="1">
        <v>61</v>
      </c>
      <c r="S168" s="1">
        <v>72</v>
      </c>
      <c r="T168" s="1">
        <v>0</v>
      </c>
      <c r="U168" s="1">
        <f>Games[[#This Row],[PointsFor]]-Games[[#This Row],[PointsAgainst]]</f>
        <v>-11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0.43832860164471488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74.349999999999994</v>
      </c>
      <c r="Z168" s="4">
        <f>Games[[#This Row],[K]]*Games[[#This Row],[POMult]]</f>
        <v>74.349999999999994</v>
      </c>
      <c r="AA168" s="4">
        <f>(Games[[#This Row],[Keff]]*Games[[#This Row],[MOVMult]])*(Games[[#This Row],[Result]]-Games[[#This Row],[ExpectedWin%]])</f>
        <v>-12.248106286092794</v>
      </c>
      <c r="AB168" s="4">
        <f>Games[[#This Row],[PreGmRate]]+Games[[#This Row],[RatingChange]]</f>
        <v>1415.3148666259856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36700</v>
      </c>
      <c r="B169" s="2">
        <v>2000</v>
      </c>
      <c r="C169" s="2">
        <f>COUNTIFS(Games[Team],Games[[#This Row],[Team]],Games[Season],Games[[#This Row],[Season]],Games[Date],"&lt;=" &amp; Games[[#This Row],[Date]])</f>
        <v>9</v>
      </c>
      <c r="D169" s="2" t="s">
        <v>23</v>
      </c>
      <c r="E169" s="2" t="s">
        <v>29</v>
      </c>
      <c r="F169" s="1" t="s">
        <v>89</v>
      </c>
      <c r="G169" s="1" t="s">
        <v>87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1431.6896539653169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1427.5629729120783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0.62417283879864471</v>
      </c>
      <c r="R169" s="1">
        <v>72</v>
      </c>
      <c r="S169" s="1">
        <v>61</v>
      </c>
      <c r="T169" s="1">
        <v>0</v>
      </c>
      <c r="U169" s="1">
        <f>Games[[#This Row],[PointsFor]]-Games[[#This Row],[PointsAgainst]]</f>
        <v>11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0.43832860164471488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74.650000000000006</v>
      </c>
      <c r="Z169" s="4">
        <f>Games[[#This Row],[K]]*Games[[#This Row],[POMult]]</f>
        <v>74.650000000000006</v>
      </c>
      <c r="AA169" s="4">
        <f>(Games[[#This Row],[Keff]]*Games[[#This Row],[MOVMult]])*(Games[[#This Row],[Result]]-Games[[#This Row],[ExpectedWin%]])</f>
        <v>12.297527024301646</v>
      </c>
      <c r="AB169" s="4">
        <f>Games[[#This Row],[PreGmRate]]+Games[[#This Row],[RatingChange]]</f>
        <v>1443.9871809896185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36700</v>
      </c>
      <c r="B170" s="2">
        <v>2000</v>
      </c>
      <c r="C170" s="2">
        <f>COUNTIFS(Games[Team],Games[[#This Row],[Team]],Games[Season],Games[[#This Row],[Season]],Games[Date],"&lt;=" &amp; Games[[#This Row],[Date]])</f>
        <v>12</v>
      </c>
      <c r="D170" s="2" t="s">
        <v>23</v>
      </c>
      <c r="E170" s="2" t="s">
        <v>29</v>
      </c>
      <c r="F170" s="1" t="s">
        <v>2</v>
      </c>
      <c r="G170" s="1" t="s">
        <v>43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0" s="2">
        <f>Games[[#This Row],[DaysOff]]-Games[[#This Row],[OppDaysOff]]</f>
        <v>2</v>
      </c>
      <c r="L170" s="2">
        <f>Games[[#This Row],[OppDaysOff]]-Games[[#This Row],[DaysOff]]</f>
        <v>-2</v>
      </c>
      <c r="M170" s="1">
        <f>MAX(-16, MIN(16, Games[[#This Row],[RestDiff]]*8))</f>
        <v>16</v>
      </c>
      <c r="N170" s="1">
        <f>MAX(-16, MIN(16, Games[[#This Row],[OppRestDiff]]*8))</f>
        <v>-16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1660.8525890552771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1510.0015723383156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0.6385398289417924</v>
      </c>
      <c r="R170" s="1">
        <v>83</v>
      </c>
      <c r="S170" s="1">
        <v>66</v>
      </c>
      <c r="T170" s="1">
        <v>0</v>
      </c>
      <c r="U170" s="1">
        <f>Games[[#This Row],[PointsFor]]-Games[[#This Row],[PointsAgainst]]</f>
        <v>17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0.4729836784305203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74.2</v>
      </c>
      <c r="Z170" s="4">
        <f>Games[[#This Row],[K]]*Games[[#This Row],[POMult]]</f>
        <v>74.2</v>
      </c>
      <c r="AA170" s="4">
        <f>(Games[[#This Row],[Keff]]*Games[[#This Row],[MOVMult]])*(Games[[#This Row],[Result]]-Games[[#This Row],[ExpectedWin%]])</f>
        <v>12.68558528944212</v>
      </c>
      <c r="AB170" s="4">
        <f>Games[[#This Row],[PreGmRate]]+Games[[#This Row],[RatingChange]]</f>
        <v>1673.5381743447192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36700</v>
      </c>
      <c r="B171" s="2">
        <v>2000</v>
      </c>
      <c r="C171" s="2">
        <f>COUNTIFS(Games[Team],Games[[#This Row],[Team]],Games[Season],Games[[#This Row],[Season]],Games[Date],"&lt;=" &amp; Games[[#This Row],[Date]])</f>
        <v>14</v>
      </c>
      <c r="D171" s="2" t="s">
        <v>23</v>
      </c>
      <c r="E171" s="2" t="s">
        <v>29</v>
      </c>
      <c r="F171" s="1" t="s">
        <v>43</v>
      </c>
      <c r="G171" s="1" t="s">
        <v>2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1" s="2">
        <f>Games[[#This Row],[DaysOff]]-Games[[#This Row],[OppDaysOff]]</f>
        <v>-2</v>
      </c>
      <c r="L171" s="2">
        <f>Games[[#This Row],[OppDaysOff]]-Games[[#This Row],[DaysOff]]</f>
        <v>2</v>
      </c>
      <c r="M171" s="1">
        <f>MAX(-16, MIN(16, Games[[#This Row],[RestDiff]]*8))</f>
        <v>-16</v>
      </c>
      <c r="N171" s="1">
        <f>MAX(-16, MIN(16, Games[[#This Row],[OppRestDiff]]*8))</f>
        <v>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1510.0015723383156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1660.8525890552771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0.36146017105820749</v>
      </c>
      <c r="R171" s="1">
        <v>66</v>
      </c>
      <c r="S171" s="1">
        <v>83</v>
      </c>
      <c r="T171" s="1">
        <v>0</v>
      </c>
      <c r="U171" s="1">
        <f>Games[[#This Row],[PointsFor]]-Games[[#This Row],[PointsAgainst]]</f>
        <v>-17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0.4729836784305203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-12.634295861048146</v>
      </c>
      <c r="AB171" s="4">
        <f>Games[[#This Row],[PreGmRate]]+Games[[#This Row],[RatingChange]]</f>
        <v>1497.3672764772673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36700</v>
      </c>
      <c r="B172" s="2">
        <v>2000</v>
      </c>
      <c r="C172" s="2">
        <f>COUNTIFS(Games[Team],Games[[#This Row],[Team]],Games[Season],Games[[#This Row],[Season]],Games[Date],"&lt;=" &amp; Games[[#This Row],[Date]])</f>
        <v>11</v>
      </c>
      <c r="D172" s="2" t="s">
        <v>23</v>
      </c>
      <c r="E172" s="2" t="s">
        <v>29</v>
      </c>
      <c r="F172" s="1" t="s">
        <v>45</v>
      </c>
      <c r="G172" s="1" t="s">
        <v>75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1560.0978511221213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1473.6223089357677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0.5035625312970049</v>
      </c>
      <c r="R172" s="1">
        <v>84</v>
      </c>
      <c r="S172" s="1">
        <v>69</v>
      </c>
      <c r="T172" s="1">
        <v>0</v>
      </c>
      <c r="U172" s="1">
        <f>Games[[#This Row],[PointsFor]]-Games[[#This Row],[PointsAgainst]]</f>
        <v>15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0.46904710883893946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74.349999999999994</v>
      </c>
      <c r="Z172" s="4">
        <f>Games[[#This Row],[K]]*Games[[#This Row],[POMult]]</f>
        <v>74.349999999999994</v>
      </c>
      <c r="AA172" s="4">
        <f>(Games[[#This Row],[Keff]]*Games[[#This Row],[MOVMult]])*(Games[[#This Row],[Result]]-Games[[#This Row],[ExpectedWin%]])</f>
        <v>17.312587792465198</v>
      </c>
      <c r="AB172" s="4">
        <f>Games[[#This Row],[PreGmRate]]+Games[[#This Row],[RatingChange]]</f>
        <v>1577.4104389145864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36700</v>
      </c>
      <c r="B173" s="2">
        <v>2000</v>
      </c>
      <c r="C173" s="2">
        <f>COUNTIFS(Games[Team],Games[[#This Row],[Team]],Games[Season],Games[[#This Row],[Season]],Games[Date],"&lt;=" &amp; Games[[#This Row],[Date]])</f>
        <v>10</v>
      </c>
      <c r="D173" s="2" t="s">
        <v>23</v>
      </c>
      <c r="E173" s="2" t="s">
        <v>29</v>
      </c>
      <c r="F173" s="1" t="s">
        <v>75</v>
      </c>
      <c r="G173" s="1" t="s">
        <v>45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1473.6223089357677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1560.0978511221213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0.49643746870299521</v>
      </c>
      <c r="R173" s="1">
        <v>69</v>
      </c>
      <c r="S173" s="1">
        <v>84</v>
      </c>
      <c r="T173" s="1">
        <v>0</v>
      </c>
      <c r="U173" s="1">
        <f>Games[[#This Row],[PointsFor]]-Games[[#This Row],[PointsAgainst]]</f>
        <v>-15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0.46904710883893946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74.5</v>
      </c>
      <c r="Z173" s="4">
        <f>Games[[#This Row],[K]]*Games[[#This Row],[POMult]]</f>
        <v>74.5</v>
      </c>
      <c r="AA173" s="4">
        <f>(Games[[#This Row],[Keff]]*Games[[#This Row],[MOVMult]])*(Games[[#This Row],[Result]]-Games[[#This Row],[ExpectedWin%]])</f>
        <v>-17.347515676377373</v>
      </c>
      <c r="AB173" s="4">
        <f>Games[[#This Row],[PreGmRate]]+Games[[#This Row],[RatingChange]]</f>
        <v>1456.2747932593904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36701</v>
      </c>
      <c r="B174" s="2">
        <v>2000</v>
      </c>
      <c r="C174" s="2">
        <f>COUNTIFS(Games[Team],Games[[#This Row],[Team]],Games[Season],Games[[#This Row],[Season]],Games[Date],"&lt;=" &amp; Games[[#This Row],[Date]])</f>
        <v>12</v>
      </c>
      <c r="D174" s="2" t="s">
        <v>23</v>
      </c>
      <c r="E174" s="2" t="s">
        <v>29</v>
      </c>
      <c r="F174" s="1" t="s">
        <v>80</v>
      </c>
      <c r="G174" s="1" t="s">
        <v>1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1535.8013028442881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1469.663901683851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0.47431627950779098</v>
      </c>
      <c r="R174" s="1">
        <v>60</v>
      </c>
      <c r="S174" s="1">
        <v>57</v>
      </c>
      <c r="T174" s="1">
        <v>1</v>
      </c>
      <c r="U174" s="1">
        <f>Games[[#This Row],[PointsFor]]-Games[[#This Row],[PointsAgainst]]</f>
        <v>3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0.24752305910825298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74.2</v>
      </c>
      <c r="Z174" s="4">
        <f>Games[[#This Row],[K]]*Games[[#This Row],[POMult]]</f>
        <v>74.2</v>
      </c>
      <c r="AA174" s="4">
        <f>(Games[[#This Row],[Keff]]*Games[[#This Row],[MOVMult]])*(Games[[#This Row],[Result]]-Games[[#This Row],[ExpectedWin%]])</f>
        <v>9.6548181223772431</v>
      </c>
      <c r="AB174" s="4">
        <f>Games[[#This Row],[PreGmRate]]+Games[[#This Row],[RatingChange]]</f>
        <v>1545.4561209666654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36701</v>
      </c>
      <c r="B175" s="2">
        <v>2000</v>
      </c>
      <c r="C175" s="2">
        <f>COUNTIFS(Games[Team],Games[[#This Row],[Team]],Games[Season],Games[[#This Row],[Season]],Games[Date],"&lt;=" &amp; Games[[#This Row],[Date]])</f>
        <v>11</v>
      </c>
      <c r="D175" s="2" t="s">
        <v>23</v>
      </c>
      <c r="E175" s="2" t="s">
        <v>29</v>
      </c>
      <c r="F175" s="1" t="s">
        <v>1</v>
      </c>
      <c r="G175" s="1" t="s">
        <v>80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1469.663901683851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1535.8013028442881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0.52568372049220891</v>
      </c>
      <c r="R175" s="1">
        <v>57</v>
      </c>
      <c r="S175" s="1">
        <v>60</v>
      </c>
      <c r="T175" s="1">
        <v>1</v>
      </c>
      <c r="U175" s="1">
        <f>Games[[#This Row],[PointsFor]]-Games[[#This Row],[PointsAgainst]]</f>
        <v>-3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0.24752305910825298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74.349999999999994</v>
      </c>
      <c r="Z175" s="4">
        <f>Games[[#This Row],[K]]*Games[[#This Row],[POMult]]</f>
        <v>74.349999999999994</v>
      </c>
      <c r="AA175" s="4">
        <f>(Games[[#This Row],[Keff]]*Games[[#This Row],[MOVMult]])*(Games[[#This Row],[Result]]-Games[[#This Row],[ExpectedWin%]])</f>
        <v>-9.674335948770187</v>
      </c>
      <c r="AB175" s="4">
        <f>Games[[#This Row],[PreGmRate]]+Games[[#This Row],[RatingChange]]</f>
        <v>1459.9895657350808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36701</v>
      </c>
      <c r="B176" s="2">
        <v>2000</v>
      </c>
      <c r="C176" s="2">
        <f>COUNTIFS(Games[Team],Games[[#This Row],[Team]],Games[Season],Games[[#This Row],[Season]],Games[Date],"&lt;=" &amp; Games[[#This Row],[Date]])</f>
        <v>11</v>
      </c>
      <c r="D176" s="2" t="s">
        <v>23</v>
      </c>
      <c r="E176" s="2" t="s">
        <v>29</v>
      </c>
      <c r="F176" s="1" t="s">
        <v>75</v>
      </c>
      <c r="G176" s="1" t="s">
        <v>77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6" s="2">
        <f>Games[[#This Row],[DaysOff]]-Games[[#This Row],[OppDaysOff]]</f>
        <v>-2</v>
      </c>
      <c r="L176" s="2">
        <f>Games[[#This Row],[OppDaysOff]]-Games[[#This Row],[DaysOff]]</f>
        <v>2</v>
      </c>
      <c r="M176" s="1">
        <f>MAX(-16, MIN(16, Games[[#This Row],[RestDiff]]*8))</f>
        <v>-16</v>
      </c>
      <c r="N176" s="1">
        <f>MAX(-16, MIN(16, Games[[#This Row],[OppRestDiff]]*8))</f>
        <v>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1456.2747932593904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1481.535193818421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0.30721747870014859</v>
      </c>
      <c r="R176" s="1">
        <v>76</v>
      </c>
      <c r="S176" s="1">
        <v>70</v>
      </c>
      <c r="T176" s="1">
        <v>0</v>
      </c>
      <c r="U176" s="1">
        <f>Games[[#This Row],[PointsFor]]-Games[[#This Row],[PointsAgainst]]</f>
        <v>6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0.34403863302597704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74.349999999999994</v>
      </c>
      <c r="Z176" s="4">
        <f>Games[[#This Row],[K]]*Games[[#This Row],[POMult]]</f>
        <v>74.349999999999994</v>
      </c>
      <c r="AA176" s="4">
        <f>(Games[[#This Row],[Keff]]*Games[[#This Row],[MOVMult]])*(Games[[#This Row],[Result]]-Games[[#This Row],[ExpectedWin%]])</f>
        <v>17.720872802373812</v>
      </c>
      <c r="AB176" s="4">
        <f>Games[[#This Row],[PreGmRate]]+Games[[#This Row],[RatingChange]]</f>
        <v>1473.9956660617643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36701</v>
      </c>
      <c r="B177" s="2">
        <v>2000</v>
      </c>
      <c r="C177" s="2">
        <f>COUNTIFS(Games[Team],Games[[#This Row],[Team]],Games[Season],Games[[#This Row],[Season]],Games[Date],"&lt;=" &amp; Games[[#This Row],[Date]])</f>
        <v>11</v>
      </c>
      <c r="D177" s="2" t="s">
        <v>23</v>
      </c>
      <c r="E177" s="2" t="s">
        <v>29</v>
      </c>
      <c r="F177" s="1" t="s">
        <v>77</v>
      </c>
      <c r="G177" s="1" t="s">
        <v>75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7" s="2">
        <f>Games[[#This Row],[DaysOff]]-Games[[#This Row],[OppDaysOff]]</f>
        <v>2</v>
      </c>
      <c r="L177" s="2">
        <f>Games[[#This Row],[OppDaysOff]]-Games[[#This Row],[DaysOff]]</f>
        <v>-2</v>
      </c>
      <c r="M177" s="1">
        <f>MAX(-16, MIN(16, Games[[#This Row],[RestDiff]]*8))</f>
        <v>16</v>
      </c>
      <c r="N177" s="1">
        <f>MAX(-16, MIN(16, Games[[#This Row],[OppRestDiff]]*8))</f>
        <v>-16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1481.535193818421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1456.2747932593904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0.69278252129985129</v>
      </c>
      <c r="R177" s="1">
        <v>70</v>
      </c>
      <c r="S177" s="1">
        <v>76</v>
      </c>
      <c r="T177" s="1">
        <v>0</v>
      </c>
      <c r="U177" s="1">
        <f>Games[[#This Row],[PointsFor]]-Games[[#This Row],[PointsAgainst]]</f>
        <v>-6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0.34403863302597704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74.349999999999994</v>
      </c>
      <c r="Z177" s="4">
        <f>Games[[#This Row],[K]]*Games[[#This Row],[POMult]]</f>
        <v>74.349999999999994</v>
      </c>
      <c r="AA177" s="4">
        <f>(Games[[#This Row],[Keff]]*Games[[#This Row],[MOVMult]])*(Games[[#This Row],[Result]]-Games[[#This Row],[ExpectedWin%]])</f>
        <v>-17.720872802373808</v>
      </c>
      <c r="AB177" s="4">
        <f>Games[[#This Row],[PreGmRate]]+Games[[#This Row],[RatingChange]]</f>
        <v>1463.8143210160472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36701</v>
      </c>
      <c r="B178" s="2">
        <v>2000</v>
      </c>
      <c r="C178" s="2">
        <f>COUNTIFS(Games[Team],Games[[#This Row],[Team]],Games[Season],Games[[#This Row],[Season]],Games[Date],"&lt;=" &amp; Games[[#This Row],[Date]])</f>
        <v>11</v>
      </c>
      <c r="D178" s="2" t="s">
        <v>23</v>
      </c>
      <c r="E178" s="2" t="s">
        <v>29</v>
      </c>
      <c r="F178" s="1" t="s">
        <v>85</v>
      </c>
      <c r="G178" s="1" t="s">
        <v>2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1433.902692314769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1673.5381743447192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0.13435427333493022</v>
      </c>
      <c r="R178" s="1">
        <v>67</v>
      </c>
      <c r="S178" s="1">
        <v>93</v>
      </c>
      <c r="T178" s="1">
        <v>0</v>
      </c>
      <c r="U178" s="1">
        <f>Games[[#This Row],[PointsFor]]-Games[[#This Row],[PointsAgainst]]</f>
        <v>-26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0.54521083039260221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74.349999999999994</v>
      </c>
      <c r="Z178" s="4">
        <f>Games[[#This Row],[K]]*Games[[#This Row],[POMult]]</f>
        <v>74.349999999999994</v>
      </c>
      <c r="AA178" s="4">
        <f>(Games[[#This Row],[Keff]]*Games[[#This Row],[MOVMult]])*(Games[[#This Row],[Result]]-Games[[#This Row],[ExpectedWin%]])</f>
        <v>-5.4462419566742701</v>
      </c>
      <c r="AB178" s="4">
        <f>Games[[#This Row],[PreGmRate]]+Games[[#This Row],[RatingChange]]</f>
        <v>1428.4564503580948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36701</v>
      </c>
      <c r="B179" s="2">
        <v>2000</v>
      </c>
      <c r="C179" s="2">
        <f>COUNTIFS(Games[Team],Games[[#This Row],[Team]],Games[Season],Games[[#This Row],[Season]],Games[Date],"&lt;=" &amp; Games[[#This Row],[Date]])</f>
        <v>13</v>
      </c>
      <c r="D179" s="2" t="s">
        <v>23</v>
      </c>
      <c r="E179" s="2" t="s">
        <v>29</v>
      </c>
      <c r="F179" s="1" t="s">
        <v>2</v>
      </c>
      <c r="G179" s="1" t="s">
        <v>85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1673.5381743447192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1433.902692314769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0.86564572666506978</v>
      </c>
      <c r="R179" s="1">
        <v>93</v>
      </c>
      <c r="S179" s="1">
        <v>67</v>
      </c>
      <c r="T179" s="1">
        <v>0</v>
      </c>
      <c r="U179" s="1">
        <f>Games[[#This Row],[PointsFor]]-Games[[#This Row],[PointsAgainst]]</f>
        <v>26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0.54521083039260221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74.05</v>
      </c>
      <c r="Z179" s="4">
        <f>Games[[#This Row],[K]]*Games[[#This Row],[POMult]]</f>
        <v>74.05</v>
      </c>
      <c r="AA179" s="4">
        <f>(Games[[#This Row],[Keff]]*Games[[#This Row],[MOVMult]])*(Games[[#This Row],[Result]]-Games[[#This Row],[ExpectedWin%]])</f>
        <v>5.424266535194751</v>
      </c>
      <c r="AB179" s="4">
        <f>Games[[#This Row],[PreGmRate]]+Games[[#This Row],[RatingChange]]</f>
        <v>1678.9624408799139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36701</v>
      </c>
      <c r="B180" s="2">
        <v>2000</v>
      </c>
      <c r="C180" s="2">
        <f>COUNTIFS(Games[Team],Games[[#This Row],[Team]],Games[Season],Games[[#This Row],[Season]],Games[Date],"&lt;=" &amp; Games[[#This Row],[Date]])</f>
        <v>11</v>
      </c>
      <c r="D180" s="2" t="s">
        <v>23</v>
      </c>
      <c r="E180" s="2" t="s">
        <v>29</v>
      </c>
      <c r="F180" s="1" t="s">
        <v>44</v>
      </c>
      <c r="G180" s="1" t="s">
        <v>83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1583.3516652601907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1447.6303034484297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0.59624309755124816</v>
      </c>
      <c r="R180" s="1">
        <v>67</v>
      </c>
      <c r="S180" s="1">
        <v>44</v>
      </c>
      <c r="T180" s="1">
        <v>0</v>
      </c>
      <c r="U180" s="1">
        <f>Games[[#This Row],[PointsFor]]-Games[[#This Row],[PointsAgainst]]</f>
        <v>23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0.55281389081983046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74.349999999999994</v>
      </c>
      <c r="Z180" s="4">
        <f>Games[[#This Row],[K]]*Games[[#This Row],[POMult]]</f>
        <v>74.349999999999994</v>
      </c>
      <c r="AA180" s="4">
        <f>(Games[[#This Row],[Keff]]*Games[[#This Row],[MOVMult]])*(Games[[#This Row],[Result]]-Games[[#This Row],[ExpectedWin%]])</f>
        <v>16.595100238382056</v>
      </c>
      <c r="AB180" s="4">
        <f>Games[[#This Row],[PreGmRate]]+Games[[#This Row],[RatingChange]]</f>
        <v>1599.9467654985726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36701</v>
      </c>
      <c r="B181" s="2">
        <v>2000</v>
      </c>
      <c r="C181" s="2">
        <f>COUNTIFS(Games[Team],Games[[#This Row],[Team]],Games[Season],Games[[#This Row],[Season]],Games[Date],"&lt;=" &amp; Games[[#This Row],[Date]])</f>
        <v>12</v>
      </c>
      <c r="D181" s="2" t="s">
        <v>23</v>
      </c>
      <c r="E181" s="2" t="s">
        <v>29</v>
      </c>
      <c r="F181" s="1" t="s">
        <v>83</v>
      </c>
      <c r="G181" s="1" t="s">
        <v>44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1447.6303034484297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1583.3516652601907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0.40375690244875179</v>
      </c>
      <c r="R181" s="1">
        <v>44</v>
      </c>
      <c r="S181" s="1">
        <v>67</v>
      </c>
      <c r="T181" s="1">
        <v>0</v>
      </c>
      <c r="U181" s="1">
        <f>Games[[#This Row],[PointsFor]]-Games[[#This Row],[PointsAgainst]]</f>
        <v>-23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0.55281389081983046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74.2</v>
      </c>
      <c r="Z181" s="4">
        <f>Games[[#This Row],[K]]*Games[[#This Row],[POMult]]</f>
        <v>74.2</v>
      </c>
      <c r="AA181" s="4">
        <f>(Games[[#This Row],[Keff]]*Games[[#This Row],[MOVMult]])*(Games[[#This Row],[Result]]-Games[[#This Row],[ExpectedWin%]])</f>
        <v>-16.561619874753845</v>
      </c>
      <c r="AB181" s="4">
        <f>Games[[#This Row],[PreGmRate]]+Games[[#This Row],[RatingChange]]</f>
        <v>1431.0686835736758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36701</v>
      </c>
      <c r="B182" s="2">
        <v>2000</v>
      </c>
      <c r="C182" s="2">
        <f>COUNTIFS(Games[Team],Games[[#This Row],[Team]],Games[Season],Games[[#This Row],[Season]],Games[Date],"&lt;=" &amp; Games[[#This Row],[Date]])</f>
        <v>12</v>
      </c>
      <c r="D182" s="2" t="s">
        <v>23</v>
      </c>
      <c r="E182" s="2" t="s">
        <v>29</v>
      </c>
      <c r="F182" s="1" t="s">
        <v>64</v>
      </c>
      <c r="G182" s="1" t="s">
        <v>79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1398.6756954176199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1479.2925382394374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0.27936557907438841</v>
      </c>
      <c r="R182" s="1">
        <v>68</v>
      </c>
      <c r="S182" s="1">
        <v>69</v>
      </c>
      <c r="T182" s="1">
        <v>0</v>
      </c>
      <c r="U182" s="1">
        <f>Games[[#This Row],[PointsFor]]-Games[[#This Row],[PointsAgainst]]</f>
        <v>-1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0.22880817693502858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74.2</v>
      </c>
      <c r="Z182" s="4">
        <f>Games[[#This Row],[K]]*Games[[#This Row],[POMult]]</f>
        <v>74.2</v>
      </c>
      <c r="AA182" s="4">
        <f>(Games[[#This Row],[Keff]]*Games[[#This Row],[MOVMult]])*(Games[[#This Row],[Result]]-Games[[#This Row],[ExpectedWin%]])</f>
        <v>-4.7429477604035757</v>
      </c>
      <c r="AB182" s="4">
        <f>Games[[#This Row],[PreGmRate]]+Games[[#This Row],[RatingChange]]</f>
        <v>1393.9327476572164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36701</v>
      </c>
      <c r="B183" s="2">
        <v>2000</v>
      </c>
      <c r="C183" s="2">
        <f>COUNTIFS(Games[Team],Games[[#This Row],[Team]],Games[Season],Games[[#This Row],[Season]],Games[Date],"&lt;=" &amp; Games[[#This Row],[Date]])</f>
        <v>12</v>
      </c>
      <c r="D183" s="2" t="s">
        <v>23</v>
      </c>
      <c r="E183" s="2" t="s">
        <v>29</v>
      </c>
      <c r="F183" s="1" t="s">
        <v>79</v>
      </c>
      <c r="G183" s="1" t="s">
        <v>64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1479.2925382394374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1398.6756954176199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0.72063442092561159</v>
      </c>
      <c r="R183" s="1">
        <v>69</v>
      </c>
      <c r="S183" s="1">
        <v>68</v>
      </c>
      <c r="T183" s="1">
        <v>0</v>
      </c>
      <c r="U183" s="1">
        <f>Games[[#This Row],[PointsFor]]-Games[[#This Row],[PointsAgainst]]</f>
        <v>1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0.22880817693502858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74.2</v>
      </c>
      <c r="Z183" s="4">
        <f>Games[[#This Row],[K]]*Games[[#This Row],[POMult]]</f>
        <v>74.2</v>
      </c>
      <c r="AA183" s="4">
        <f>(Games[[#This Row],[Keff]]*Games[[#This Row],[MOVMult]])*(Games[[#This Row],[Result]]-Games[[#This Row],[ExpectedWin%]])</f>
        <v>4.7429477604035757</v>
      </c>
      <c r="AB183" s="4">
        <f>Games[[#This Row],[PreGmRate]]+Games[[#This Row],[RatingChange]]</f>
        <v>1484.0354859998408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36702</v>
      </c>
      <c r="B184" s="2">
        <v>2000</v>
      </c>
      <c r="C184" s="2">
        <f>COUNTIFS(Games[Team],Games[[#This Row],[Team]],Games[Season],Games[[#This Row],[Season]],Games[Date],"&lt;=" &amp; Games[[#This Row],[Date]])</f>
        <v>12</v>
      </c>
      <c r="D184" s="2" t="s">
        <v>23</v>
      </c>
      <c r="E184" s="2" t="s">
        <v>29</v>
      </c>
      <c r="F184" s="1" t="s">
        <v>77</v>
      </c>
      <c r="G184" s="1" t="s">
        <v>64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1463.8143210160472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1393.9327476572164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0.47969312709832607</v>
      </c>
      <c r="R184" s="1">
        <v>84</v>
      </c>
      <c r="S184" s="1">
        <v>81</v>
      </c>
      <c r="T184" s="1">
        <v>0</v>
      </c>
      <c r="U184" s="1">
        <f>Games[[#This Row],[PointsFor]]-Games[[#This Row],[PointsAgainst]]</f>
        <v>3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0.27421472413164388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74.2</v>
      </c>
      <c r="Z184" s="4">
        <f>Games[[#This Row],[K]]*Games[[#This Row],[POMult]]</f>
        <v>74.2</v>
      </c>
      <c r="AA184" s="4">
        <f>(Games[[#This Row],[Keff]]*Games[[#This Row],[MOVMult]])*(Games[[#This Row],[Result]]-Games[[#This Row],[ExpectedWin%]])</f>
        <v>10.586544776746587</v>
      </c>
      <c r="AB184" s="4">
        <f>Games[[#This Row],[PreGmRate]]+Games[[#This Row],[RatingChange]]</f>
        <v>1474.4008657927939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36702</v>
      </c>
      <c r="B185" s="2">
        <v>2000</v>
      </c>
      <c r="C185" s="2">
        <f>COUNTIFS(Games[Team],Games[[#This Row],[Team]],Games[Season],Games[[#This Row],[Season]],Games[Date],"&lt;=" &amp; Games[[#This Row],[Date]])</f>
        <v>13</v>
      </c>
      <c r="D185" s="2" t="s">
        <v>23</v>
      </c>
      <c r="E185" s="2" t="s">
        <v>29</v>
      </c>
      <c r="F185" s="1" t="s">
        <v>64</v>
      </c>
      <c r="G185" s="1" t="s">
        <v>77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1393.9327476572164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1463.8143210160472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0.52030687290167388</v>
      </c>
      <c r="R185" s="1">
        <v>81</v>
      </c>
      <c r="S185" s="1">
        <v>84</v>
      </c>
      <c r="T185" s="1">
        <v>0</v>
      </c>
      <c r="U185" s="1">
        <f>Games[[#This Row],[PointsFor]]-Games[[#This Row],[PointsAgainst]]</f>
        <v>-3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0.27421472413164388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74.05</v>
      </c>
      <c r="Z185" s="4">
        <f>Games[[#This Row],[K]]*Games[[#This Row],[POMult]]</f>
        <v>74.05</v>
      </c>
      <c r="AA185" s="4">
        <f>(Games[[#This Row],[Keff]]*Games[[#This Row],[MOVMult]])*(Games[[#This Row],[Result]]-Games[[#This Row],[ExpectedWin%]])</f>
        <v>-10.565143405904106</v>
      </c>
      <c r="AB185" s="4">
        <f>Games[[#This Row],[PreGmRate]]+Games[[#This Row],[RatingChange]]</f>
        <v>1383.3676042513123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36702</v>
      </c>
      <c r="B186" s="2">
        <v>2000</v>
      </c>
      <c r="C186" s="2">
        <f>COUNTIFS(Games[Team],Games[[#This Row],[Team]],Games[Season],Games[[#This Row],[Season]],Games[Date],"&lt;=" &amp; Games[[#This Row],[Date]])</f>
        <v>12</v>
      </c>
      <c r="D186" s="2" t="s">
        <v>23</v>
      </c>
      <c r="E186" s="2" t="s">
        <v>29</v>
      </c>
      <c r="F186" s="1" t="s">
        <v>44</v>
      </c>
      <c r="G186" s="1" t="s">
        <v>1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1599.9467654985726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1459.9895657350808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0.57983973755496998</v>
      </c>
      <c r="R186" s="1">
        <v>61</v>
      </c>
      <c r="S186" s="1">
        <v>64</v>
      </c>
      <c r="T186" s="1">
        <v>0</v>
      </c>
      <c r="U186" s="1">
        <f>Games[[#This Row],[PointsFor]]-Games[[#This Row],[PointsAgainst]]</f>
        <v>-3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0.25987414029337058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74.2</v>
      </c>
      <c r="Z186" s="4">
        <f>Games[[#This Row],[K]]*Games[[#This Row],[POMult]]</f>
        <v>74.2</v>
      </c>
      <c r="AA186" s="4">
        <f>(Games[[#This Row],[Keff]]*Games[[#This Row],[MOVMult]])*(Games[[#This Row],[Result]]-Games[[#This Row],[ExpectedWin%]])</f>
        <v>-11.180853215233334</v>
      </c>
      <c r="AB186" s="4">
        <f>Games[[#This Row],[PreGmRate]]+Games[[#This Row],[RatingChange]]</f>
        <v>1588.7659122833393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36702</v>
      </c>
      <c r="B187" s="2">
        <v>2000</v>
      </c>
      <c r="C187" s="2">
        <f>COUNTIFS(Games[Team],Games[[#This Row],[Team]],Games[Season],Games[[#This Row],[Season]],Games[Date],"&lt;=" &amp; Games[[#This Row],[Date]])</f>
        <v>12</v>
      </c>
      <c r="D187" s="2" t="s">
        <v>23</v>
      </c>
      <c r="E187" s="2" t="s">
        <v>29</v>
      </c>
      <c r="F187" s="1" t="s">
        <v>1</v>
      </c>
      <c r="G187" s="1" t="s">
        <v>44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1459.9895657350808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1599.9467654985726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0.42016026244503007</v>
      </c>
      <c r="R187" s="1">
        <v>64</v>
      </c>
      <c r="S187" s="1">
        <v>61</v>
      </c>
      <c r="T187" s="1">
        <v>0</v>
      </c>
      <c r="U187" s="1">
        <f>Games[[#This Row],[PointsFor]]-Games[[#This Row],[PointsAgainst]]</f>
        <v>3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0.25987414029337058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74.2</v>
      </c>
      <c r="Z187" s="4">
        <f>Games[[#This Row],[K]]*Games[[#This Row],[POMult]]</f>
        <v>74.2</v>
      </c>
      <c r="AA187" s="4">
        <f>(Games[[#This Row],[Keff]]*Games[[#This Row],[MOVMult]])*(Games[[#This Row],[Result]]-Games[[#This Row],[ExpectedWin%]])</f>
        <v>11.180853215233334</v>
      </c>
      <c r="AB187" s="4">
        <f>Games[[#This Row],[PreGmRate]]+Games[[#This Row],[RatingChange]]</f>
        <v>1471.1704189503141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36702</v>
      </c>
      <c r="B188" s="2">
        <v>2000</v>
      </c>
      <c r="C188" s="2">
        <f>COUNTIFS(Games[Team],Games[[#This Row],[Team]],Games[Season],Games[[#This Row],[Season]],Games[Date],"&lt;=" &amp; Games[[#This Row],[Date]])</f>
        <v>11</v>
      </c>
      <c r="D188" s="2" t="s">
        <v>23</v>
      </c>
      <c r="E188" s="2" t="s">
        <v>29</v>
      </c>
      <c r="F188" s="1" t="s">
        <v>71</v>
      </c>
      <c r="G188" s="1" t="s">
        <v>66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1606.2316025653247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1499.6347685428295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0.53247368258900907</v>
      </c>
      <c r="R188" s="1">
        <v>72</v>
      </c>
      <c r="S188" s="1">
        <v>67</v>
      </c>
      <c r="T188" s="1">
        <v>0</v>
      </c>
      <c r="U188" s="1">
        <f>Games[[#This Row],[PointsFor]]-Games[[#This Row],[PointsAgainst]]</f>
        <v>5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0.30469013867719447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74.349999999999994</v>
      </c>
      <c r="Z188" s="4">
        <f>Games[[#This Row],[K]]*Games[[#This Row],[POMult]]</f>
        <v>74.349999999999994</v>
      </c>
      <c r="AA188" s="4">
        <f>(Games[[#This Row],[Keff]]*Games[[#This Row],[MOVMult]])*(Games[[#This Row],[Result]]-Games[[#This Row],[ExpectedWin%]])</f>
        <v>10.591206458522789</v>
      </c>
      <c r="AB188" s="4">
        <f>Games[[#This Row],[PreGmRate]]+Games[[#This Row],[RatingChange]]</f>
        <v>1616.8228090238474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36702</v>
      </c>
      <c r="B189" s="2">
        <v>2000</v>
      </c>
      <c r="C189" s="2">
        <f>COUNTIFS(Games[Team],Games[[#This Row],[Team]],Games[Season],Games[[#This Row],[Season]],Games[Date],"&lt;=" &amp; Games[[#This Row],[Date]])</f>
        <v>12</v>
      </c>
      <c r="D189" s="2" t="s">
        <v>23</v>
      </c>
      <c r="E189" s="2" t="s">
        <v>29</v>
      </c>
      <c r="F189" s="1" t="s">
        <v>66</v>
      </c>
      <c r="G189" s="1" t="s">
        <v>71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1499.6347685428295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1606.2316025653247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0.46752631741099104</v>
      </c>
      <c r="R189" s="1">
        <v>67</v>
      </c>
      <c r="S189" s="1">
        <v>72</v>
      </c>
      <c r="T189" s="1">
        <v>0</v>
      </c>
      <c r="U189" s="1">
        <f>Games[[#This Row],[PointsFor]]-Games[[#This Row],[PointsAgainst]]</f>
        <v>-5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0.30469013867719447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74.2</v>
      </c>
      <c r="Z189" s="4">
        <f>Games[[#This Row],[K]]*Games[[#This Row],[POMult]]</f>
        <v>74.2</v>
      </c>
      <c r="AA189" s="4">
        <f>(Games[[#This Row],[Keff]]*Games[[#This Row],[MOVMult]])*(Games[[#This Row],[Result]]-Games[[#This Row],[ExpectedWin%]])</f>
        <v>-10.569838859749714</v>
      </c>
      <c r="AB189" s="4">
        <f>Games[[#This Row],[PreGmRate]]+Games[[#This Row],[RatingChange]]</f>
        <v>1489.0649296830798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36702</v>
      </c>
      <c r="B190" s="2">
        <v>2000</v>
      </c>
      <c r="C190" s="2">
        <f>COUNTIFS(Games[Team],Games[[#This Row],[Team]],Games[Season],Games[[#This Row],[Season]],Games[Date],"&lt;=" &amp; Games[[#This Row],[Date]])</f>
        <v>10</v>
      </c>
      <c r="D190" s="2" t="s">
        <v>23</v>
      </c>
      <c r="E190" s="2" t="s">
        <v>29</v>
      </c>
      <c r="F190" s="1" t="s">
        <v>89</v>
      </c>
      <c r="G190" s="1" t="s">
        <v>45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1443.9871809896185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1577.4104389145864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0.22242521703288765</v>
      </c>
      <c r="R190" s="1">
        <v>76</v>
      </c>
      <c r="S190" s="1">
        <v>92</v>
      </c>
      <c r="T190" s="1">
        <v>0</v>
      </c>
      <c r="U190" s="1">
        <f>Games[[#This Row],[PointsFor]]-Games[[#This Row],[PointsAgainst]]</f>
        <v>-16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0.46597600202578543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74.5</v>
      </c>
      <c r="Z190" s="4">
        <f>Games[[#This Row],[K]]*Games[[#This Row],[POMult]]</f>
        <v>74.5</v>
      </c>
      <c r="AA190" s="4">
        <f>(Games[[#This Row],[Keff]]*Games[[#This Row],[MOVMult]])*(Games[[#This Row],[Result]]-Games[[#This Row],[ExpectedWin%]])</f>
        <v>-7.7215385970113442</v>
      </c>
      <c r="AB190" s="4">
        <f>Games[[#This Row],[PreGmRate]]+Games[[#This Row],[RatingChange]]</f>
        <v>1436.2656423926071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36702</v>
      </c>
      <c r="B191" s="2">
        <v>2000</v>
      </c>
      <c r="C191" s="2">
        <f>COUNTIFS(Games[Team],Games[[#This Row],[Team]],Games[Season],Games[[#This Row],[Season]],Games[Date],"&lt;=" &amp; Games[[#This Row],[Date]])</f>
        <v>12</v>
      </c>
      <c r="D191" s="2" t="s">
        <v>23</v>
      </c>
      <c r="E191" s="2" t="s">
        <v>29</v>
      </c>
      <c r="F191" s="1" t="s">
        <v>45</v>
      </c>
      <c r="G191" s="1" t="s">
        <v>89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1577.4104389145864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1443.9871809896185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0.77757478296711235</v>
      </c>
      <c r="R191" s="1">
        <v>92</v>
      </c>
      <c r="S191" s="1">
        <v>76</v>
      </c>
      <c r="T191" s="1">
        <v>0</v>
      </c>
      <c r="U191" s="1">
        <f>Games[[#This Row],[PointsFor]]-Games[[#This Row],[PointsAgainst]]</f>
        <v>16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0.46597600202578543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74.2</v>
      </c>
      <c r="Z191" s="4">
        <f>Games[[#This Row],[K]]*Games[[#This Row],[POMult]]</f>
        <v>74.2</v>
      </c>
      <c r="AA191" s="4">
        <f>(Games[[#This Row],[Keff]]*Games[[#This Row],[MOVMult]])*(Games[[#This Row],[Result]]-Games[[#This Row],[ExpectedWin%]])</f>
        <v>7.690445152996535</v>
      </c>
      <c r="AB191" s="4">
        <f>Games[[#This Row],[PreGmRate]]+Games[[#This Row],[RatingChange]]</f>
        <v>1585.1008840675829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36703</v>
      </c>
      <c r="B192" s="2">
        <v>2000</v>
      </c>
      <c r="C192" s="2">
        <f>COUNTIFS(Games[Team],Games[[#This Row],[Team]],Games[Season],Games[[#This Row],[Season]],Games[Date],"&lt;=" &amp; Games[[#This Row],[Date]])</f>
        <v>14</v>
      </c>
      <c r="D192" s="2" t="s">
        <v>23</v>
      </c>
      <c r="E192" s="2" t="s">
        <v>29</v>
      </c>
      <c r="F192" s="1" t="s">
        <v>2</v>
      </c>
      <c r="G192" s="1" t="s">
        <v>79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1678.9624408799139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1484.0354859998408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0.65442490742493209</v>
      </c>
      <c r="R192" s="1">
        <v>70</v>
      </c>
      <c r="S192" s="1">
        <v>58</v>
      </c>
      <c r="T192" s="1">
        <v>0</v>
      </c>
      <c r="U192" s="1">
        <f>Games[[#This Row],[PointsFor]]-Games[[#This Row],[PointsAgainst]]</f>
        <v>12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0.39238995975879398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73.900000000000006</v>
      </c>
      <c r="Z192" s="4">
        <f>Games[[#This Row],[K]]*Games[[#This Row],[POMult]]</f>
        <v>73.900000000000006</v>
      </c>
      <c r="AA192" s="4">
        <f>(Games[[#This Row],[Keff]]*Games[[#This Row],[MOVMult]])*(Games[[#This Row],[Result]]-Games[[#This Row],[ExpectedWin%]])</f>
        <v>10.020854533851841</v>
      </c>
      <c r="AB192" s="4">
        <f>Games[[#This Row],[PreGmRate]]+Games[[#This Row],[RatingChange]]</f>
        <v>1688.9832954137657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36703</v>
      </c>
      <c r="B193" s="2">
        <v>2000</v>
      </c>
      <c r="C193" s="2">
        <f>COUNTIFS(Games[Team],Games[[#This Row],[Team]],Games[Season],Games[[#This Row],[Season]],Games[Date],"&lt;=" &amp; Games[[#This Row],[Date]])</f>
        <v>13</v>
      </c>
      <c r="D193" s="2" t="s">
        <v>23</v>
      </c>
      <c r="E193" s="2" t="s">
        <v>29</v>
      </c>
      <c r="F193" s="1" t="s">
        <v>79</v>
      </c>
      <c r="G193" s="1" t="s">
        <v>2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1484.0354859998408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1678.9624408799139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0.34557509257506791</v>
      </c>
      <c r="R193" s="1">
        <v>58</v>
      </c>
      <c r="S193" s="1">
        <v>70</v>
      </c>
      <c r="T193" s="1">
        <v>0</v>
      </c>
      <c r="U193" s="1">
        <f>Games[[#This Row],[PointsFor]]-Games[[#This Row],[PointsAgainst]]</f>
        <v>-12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0.39238995975879398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74.05</v>
      </c>
      <c r="Z193" s="4">
        <f>Games[[#This Row],[K]]*Games[[#This Row],[POMult]]</f>
        <v>74.05</v>
      </c>
      <c r="AA193" s="4">
        <f>(Games[[#This Row],[Keff]]*Games[[#This Row],[MOVMult]])*(Games[[#This Row],[Result]]-Games[[#This Row],[ExpectedWin%]])</f>
        <v>-10.041194563352217</v>
      </c>
      <c r="AB193" s="4">
        <f>Games[[#This Row],[PreGmRate]]+Games[[#This Row],[RatingChange]]</f>
        <v>1473.9942914364885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36703</v>
      </c>
      <c r="B194" s="2">
        <v>2000</v>
      </c>
      <c r="C194" s="2">
        <f>COUNTIFS(Games[Team],Games[[#This Row],[Team]],Games[Season],Games[[#This Row],[Season]],Games[Date],"&lt;=" &amp; Games[[#This Row],[Date]])</f>
        <v>13</v>
      </c>
      <c r="D194" s="2" t="s">
        <v>23</v>
      </c>
      <c r="E194" s="2" t="s">
        <v>29</v>
      </c>
      <c r="F194" s="1" t="s">
        <v>45</v>
      </c>
      <c r="G194" s="1" t="s">
        <v>43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-2</v>
      </c>
      <c r="L194" s="2">
        <f>Games[[#This Row],[OppDaysOff]]-Games[[#This Row],[DaysOff]]</f>
        <v>2</v>
      </c>
      <c r="M194" s="1">
        <f>MAX(-16, MIN(16, Games[[#This Row],[RestDiff]]*8))</f>
        <v>-16</v>
      </c>
      <c r="N194" s="1">
        <f>MAX(-16, MIN(16, Games[[#This Row],[OppRestDiff]]*8))</f>
        <v>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1585.1008840675829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1497.3672764772673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0.45941090491623604</v>
      </c>
      <c r="R194" s="1">
        <v>80</v>
      </c>
      <c r="S194" s="1">
        <v>89</v>
      </c>
      <c r="T194" s="1">
        <v>0</v>
      </c>
      <c r="U194" s="1">
        <f>Games[[#This Row],[PointsFor]]-Games[[#This Row],[PointsAgainst]]</f>
        <v>-9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0.37831258709501675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74.05</v>
      </c>
      <c r="Z194" s="4">
        <f>Games[[#This Row],[K]]*Games[[#This Row],[POMult]]</f>
        <v>74.05</v>
      </c>
      <c r="AA194" s="4">
        <f>(Games[[#This Row],[Keff]]*Games[[#This Row],[MOVMult]])*(Games[[#This Row],[Result]]-Games[[#This Row],[ExpectedWin%]])</f>
        <v>-12.869958716809702</v>
      </c>
      <c r="AB194" s="4">
        <f>Games[[#This Row],[PreGmRate]]+Games[[#This Row],[RatingChange]]</f>
        <v>1572.2309253507733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36703</v>
      </c>
      <c r="B195" s="2">
        <v>2000</v>
      </c>
      <c r="C195" s="2">
        <f>COUNTIFS(Games[Team],Games[[#This Row],[Team]],Games[Season],Games[[#This Row],[Season]],Games[Date],"&lt;=" &amp; Games[[#This Row],[Date]])</f>
        <v>15</v>
      </c>
      <c r="D195" s="2" t="s">
        <v>23</v>
      </c>
      <c r="E195" s="2" t="s">
        <v>29</v>
      </c>
      <c r="F195" s="1" t="s">
        <v>43</v>
      </c>
      <c r="G195" s="1" t="s">
        <v>45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5" s="2">
        <f>Games[[#This Row],[DaysOff]]-Games[[#This Row],[OppDaysOff]]</f>
        <v>2</v>
      </c>
      <c r="L195" s="2">
        <f>Games[[#This Row],[OppDaysOff]]-Games[[#This Row],[DaysOff]]</f>
        <v>-2</v>
      </c>
      <c r="M195" s="1">
        <f>MAX(-16, MIN(16, Games[[#This Row],[RestDiff]]*8))</f>
        <v>16</v>
      </c>
      <c r="N195" s="1">
        <f>MAX(-16, MIN(16, Games[[#This Row],[OppRestDiff]]*8))</f>
        <v>-16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1497.3672764772673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1585.1008840675829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0.54058909508376396</v>
      </c>
      <c r="R195" s="1">
        <v>89</v>
      </c>
      <c r="S195" s="1">
        <v>80</v>
      </c>
      <c r="T195" s="1">
        <v>0</v>
      </c>
      <c r="U195" s="1">
        <f>Games[[#This Row],[PointsFor]]-Games[[#This Row],[PointsAgainst]]</f>
        <v>9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0.37831258709501675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73.75</v>
      </c>
      <c r="Z195" s="4">
        <f>Games[[#This Row],[K]]*Games[[#This Row],[POMult]]</f>
        <v>73.75</v>
      </c>
      <c r="AA195" s="4">
        <f>(Games[[#This Row],[Keff]]*Games[[#This Row],[MOVMult]])*(Games[[#This Row],[Result]]-Games[[#This Row],[ExpectedWin%]])</f>
        <v>12.817818438416145</v>
      </c>
      <c r="AB195" s="4">
        <f>Games[[#This Row],[PreGmRate]]+Games[[#This Row],[RatingChange]]</f>
        <v>1510.1850949156835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36703</v>
      </c>
      <c r="B196" s="2">
        <v>2000</v>
      </c>
      <c r="C196" s="2">
        <f>COUNTIFS(Games[Team],Games[[#This Row],[Team]],Games[Season],Games[[#This Row],[Season]],Games[Date],"&lt;=" &amp; Games[[#This Row],[Date]])</f>
        <v>12</v>
      </c>
      <c r="D196" s="2" t="s">
        <v>23</v>
      </c>
      <c r="E196" s="2" t="s">
        <v>29</v>
      </c>
      <c r="F196" s="1" t="s">
        <v>71</v>
      </c>
      <c r="G196" s="1" t="s">
        <v>75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-1</v>
      </c>
      <c r="L196" s="2">
        <f>Games[[#This Row],[OppDaysOff]]-Games[[#This Row],[DaysOff]]</f>
        <v>1</v>
      </c>
      <c r="M196" s="1">
        <f>MAX(-16, MIN(16, Games[[#This Row],[RestDiff]]*8))</f>
        <v>-8</v>
      </c>
      <c r="N196" s="1">
        <f>MAX(-16, MIN(16, Games[[#This Row],[OppRestDiff]]*8))</f>
        <v>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1616.8228090238474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1473.9956660617643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0.5613229345389793</v>
      </c>
      <c r="R196" s="1">
        <v>74</v>
      </c>
      <c r="S196" s="1">
        <v>72</v>
      </c>
      <c r="T196" s="1">
        <v>0</v>
      </c>
      <c r="U196" s="1">
        <f>Games[[#This Row],[PointsFor]]-Games[[#This Row],[PointsAgainst]]</f>
        <v>2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0.23935291050389448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74.2</v>
      </c>
      <c r="Z196" s="4">
        <f>Games[[#This Row],[K]]*Games[[#This Row],[POMult]]</f>
        <v>74.2</v>
      </c>
      <c r="AA196" s="4">
        <f>(Games[[#This Row],[Keff]]*Games[[#This Row],[MOVMult]])*(Games[[#This Row],[Result]]-Games[[#This Row],[ExpectedWin%]])</f>
        <v>7.7908985232936843</v>
      </c>
      <c r="AB196" s="4">
        <f>Games[[#This Row],[PreGmRate]]+Games[[#This Row],[RatingChange]]</f>
        <v>1624.6137075471411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36703</v>
      </c>
      <c r="B197" s="2">
        <v>2000</v>
      </c>
      <c r="C197" s="2">
        <f>COUNTIFS(Games[Team],Games[[#This Row],[Team]],Games[Season],Games[[#This Row],[Season]],Games[Date],"&lt;=" &amp; Games[[#This Row],[Date]])</f>
        <v>12</v>
      </c>
      <c r="D197" s="2" t="s">
        <v>23</v>
      </c>
      <c r="E197" s="2" t="s">
        <v>29</v>
      </c>
      <c r="F197" s="1" t="s">
        <v>75</v>
      </c>
      <c r="G197" s="1" t="s">
        <v>71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7" s="2">
        <f>Games[[#This Row],[DaysOff]]-Games[[#This Row],[OppDaysOff]]</f>
        <v>1</v>
      </c>
      <c r="L197" s="2">
        <f>Games[[#This Row],[OppDaysOff]]-Games[[#This Row],[DaysOff]]</f>
        <v>-1</v>
      </c>
      <c r="M197" s="1">
        <f>MAX(-16, MIN(16, Games[[#This Row],[RestDiff]]*8))</f>
        <v>8</v>
      </c>
      <c r="N197" s="1">
        <f>MAX(-16, MIN(16, Games[[#This Row],[OppRestDiff]]*8))</f>
        <v>-8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1473.9956660617643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1616.8228090238474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0.43867706546102064</v>
      </c>
      <c r="R197" s="1">
        <v>72</v>
      </c>
      <c r="S197" s="1">
        <v>74</v>
      </c>
      <c r="T197" s="1">
        <v>0</v>
      </c>
      <c r="U197" s="1">
        <f>Games[[#This Row],[PointsFor]]-Games[[#This Row],[PointsAgainst]]</f>
        <v>-2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0.23935291050389448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74.2</v>
      </c>
      <c r="Z197" s="4">
        <f>Games[[#This Row],[K]]*Games[[#This Row],[POMult]]</f>
        <v>74.2</v>
      </c>
      <c r="AA197" s="4">
        <f>(Games[[#This Row],[Keff]]*Games[[#This Row],[MOVMult]])*(Games[[#This Row],[Result]]-Games[[#This Row],[ExpectedWin%]])</f>
        <v>-7.7908985232936825</v>
      </c>
      <c r="AB197" s="4">
        <f>Games[[#This Row],[PreGmRate]]+Games[[#This Row],[RatingChange]]</f>
        <v>1466.2047675384706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36705</v>
      </c>
      <c r="B198" s="2">
        <v>2000</v>
      </c>
      <c r="C198" s="2">
        <f>COUNTIFS(Games[Team],Games[[#This Row],[Team]],Games[Season],Games[[#This Row],[Season]],Games[Date],"&lt;=" &amp; Games[[#This Row],[Date]])</f>
        <v>15</v>
      </c>
      <c r="D198" s="2" t="s">
        <v>23</v>
      </c>
      <c r="E198" s="2" t="s">
        <v>29</v>
      </c>
      <c r="F198" s="1" t="s">
        <v>2</v>
      </c>
      <c r="G198" s="1" t="s">
        <v>64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-1</v>
      </c>
      <c r="L198" s="2">
        <f>Games[[#This Row],[OppDaysOff]]-Games[[#This Row],[DaysOff]]</f>
        <v>1</v>
      </c>
      <c r="M198" s="1">
        <f>MAX(-16, MIN(16, Games[[#This Row],[RestDiff]]*8))</f>
        <v>-8</v>
      </c>
      <c r="N198" s="1">
        <f>MAX(-16, MIN(16, Games[[#This Row],[OppRestDiff]]*8))</f>
        <v>8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1688.9832954137657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1383.3676042513123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0.76559789693300451</v>
      </c>
      <c r="R198" s="1">
        <v>76</v>
      </c>
      <c r="S198" s="1">
        <v>66</v>
      </c>
      <c r="T198" s="1">
        <v>0</v>
      </c>
      <c r="U198" s="1">
        <f>Games[[#This Row],[PointsFor]]-Games[[#This Row],[PointsAgainst]]</f>
        <v>10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0.33724119785621626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73.75</v>
      </c>
      <c r="Z198" s="4">
        <f>Games[[#This Row],[K]]*Games[[#This Row],[POMult]]</f>
        <v>73.75</v>
      </c>
      <c r="AA198" s="4">
        <f>(Games[[#This Row],[Keff]]*Games[[#This Row],[MOVMult]])*(Games[[#This Row],[Result]]-Games[[#This Row],[ExpectedWin%]])</f>
        <v>5.8299408938518242</v>
      </c>
      <c r="AB198" s="4">
        <f>Games[[#This Row],[PreGmRate]]+Games[[#This Row],[RatingChange]]</f>
        <v>1694.8132363076177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36705</v>
      </c>
      <c r="B199" s="2">
        <v>2000</v>
      </c>
      <c r="C199" s="2">
        <f>COUNTIFS(Games[Team],Games[[#This Row],[Team]],Games[Season],Games[[#This Row],[Season]],Games[Date],"&lt;=" &amp; Games[[#This Row],[Date]])</f>
        <v>14</v>
      </c>
      <c r="D199" s="2" t="s">
        <v>23</v>
      </c>
      <c r="E199" s="2" t="s">
        <v>29</v>
      </c>
      <c r="F199" s="1" t="s">
        <v>64</v>
      </c>
      <c r="G199" s="1" t="s">
        <v>2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1</v>
      </c>
      <c r="L199" s="2">
        <f>Games[[#This Row],[OppDaysOff]]-Games[[#This Row],[DaysOff]]</f>
        <v>-1</v>
      </c>
      <c r="M199" s="1">
        <f>MAX(-16, MIN(16, Games[[#This Row],[RestDiff]]*8))</f>
        <v>8</v>
      </c>
      <c r="N199" s="1">
        <f>MAX(-16, MIN(16, Games[[#This Row],[OppRestDiff]]*8))</f>
        <v>-8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1383.3676042513123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1688.9832954137657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0.23440210306699544</v>
      </c>
      <c r="R199" s="1">
        <v>66</v>
      </c>
      <c r="S199" s="1">
        <v>76</v>
      </c>
      <c r="T199" s="1">
        <v>0</v>
      </c>
      <c r="U199" s="1">
        <f>Games[[#This Row],[PointsFor]]-Games[[#This Row],[PointsAgainst]]</f>
        <v>-10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0.33724119785621626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73.900000000000006</v>
      </c>
      <c r="Z199" s="4">
        <f>Games[[#This Row],[K]]*Games[[#This Row],[POMult]]</f>
        <v>73.900000000000006</v>
      </c>
      <c r="AA199" s="4">
        <f>(Games[[#This Row],[Keff]]*Games[[#This Row],[MOVMult]])*(Games[[#This Row],[Result]]-Games[[#This Row],[ExpectedWin%]])</f>
        <v>-5.8417984007545725</v>
      </c>
      <c r="AB199" s="4">
        <f>Games[[#This Row],[PreGmRate]]+Games[[#This Row],[RatingChange]]</f>
        <v>1377.5258058505576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36705</v>
      </c>
      <c r="B200" s="2">
        <v>2000</v>
      </c>
      <c r="C200" s="2">
        <f>COUNTIFS(Games[Team],Games[[#This Row],[Team]],Games[Season],Games[[#This Row],[Season]],Games[Date],"&lt;=" &amp; Games[[#This Row],[Date]])</f>
        <v>13</v>
      </c>
      <c r="D200" s="2" t="s">
        <v>23</v>
      </c>
      <c r="E200" s="2" t="s">
        <v>29</v>
      </c>
      <c r="F200" s="1" t="s">
        <v>71</v>
      </c>
      <c r="G200" s="1" t="s">
        <v>85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1624.6137075471411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1428.4564503580948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0.6133515223528121</v>
      </c>
      <c r="R200" s="1">
        <v>82</v>
      </c>
      <c r="S200" s="1">
        <v>73</v>
      </c>
      <c r="T200" s="1">
        <v>0</v>
      </c>
      <c r="U200" s="1">
        <f>Games[[#This Row],[PointsFor]]-Games[[#This Row],[PointsAgainst]]</f>
        <v>9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0.34893335264934761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74.05</v>
      </c>
      <c r="Z200" s="4">
        <f>Games[[#This Row],[K]]*Games[[#This Row],[POMult]]</f>
        <v>74.05</v>
      </c>
      <c r="AA200" s="4">
        <f>(Games[[#This Row],[Keff]]*Games[[#This Row],[MOVMult]])*(Games[[#This Row],[Result]]-Games[[#This Row],[ExpectedWin%]])</f>
        <v>9.990422398042881</v>
      </c>
      <c r="AB200" s="4">
        <f>Games[[#This Row],[PreGmRate]]+Games[[#This Row],[RatingChange]]</f>
        <v>1634.604129945184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36705</v>
      </c>
      <c r="B201" s="2">
        <v>2000</v>
      </c>
      <c r="C201" s="2">
        <f>COUNTIFS(Games[Team],Games[[#This Row],[Team]],Games[Season],Games[[#This Row],[Season]],Games[Date],"&lt;=" &amp; Games[[#This Row],[Date]])</f>
        <v>12</v>
      </c>
      <c r="D201" s="2" t="s">
        <v>23</v>
      </c>
      <c r="E201" s="2" t="s">
        <v>29</v>
      </c>
      <c r="F201" s="1" t="s">
        <v>85</v>
      </c>
      <c r="G201" s="1" t="s">
        <v>71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1428.4564503580948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1624.6137075471411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0.3866484776471879</v>
      </c>
      <c r="R201" s="1">
        <v>73</v>
      </c>
      <c r="S201" s="1">
        <v>82</v>
      </c>
      <c r="T201" s="1">
        <v>0</v>
      </c>
      <c r="U201" s="1">
        <f>Games[[#This Row],[PointsFor]]-Games[[#This Row],[PointsAgainst]]</f>
        <v>-9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0.34893335264934761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74.2</v>
      </c>
      <c r="Z201" s="4">
        <f>Games[[#This Row],[K]]*Games[[#This Row],[POMult]]</f>
        <v>74.2</v>
      </c>
      <c r="AA201" s="4">
        <f>(Games[[#This Row],[Keff]]*Games[[#This Row],[MOVMult]])*(Games[[#This Row],[Result]]-Games[[#This Row],[ExpectedWin%]])</f>
        <v>-10.010659580483212</v>
      </c>
      <c r="AB201" s="4">
        <f>Games[[#This Row],[PreGmRate]]+Games[[#This Row],[RatingChange]]</f>
        <v>1418.4457907776116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36705</v>
      </c>
      <c r="B202" s="2">
        <v>2000</v>
      </c>
      <c r="C202" s="2">
        <f>COUNTIFS(Games[Team],Games[[#This Row],[Team]],Games[Season],Games[[#This Row],[Season]],Games[Date],"&lt;=" &amp; Games[[#This Row],[Date]])</f>
        <v>13</v>
      </c>
      <c r="D202" s="2" t="s">
        <v>23</v>
      </c>
      <c r="E202" s="2" t="s">
        <v>29</v>
      </c>
      <c r="F202" s="1" t="s">
        <v>44</v>
      </c>
      <c r="G202" s="1" t="s">
        <v>66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1588.7659122833393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1489.0649296830798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0.52258016108396343</v>
      </c>
      <c r="R202" s="1">
        <v>69</v>
      </c>
      <c r="S202" s="1">
        <v>82</v>
      </c>
      <c r="T202" s="1">
        <v>0</v>
      </c>
      <c r="U202" s="1">
        <f>Games[[#This Row],[PointsFor]]-Games[[#This Row],[PointsAgainst]]</f>
        <v>-13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0.43583294493142749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74.05</v>
      </c>
      <c r="Z202" s="4">
        <f>Games[[#This Row],[K]]*Games[[#This Row],[POMult]]</f>
        <v>74.05</v>
      </c>
      <c r="AA202" s="4">
        <f>(Games[[#This Row],[Keff]]*Games[[#This Row],[MOVMult]])*(Games[[#This Row],[Result]]-Games[[#This Row],[ExpectedWin%]])</f>
        <v>-16.8654540245577</v>
      </c>
      <c r="AB202" s="4">
        <f>Games[[#This Row],[PreGmRate]]+Games[[#This Row],[RatingChange]]</f>
        <v>1571.9004582587816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36705</v>
      </c>
      <c r="B203" s="2">
        <v>2000</v>
      </c>
      <c r="C203" s="2">
        <f>COUNTIFS(Games[Team],Games[[#This Row],[Team]],Games[Season],Games[[#This Row],[Season]],Games[Date],"&lt;=" &amp; Games[[#This Row],[Date]])</f>
        <v>13</v>
      </c>
      <c r="D203" s="2" t="s">
        <v>23</v>
      </c>
      <c r="E203" s="2" t="s">
        <v>29</v>
      </c>
      <c r="F203" s="1" t="s">
        <v>66</v>
      </c>
      <c r="G203" s="1" t="s">
        <v>44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1489.0649296830798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1588.7659122833393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0.47741983891603657</v>
      </c>
      <c r="R203" s="1">
        <v>82</v>
      </c>
      <c r="S203" s="1">
        <v>69</v>
      </c>
      <c r="T203" s="1">
        <v>0</v>
      </c>
      <c r="U203" s="1">
        <f>Games[[#This Row],[PointsFor]]-Games[[#This Row],[PointsAgainst]]</f>
        <v>13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0.43583294493142749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74.05</v>
      </c>
      <c r="Z203" s="4">
        <f>Games[[#This Row],[K]]*Games[[#This Row],[POMult]]</f>
        <v>74.05</v>
      </c>
      <c r="AA203" s="4">
        <f>(Games[[#This Row],[Keff]]*Games[[#This Row],[MOVMult]])*(Games[[#This Row],[Result]]-Games[[#This Row],[ExpectedWin%]])</f>
        <v>16.8654540245577</v>
      </c>
      <c r="AB203" s="4">
        <f>Games[[#This Row],[PreGmRate]]+Games[[#This Row],[RatingChange]]</f>
        <v>1505.9303837076375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36705</v>
      </c>
      <c r="B204" s="2">
        <v>2000</v>
      </c>
      <c r="C204" s="2">
        <f>COUNTIFS(Games[Team],Games[[#This Row],[Team]],Games[Season],Games[[#This Row],[Season]],Games[Date],"&lt;=" &amp; Games[[#This Row],[Date]])</f>
        <v>13</v>
      </c>
      <c r="D204" s="2" t="s">
        <v>23</v>
      </c>
      <c r="E204" s="2" t="s">
        <v>29</v>
      </c>
      <c r="F204" s="1" t="s">
        <v>83</v>
      </c>
      <c r="G204" s="1" t="s">
        <v>79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2</v>
      </c>
      <c r="L204" s="2">
        <f>Games[[#This Row],[OppDaysOff]]-Games[[#This Row],[DaysOff]]</f>
        <v>-2</v>
      </c>
      <c r="M204" s="1">
        <f>MAX(-16, MIN(16, Games[[#This Row],[RestDiff]]*8))</f>
        <v>16</v>
      </c>
      <c r="N204" s="1">
        <f>MAX(-16, MIN(16, Games[[#This Row],[OppRestDiff]]*8))</f>
        <v>-16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1431.0686835736758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1473.9942914364885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0.36669174292833046</v>
      </c>
      <c r="R204" s="1">
        <v>53</v>
      </c>
      <c r="S204" s="1">
        <v>61</v>
      </c>
      <c r="T204" s="1">
        <v>0</v>
      </c>
      <c r="U204" s="1">
        <f>Games[[#This Row],[PointsFor]]-Games[[#This Row],[PointsAgainst]]</f>
        <v>-8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0.37490469184623859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74.05</v>
      </c>
      <c r="Z204" s="4">
        <f>Games[[#This Row],[K]]*Games[[#This Row],[POMult]]</f>
        <v>74.05</v>
      </c>
      <c r="AA204" s="4">
        <f>(Games[[#This Row],[Keff]]*Games[[#This Row],[MOVMult]])*(Games[[#This Row],[Result]]-Games[[#This Row],[ExpectedWin%]])</f>
        <v>-10.179983384242089</v>
      </c>
      <c r="AB204" s="4">
        <f>Games[[#This Row],[PreGmRate]]+Games[[#This Row],[RatingChange]]</f>
        <v>1420.8887001894336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36705</v>
      </c>
      <c r="B205" s="2">
        <v>2000</v>
      </c>
      <c r="C205" s="2">
        <f>COUNTIFS(Games[Team],Games[[#This Row],[Team]],Games[Season],Games[[#This Row],[Season]],Games[Date],"&lt;=" &amp; Games[[#This Row],[Date]])</f>
        <v>14</v>
      </c>
      <c r="D205" s="2" t="s">
        <v>23</v>
      </c>
      <c r="E205" s="2" t="s">
        <v>29</v>
      </c>
      <c r="F205" s="1" t="s">
        <v>79</v>
      </c>
      <c r="G205" s="1" t="s">
        <v>83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5" s="2">
        <f>Games[[#This Row],[DaysOff]]-Games[[#This Row],[OppDaysOff]]</f>
        <v>-2</v>
      </c>
      <c r="L205" s="2">
        <f>Games[[#This Row],[OppDaysOff]]-Games[[#This Row],[DaysOff]]</f>
        <v>2</v>
      </c>
      <c r="M205" s="1">
        <f>MAX(-16, MIN(16, Games[[#This Row],[RestDiff]]*8))</f>
        <v>-16</v>
      </c>
      <c r="N205" s="1">
        <f>MAX(-16, MIN(16, Games[[#This Row],[OppRestDiff]]*8))</f>
        <v>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1473.9942914364885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1431.0686835736758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0.6333082570716696</v>
      </c>
      <c r="R205" s="1">
        <v>61</v>
      </c>
      <c r="S205" s="1">
        <v>53</v>
      </c>
      <c r="T205" s="1">
        <v>0</v>
      </c>
      <c r="U205" s="1">
        <f>Games[[#This Row],[PointsFor]]-Games[[#This Row],[PointsAgainst]]</f>
        <v>8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0.37490469184623859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73.900000000000006</v>
      </c>
      <c r="Z205" s="4">
        <f>Games[[#This Row],[K]]*Games[[#This Row],[POMult]]</f>
        <v>73.900000000000006</v>
      </c>
      <c r="AA205" s="4">
        <f>(Games[[#This Row],[Keff]]*Games[[#This Row],[MOVMult]])*(Games[[#This Row],[Result]]-Games[[#This Row],[ExpectedWin%]])</f>
        <v>10.159362216009324</v>
      </c>
      <c r="AB205" s="4">
        <f>Games[[#This Row],[PreGmRate]]+Games[[#This Row],[RatingChange]]</f>
        <v>1484.153653652498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36705</v>
      </c>
      <c r="B206" s="2">
        <v>2000</v>
      </c>
      <c r="C206" s="2">
        <f>COUNTIFS(Games[Team],Games[[#This Row],[Team]],Games[Season],Games[[#This Row],[Season]],Games[Date],"&lt;=" &amp; Games[[#This Row],[Date]])</f>
        <v>13</v>
      </c>
      <c r="D206" s="2" t="s">
        <v>23</v>
      </c>
      <c r="E206" s="2" t="s">
        <v>29</v>
      </c>
      <c r="F206" s="1" t="s">
        <v>1</v>
      </c>
      <c r="G206" s="1" t="s">
        <v>89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1471.1704189503141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1436.2656423926071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0.42981283402007769</v>
      </c>
      <c r="R206" s="1">
        <v>69</v>
      </c>
      <c r="S206" s="1">
        <v>80</v>
      </c>
      <c r="T206" s="1">
        <v>0</v>
      </c>
      <c r="U206" s="1">
        <f>Games[[#This Row],[PointsFor]]-Games[[#This Row],[PointsAgainst]]</f>
        <v>-11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0.42740393780029523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74.05</v>
      </c>
      <c r="Z206" s="4">
        <f>Games[[#This Row],[K]]*Games[[#This Row],[POMult]]</f>
        <v>74.05</v>
      </c>
      <c r="AA206" s="4">
        <f>(Games[[#This Row],[Keff]]*Games[[#This Row],[MOVMult]])*(Games[[#This Row],[Result]]-Games[[#This Row],[ExpectedWin%]])</f>
        <v>-13.603258820408021</v>
      </c>
      <c r="AB206" s="4">
        <f>Games[[#This Row],[PreGmRate]]+Games[[#This Row],[RatingChange]]</f>
        <v>1457.5671601299061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36705</v>
      </c>
      <c r="B207" s="2">
        <v>2000</v>
      </c>
      <c r="C207" s="2">
        <f>COUNTIFS(Games[Team],Games[[#This Row],[Team]],Games[Season],Games[[#This Row],[Season]],Games[Date],"&lt;=" &amp; Games[[#This Row],[Date]])</f>
        <v>11</v>
      </c>
      <c r="D207" s="2" t="s">
        <v>23</v>
      </c>
      <c r="E207" s="2" t="s">
        <v>29</v>
      </c>
      <c r="F207" s="1" t="s">
        <v>89</v>
      </c>
      <c r="G207" s="1" t="s">
        <v>1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1436.2656423926071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1471.1704189503141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0.57018716597992236</v>
      </c>
      <c r="R207" s="1">
        <v>80</v>
      </c>
      <c r="S207" s="1">
        <v>69</v>
      </c>
      <c r="T207" s="1">
        <v>0</v>
      </c>
      <c r="U207" s="1">
        <f>Games[[#This Row],[PointsFor]]-Games[[#This Row],[PointsAgainst]]</f>
        <v>11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0.42740393780029523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74.349999999999994</v>
      </c>
      <c r="Z207" s="4">
        <f>Games[[#This Row],[K]]*Games[[#This Row],[POMult]]</f>
        <v>74.349999999999994</v>
      </c>
      <c r="AA207" s="4">
        <f>(Games[[#This Row],[Keff]]*Games[[#This Row],[MOVMult]])*(Games[[#This Row],[Result]]-Games[[#This Row],[ExpectedWin%]])</f>
        <v>13.658369929741204</v>
      </c>
      <c r="AB207" s="4">
        <f>Games[[#This Row],[PreGmRate]]+Games[[#This Row],[RatingChange]]</f>
        <v>1449.9240123223483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36705</v>
      </c>
      <c r="B208" s="2">
        <v>2000</v>
      </c>
      <c r="C208" s="2">
        <f>COUNTIFS(Games[Team],Games[[#This Row],[Team]],Games[Season],Games[[#This Row],[Season]],Games[Date],"&lt;=" &amp; Games[[#This Row],[Date]])</f>
        <v>13</v>
      </c>
      <c r="D208" s="2" t="s">
        <v>23</v>
      </c>
      <c r="E208" s="2" t="s">
        <v>29</v>
      </c>
      <c r="F208" s="1" t="s">
        <v>80</v>
      </c>
      <c r="G208" s="1" t="s">
        <v>45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2</v>
      </c>
      <c r="L208" s="2">
        <f>Games[[#This Row],[OppDaysOff]]-Games[[#This Row],[DaysOff]]</f>
        <v>-2</v>
      </c>
      <c r="M208" s="1">
        <f>MAX(-16, MIN(16, Games[[#This Row],[RestDiff]]*8))</f>
        <v>16</v>
      </c>
      <c r="N208" s="1">
        <f>MAX(-16, MIN(16, Games[[#This Row],[OppRestDiff]]*8))</f>
        <v>-16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1545.4561209666654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1572.2309253507733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0.38853743174278971</v>
      </c>
      <c r="R208" s="1">
        <v>74</v>
      </c>
      <c r="S208" s="1">
        <v>82</v>
      </c>
      <c r="T208" s="1">
        <v>0</v>
      </c>
      <c r="U208" s="1">
        <f>Games[[#This Row],[PointsFor]]-Games[[#This Row],[PointsAgainst]]</f>
        <v>-8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0.37984040782248318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74.05</v>
      </c>
      <c r="Z208" s="4">
        <f>Games[[#This Row],[K]]*Games[[#This Row],[POMult]]</f>
        <v>74.05</v>
      </c>
      <c r="AA208" s="4">
        <f>(Games[[#This Row],[Keff]]*Games[[#This Row],[MOVMult]])*(Games[[#This Row],[Result]]-Games[[#This Row],[ExpectedWin%]])</f>
        <v>-10.928463133860003</v>
      </c>
      <c r="AB208" s="4">
        <f>Games[[#This Row],[PreGmRate]]+Games[[#This Row],[RatingChange]]</f>
        <v>1534.5276578328053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36705</v>
      </c>
      <c r="B209" s="2">
        <v>2000</v>
      </c>
      <c r="C209" s="2">
        <f>COUNTIFS(Games[Team],Games[[#This Row],[Team]],Games[Season],Games[[#This Row],[Season]],Games[Date],"&lt;=" &amp; Games[[#This Row],[Date]])</f>
        <v>14</v>
      </c>
      <c r="D209" s="2" t="s">
        <v>23</v>
      </c>
      <c r="E209" s="2" t="s">
        <v>29</v>
      </c>
      <c r="F209" s="1" t="s">
        <v>45</v>
      </c>
      <c r="G209" s="1" t="s">
        <v>80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9" s="2">
        <f>Games[[#This Row],[DaysOff]]-Games[[#This Row],[OppDaysOff]]</f>
        <v>-2</v>
      </c>
      <c r="L209" s="2">
        <f>Games[[#This Row],[OppDaysOff]]-Games[[#This Row],[DaysOff]]</f>
        <v>2</v>
      </c>
      <c r="M209" s="1">
        <f>MAX(-16, MIN(16, Games[[#This Row],[RestDiff]]*8))</f>
        <v>-16</v>
      </c>
      <c r="N209" s="1">
        <f>MAX(-16, MIN(16, Games[[#This Row],[OppRestDiff]]*8))</f>
        <v>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1572.2309253507733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1545.4561209666654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0.61146256825721024</v>
      </c>
      <c r="R209" s="1">
        <v>82</v>
      </c>
      <c r="S209" s="1">
        <v>74</v>
      </c>
      <c r="T209" s="1">
        <v>0</v>
      </c>
      <c r="U209" s="1">
        <f>Games[[#This Row],[PointsFor]]-Games[[#This Row],[PointsAgainst]]</f>
        <v>8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0.37984040782248318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73.900000000000006</v>
      </c>
      <c r="Z209" s="4">
        <f>Games[[#This Row],[K]]*Games[[#This Row],[POMult]]</f>
        <v>73.900000000000006</v>
      </c>
      <c r="AA209" s="4">
        <f>(Games[[#This Row],[Keff]]*Games[[#This Row],[MOVMult]])*(Games[[#This Row],[Result]]-Games[[#This Row],[ExpectedWin%]])</f>
        <v>10.906325801380882</v>
      </c>
      <c r="AB209" s="4">
        <f>Games[[#This Row],[PreGmRate]]+Games[[#This Row],[RatingChange]]</f>
        <v>1583.1372511521542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36705</v>
      </c>
      <c r="B210" s="2">
        <v>2000</v>
      </c>
      <c r="C210" s="2">
        <f>COUNTIFS(Games[Team],Games[[#This Row],[Team]],Games[Season],Games[[#This Row],[Season]],Games[Date],"&lt;=" &amp; Games[[#This Row],[Date]])</f>
        <v>13</v>
      </c>
      <c r="D210" s="2" t="s">
        <v>23</v>
      </c>
      <c r="E210" s="2" t="s">
        <v>29</v>
      </c>
      <c r="F210" s="1" t="s">
        <v>77</v>
      </c>
      <c r="G210" s="1" t="s">
        <v>87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-2</v>
      </c>
      <c r="L210" s="2">
        <f>Games[[#This Row],[OppDaysOff]]-Games[[#This Row],[DaysOff]]</f>
        <v>2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1474.4008657927939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1415.3148666259856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0.41881901697541668</v>
      </c>
      <c r="R210" s="1">
        <v>82</v>
      </c>
      <c r="S210" s="1">
        <v>78</v>
      </c>
      <c r="T210" s="1">
        <v>0</v>
      </c>
      <c r="U210" s="1">
        <f>Games[[#This Row],[PointsFor]]-Games[[#This Row],[PointsAgainst]]</f>
        <v>4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0.29681791564036247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74.05</v>
      </c>
      <c r="Z210" s="4">
        <f>Games[[#This Row],[K]]*Games[[#This Row],[POMult]]</f>
        <v>74.05</v>
      </c>
      <c r="AA210" s="4">
        <f>(Games[[#This Row],[Keff]]*Games[[#This Row],[MOVMult]])*(Games[[#This Row],[Result]]-Games[[#This Row],[ExpectedWin%]])</f>
        <v>12.773989917746411</v>
      </c>
      <c r="AB210" s="4">
        <f>Games[[#This Row],[PreGmRate]]+Games[[#This Row],[RatingChange]]</f>
        <v>1487.1748557105402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36705</v>
      </c>
      <c r="B211" s="2">
        <v>2000</v>
      </c>
      <c r="C211" s="2">
        <f>COUNTIFS(Games[Team],Games[[#This Row],[Team]],Games[Season],Games[[#This Row],[Season]],Games[Date],"&lt;=" &amp; Games[[#This Row],[Date]])</f>
        <v>12</v>
      </c>
      <c r="D211" s="2" t="s">
        <v>23</v>
      </c>
      <c r="E211" s="2" t="s">
        <v>29</v>
      </c>
      <c r="F211" s="1" t="s">
        <v>87</v>
      </c>
      <c r="G211" s="1" t="s">
        <v>77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1" s="2">
        <f>Games[[#This Row],[DaysOff]]-Games[[#This Row],[OppDaysOff]]</f>
        <v>2</v>
      </c>
      <c r="L211" s="2">
        <f>Games[[#This Row],[OppDaysOff]]-Games[[#This Row],[DaysOff]]</f>
        <v>-2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1415.3148666259856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1474.4008657927939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0.58118098302458332</v>
      </c>
      <c r="R211" s="1">
        <v>78</v>
      </c>
      <c r="S211" s="1">
        <v>82</v>
      </c>
      <c r="T211" s="1">
        <v>0</v>
      </c>
      <c r="U211" s="1">
        <f>Games[[#This Row],[PointsFor]]-Games[[#This Row],[PointsAgainst]]</f>
        <v>-4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0.29681791564036247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74.2</v>
      </c>
      <c r="Z211" s="4">
        <f>Games[[#This Row],[K]]*Games[[#This Row],[POMult]]</f>
        <v>74.2</v>
      </c>
      <c r="AA211" s="4">
        <f>(Games[[#This Row],[Keff]]*Games[[#This Row],[MOVMult]])*(Games[[#This Row],[Result]]-Games[[#This Row],[ExpectedWin%]])</f>
        <v>-12.799865656945089</v>
      </c>
      <c r="AB211" s="4">
        <f>Games[[#This Row],[PreGmRate]]+Games[[#This Row],[RatingChange]]</f>
        <v>1402.5150009690406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36707</v>
      </c>
      <c r="B212" s="2">
        <v>2000</v>
      </c>
      <c r="C212" s="2">
        <f>COUNTIFS(Games[Team],Games[[#This Row],[Team]],Games[Season],Games[[#This Row],[Season]],Games[Date],"&lt;=" &amp; Games[[#This Row],[Date]])</f>
        <v>12</v>
      </c>
      <c r="D212" s="2" t="s">
        <v>23</v>
      </c>
      <c r="E212" s="2" t="s">
        <v>29</v>
      </c>
      <c r="F212" s="1" t="s">
        <v>89</v>
      </c>
      <c r="G212" s="1" t="s">
        <v>2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1449.9240123223483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1694.8132363076177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0.13087565157012251</v>
      </c>
      <c r="R212" s="1">
        <v>39</v>
      </c>
      <c r="S212" s="1">
        <v>79</v>
      </c>
      <c r="T212" s="1">
        <v>0</v>
      </c>
      <c r="U212" s="1">
        <f>Games[[#This Row],[PointsFor]]-Games[[#This Row],[PointsAgainst]]</f>
        <v>-40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0.6793490245601439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74.2</v>
      </c>
      <c r="Z212" s="4">
        <f>Games[[#This Row],[K]]*Games[[#This Row],[POMult]]</f>
        <v>74.2</v>
      </c>
      <c r="AA212" s="4">
        <f>(Games[[#This Row],[Keff]]*Games[[#This Row],[MOVMult]])*(Games[[#This Row],[Result]]-Games[[#This Row],[ExpectedWin%]])</f>
        <v>-6.597140270476431</v>
      </c>
      <c r="AB212" s="4">
        <f>Games[[#This Row],[PreGmRate]]+Games[[#This Row],[RatingChange]]</f>
        <v>1443.3268720518718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36707</v>
      </c>
      <c r="B213" s="2">
        <v>2000</v>
      </c>
      <c r="C213" s="2">
        <f>COUNTIFS(Games[Team],Games[[#This Row],[Team]],Games[Season],Games[[#This Row],[Season]],Games[Date],"&lt;=" &amp; Games[[#This Row],[Date]])</f>
        <v>16</v>
      </c>
      <c r="D213" s="2" t="s">
        <v>23</v>
      </c>
      <c r="E213" s="2" t="s">
        <v>29</v>
      </c>
      <c r="F213" s="1" t="s">
        <v>2</v>
      </c>
      <c r="G213" s="1" t="s">
        <v>89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1694.8132363076177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1449.9240123223483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0.86912434842987751</v>
      </c>
      <c r="R213" s="1">
        <v>79</v>
      </c>
      <c r="S213" s="1">
        <v>39</v>
      </c>
      <c r="T213" s="1">
        <v>0</v>
      </c>
      <c r="U213" s="1">
        <f>Games[[#This Row],[PointsFor]]-Games[[#This Row],[PointsAgainst]]</f>
        <v>40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0.6793490245601439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73.599999999999994</v>
      </c>
      <c r="Z213" s="4">
        <f>Games[[#This Row],[K]]*Games[[#This Row],[POMult]]</f>
        <v>73.599999999999994</v>
      </c>
      <c r="AA213" s="4">
        <f>(Games[[#This Row],[Keff]]*Games[[#This Row],[MOVMult]])*(Games[[#This Row],[Result]]-Games[[#This Row],[ExpectedWin%]])</f>
        <v>6.5437941227367276</v>
      </c>
      <c r="AB213" s="4">
        <f>Games[[#This Row],[PreGmRate]]+Games[[#This Row],[RatingChange]]</f>
        <v>1701.3570304303544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36707</v>
      </c>
      <c r="B214" s="2">
        <v>2000</v>
      </c>
      <c r="C214" s="2">
        <f>COUNTIFS(Games[Team],Games[[#This Row],[Team]],Games[Season],Games[[#This Row],[Season]],Games[Date],"&lt;=" &amp; Games[[#This Row],[Date]])</f>
        <v>15</v>
      </c>
      <c r="D214" s="2" t="s">
        <v>23</v>
      </c>
      <c r="E214" s="2" t="s">
        <v>29</v>
      </c>
      <c r="F214" s="1" t="s">
        <v>79</v>
      </c>
      <c r="G214" s="1" t="s">
        <v>83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1484.153653652498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1420.8887001894336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0.47019524646965266</v>
      </c>
      <c r="R214" s="1">
        <v>66</v>
      </c>
      <c r="S214" s="1">
        <v>63</v>
      </c>
      <c r="T214" s="1">
        <v>0</v>
      </c>
      <c r="U214" s="1">
        <f>Games[[#This Row],[PointsFor]]-Games[[#This Row],[PointsAgainst]]</f>
        <v>3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0.27565098229302776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73.75</v>
      </c>
      <c r="Z214" s="4">
        <f>Games[[#This Row],[K]]*Games[[#This Row],[POMult]]</f>
        <v>73.75</v>
      </c>
      <c r="AA214" s="4">
        <f>(Games[[#This Row],[Keff]]*Games[[#This Row],[MOVMult]])*(Games[[#This Row],[Result]]-Games[[#This Row],[ExpectedWin%]])</f>
        <v>10.770538554143986</v>
      </c>
      <c r="AB214" s="4">
        <f>Games[[#This Row],[PreGmRate]]+Games[[#This Row],[RatingChange]]</f>
        <v>1494.9241922066419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36707</v>
      </c>
      <c r="B215" s="2">
        <v>2000</v>
      </c>
      <c r="C215" s="2">
        <f>COUNTIFS(Games[Team],Games[[#This Row],[Team]],Games[Season],Games[[#This Row],[Season]],Games[Date],"&lt;=" &amp; Games[[#This Row],[Date]])</f>
        <v>14</v>
      </c>
      <c r="D215" s="2" t="s">
        <v>23</v>
      </c>
      <c r="E215" s="2" t="s">
        <v>29</v>
      </c>
      <c r="F215" s="1" t="s">
        <v>83</v>
      </c>
      <c r="G215" s="1" t="s">
        <v>79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1420.8887001894336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1484.153653652498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0.52980475353034728</v>
      </c>
      <c r="R215" s="1">
        <v>63</v>
      </c>
      <c r="S215" s="1">
        <v>66</v>
      </c>
      <c r="T215" s="1">
        <v>0</v>
      </c>
      <c r="U215" s="1">
        <f>Games[[#This Row],[PointsFor]]-Games[[#This Row],[PointsAgainst]]</f>
        <v>-3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0.27565098229302776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73.900000000000006</v>
      </c>
      <c r="Z215" s="4">
        <f>Games[[#This Row],[K]]*Games[[#This Row],[POMult]]</f>
        <v>73.900000000000006</v>
      </c>
      <c r="AA215" s="4">
        <f>(Games[[#This Row],[Keff]]*Games[[#This Row],[MOVMult]])*(Games[[#This Row],[Result]]-Games[[#This Row],[ExpectedWin%]])</f>
        <v>-10.792444734254106</v>
      </c>
      <c r="AB215" s="4">
        <f>Games[[#This Row],[PreGmRate]]+Games[[#This Row],[RatingChange]]</f>
        <v>1410.0962554551795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36707</v>
      </c>
      <c r="B216" s="2">
        <v>2000</v>
      </c>
      <c r="C216" s="2">
        <f>COUNTIFS(Games[Team],Games[[#This Row],[Team]],Games[Season],Games[[#This Row],[Season]],Games[Date],"&lt;=" &amp; Games[[#This Row],[Date]])</f>
        <v>13</v>
      </c>
      <c r="D216" s="2" t="s">
        <v>23</v>
      </c>
      <c r="E216" s="2" t="s">
        <v>29</v>
      </c>
      <c r="F216" s="1" t="s">
        <v>85</v>
      </c>
      <c r="G216" s="1" t="s">
        <v>66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0</v>
      </c>
      <c r="L216" s="2">
        <f>Games[[#This Row],[OppDaysOff]]-Games[[#This Row],[DaysOff]]</f>
        <v>0</v>
      </c>
      <c r="M216" s="1">
        <f>MAX(-16, MIN(16, Games[[#This Row],[RestDiff]]*8))</f>
        <v>0</v>
      </c>
      <c r="N216" s="1">
        <f>MAX(-16, MIN(16, Games[[#This Row],[OppRestDiff]]*8))</f>
        <v>0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1418.4457907776116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1505.9303837076375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0.27147642787548926</v>
      </c>
      <c r="R216" s="1">
        <v>70</v>
      </c>
      <c r="S216" s="1">
        <v>72</v>
      </c>
      <c r="T216" s="1">
        <v>0</v>
      </c>
      <c r="U216" s="1">
        <f>Games[[#This Row],[PointsFor]]-Games[[#This Row],[PointsAgainst]]</f>
        <v>-2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0.24964149997332999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74.05</v>
      </c>
      <c r="Z216" s="4">
        <f>Games[[#This Row],[K]]*Games[[#This Row],[POMult]]</f>
        <v>74.05</v>
      </c>
      <c r="AA216" s="4">
        <f>(Games[[#This Row],[Keff]]*Games[[#This Row],[MOVMult]])*(Games[[#This Row],[Result]]-Games[[#This Row],[ExpectedWin%]])</f>
        <v>-5.018500506138774</v>
      </c>
      <c r="AB216" s="4">
        <f>Games[[#This Row],[PreGmRate]]+Games[[#This Row],[RatingChange]]</f>
        <v>1413.4272902714729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36707</v>
      </c>
      <c r="B217" s="2">
        <v>2000</v>
      </c>
      <c r="C217" s="2">
        <f>COUNTIFS(Games[Team],Games[[#This Row],[Team]],Games[Season],Games[[#This Row],[Season]],Games[Date],"&lt;=" &amp; Games[[#This Row],[Date]])</f>
        <v>14</v>
      </c>
      <c r="D217" s="2" t="s">
        <v>23</v>
      </c>
      <c r="E217" s="2" t="s">
        <v>29</v>
      </c>
      <c r="F217" s="1" t="s">
        <v>66</v>
      </c>
      <c r="G217" s="1" t="s">
        <v>85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0</v>
      </c>
      <c r="L217" s="2">
        <f>Games[[#This Row],[OppDaysOff]]-Games[[#This Row],[DaysOff]]</f>
        <v>0</v>
      </c>
      <c r="M217" s="1">
        <f>MAX(-16, MIN(16, Games[[#This Row],[RestDiff]]*8))</f>
        <v>0</v>
      </c>
      <c r="N217" s="1">
        <f>MAX(-16, MIN(16, Games[[#This Row],[OppRestDiff]]*8))</f>
        <v>0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1505.9303837076375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1418.4457907776116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0.7285235721245108</v>
      </c>
      <c r="R217" s="1">
        <v>72</v>
      </c>
      <c r="S217" s="1">
        <v>70</v>
      </c>
      <c r="T217" s="1">
        <v>0</v>
      </c>
      <c r="U217" s="1">
        <f>Games[[#This Row],[PointsFor]]-Games[[#This Row],[PointsAgainst]]</f>
        <v>2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0.24964149997332999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73.900000000000006</v>
      </c>
      <c r="Z217" s="4">
        <f>Games[[#This Row],[K]]*Games[[#This Row],[POMult]]</f>
        <v>73.900000000000006</v>
      </c>
      <c r="AA217" s="4">
        <f>(Games[[#This Row],[Keff]]*Games[[#This Row],[MOVMult]])*(Games[[#This Row],[Result]]-Games[[#This Row],[ExpectedWin%]])</f>
        <v>5.0083347387394372</v>
      </c>
      <c r="AB217" s="4">
        <f>Games[[#This Row],[PreGmRate]]+Games[[#This Row],[RatingChange]]</f>
        <v>1510.9387184463769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36707</v>
      </c>
      <c r="B218" s="2">
        <v>2000</v>
      </c>
      <c r="C218" s="2">
        <f>COUNTIFS(Games[Team],Games[[#This Row],[Team]],Games[Season],Games[[#This Row],[Season]],Games[Date],"&lt;=" &amp; Games[[#This Row],[Date]])</f>
        <v>16</v>
      </c>
      <c r="D218" s="2" t="s">
        <v>23</v>
      </c>
      <c r="E218" s="2" t="s">
        <v>29</v>
      </c>
      <c r="F218" s="1" t="s">
        <v>43</v>
      </c>
      <c r="G218" s="1" t="s">
        <v>45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2</v>
      </c>
      <c r="L218" s="2">
        <f>Games[[#This Row],[OppDaysOff]]-Games[[#This Row],[DaysOff]]</f>
        <v>-2</v>
      </c>
      <c r="M218" s="1">
        <f>MAX(-16, MIN(16, Games[[#This Row],[RestDiff]]*8))</f>
        <v>16</v>
      </c>
      <c r="N218" s="1">
        <f>MAX(-16, MIN(16, Games[[#This Row],[OppRestDiff]]*8))</f>
        <v>-16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1510.1850949156835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1583.1372511521542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0.32755101614689691</v>
      </c>
      <c r="R218" s="1">
        <v>62</v>
      </c>
      <c r="S218" s="1">
        <v>85</v>
      </c>
      <c r="T218" s="1">
        <v>0</v>
      </c>
      <c r="U218" s="1">
        <f>Games[[#This Row],[PointsFor]]-Games[[#This Row],[PointsAgainst]]</f>
        <v>-23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0.58007311544013107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73.599999999999994</v>
      </c>
      <c r="Z218" s="4">
        <f>Games[[#This Row],[K]]*Games[[#This Row],[POMult]]</f>
        <v>73.599999999999994</v>
      </c>
      <c r="AA218" s="4">
        <f>(Games[[#This Row],[Keff]]*Games[[#This Row],[MOVMult]])*(Games[[#This Row],[Result]]-Games[[#This Row],[ExpectedWin%]])</f>
        <v>-13.984260426380661</v>
      </c>
      <c r="AB218" s="4">
        <f>Games[[#This Row],[PreGmRate]]+Games[[#This Row],[RatingChange]]</f>
        <v>1496.2008344893029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36707</v>
      </c>
      <c r="B219" s="2">
        <v>2000</v>
      </c>
      <c r="C219" s="2">
        <f>COUNTIFS(Games[Team],Games[[#This Row],[Team]],Games[Season],Games[[#This Row],[Season]],Games[Date],"&lt;=" &amp; Games[[#This Row],[Date]])</f>
        <v>15</v>
      </c>
      <c r="D219" s="2" t="s">
        <v>23</v>
      </c>
      <c r="E219" s="2" t="s">
        <v>29</v>
      </c>
      <c r="F219" s="1" t="s">
        <v>45</v>
      </c>
      <c r="G219" s="1" t="s">
        <v>43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9" s="2">
        <f>Games[[#This Row],[DaysOff]]-Games[[#This Row],[OppDaysOff]]</f>
        <v>-2</v>
      </c>
      <c r="L219" s="2">
        <f>Games[[#This Row],[OppDaysOff]]-Games[[#This Row],[DaysOff]]</f>
        <v>2</v>
      </c>
      <c r="M219" s="1">
        <f>MAX(-16, MIN(16, Games[[#This Row],[RestDiff]]*8))</f>
        <v>-16</v>
      </c>
      <c r="N219" s="1">
        <f>MAX(-16, MIN(16, Games[[#This Row],[OppRestDiff]]*8))</f>
        <v>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1583.1372511521542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1510.1850949156835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0.67244898385310303</v>
      </c>
      <c r="R219" s="1">
        <v>85</v>
      </c>
      <c r="S219" s="1">
        <v>62</v>
      </c>
      <c r="T219" s="1">
        <v>0</v>
      </c>
      <c r="U219" s="1">
        <f>Games[[#This Row],[PointsFor]]-Games[[#This Row],[PointsAgainst]]</f>
        <v>23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0.58007311544013107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73.75</v>
      </c>
      <c r="Z219" s="4">
        <f>Games[[#This Row],[K]]*Games[[#This Row],[POMult]]</f>
        <v>73.75</v>
      </c>
      <c r="AA219" s="4">
        <f>(Games[[#This Row],[Keff]]*Games[[#This Row],[MOVMult]])*(Games[[#This Row],[Result]]-Games[[#This Row],[ExpectedWin%]])</f>
        <v>14.01276095714095</v>
      </c>
      <c r="AB219" s="4">
        <f>Games[[#This Row],[PreGmRate]]+Games[[#This Row],[RatingChange]]</f>
        <v>1597.1500121092952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36707</v>
      </c>
      <c r="B220" s="2">
        <v>2000</v>
      </c>
      <c r="C220" s="2">
        <f>COUNTIFS(Games[Team],Games[[#This Row],[Team]],Games[Season],Games[[#This Row],[Season]],Games[Date],"&lt;=" &amp; Games[[#This Row],[Date]])</f>
        <v>14</v>
      </c>
      <c r="D220" s="2" t="s">
        <v>23</v>
      </c>
      <c r="E220" s="2" t="s">
        <v>29</v>
      </c>
      <c r="F220" s="1" t="s">
        <v>80</v>
      </c>
      <c r="G220" s="1" t="s">
        <v>87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1534.5276578328053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1402.5150009690406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0.56865926320110693</v>
      </c>
      <c r="R220" s="1">
        <v>65</v>
      </c>
      <c r="S220" s="1">
        <v>53</v>
      </c>
      <c r="T220" s="1">
        <v>0</v>
      </c>
      <c r="U220" s="1">
        <f>Games[[#This Row],[PointsFor]]-Games[[#This Row],[PointsAgainst]]</f>
        <v>12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0.41092352153815243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73.900000000000006</v>
      </c>
      <c r="Z220" s="4">
        <f>Games[[#This Row],[K]]*Games[[#This Row],[POMult]]</f>
        <v>73.900000000000006</v>
      </c>
      <c r="AA220" s="4">
        <f>(Games[[#This Row],[Keff]]*Games[[#This Row],[MOVMult]])*(Games[[#This Row],[Result]]-Games[[#This Row],[ExpectedWin%]])</f>
        <v>13.098631231116597</v>
      </c>
      <c r="AB220" s="4">
        <f>Games[[#This Row],[PreGmRate]]+Games[[#This Row],[RatingChange]]</f>
        <v>1547.6262890639218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36707</v>
      </c>
      <c r="B221" s="2">
        <v>2000</v>
      </c>
      <c r="C221" s="2">
        <f>COUNTIFS(Games[Team],Games[[#This Row],[Team]],Games[Season],Games[[#This Row],[Season]],Games[Date],"&lt;=" &amp; Games[[#This Row],[Date]])</f>
        <v>13</v>
      </c>
      <c r="D221" s="2" t="s">
        <v>23</v>
      </c>
      <c r="E221" s="2" t="s">
        <v>29</v>
      </c>
      <c r="F221" s="1" t="s">
        <v>87</v>
      </c>
      <c r="G221" s="1" t="s">
        <v>80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1402.5150009690406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1534.5276578328053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0.43134073679889301</v>
      </c>
      <c r="R221" s="1">
        <v>53</v>
      </c>
      <c r="S221" s="1">
        <v>65</v>
      </c>
      <c r="T221" s="1">
        <v>0</v>
      </c>
      <c r="U221" s="1">
        <f>Games[[#This Row],[PointsFor]]-Games[[#This Row],[PointsAgainst]]</f>
        <v>-12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0.41092352153815243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74.05</v>
      </c>
      <c r="Z221" s="4">
        <f>Games[[#This Row],[K]]*Games[[#This Row],[POMult]]</f>
        <v>74.05</v>
      </c>
      <c r="AA221" s="4">
        <f>(Games[[#This Row],[Keff]]*Games[[#This Row],[MOVMult]])*(Games[[#This Row],[Result]]-Games[[#This Row],[ExpectedWin%]])</f>
        <v>-13.125218439298834</v>
      </c>
      <c r="AB221" s="4">
        <f>Games[[#This Row],[PreGmRate]]+Games[[#This Row],[RatingChange]]</f>
        <v>1389.3897825297418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36707</v>
      </c>
      <c r="B222" s="2">
        <v>2000</v>
      </c>
      <c r="C222" s="2">
        <f>COUNTIFS(Games[Team],Games[[#This Row],[Team]],Games[Season],Games[[#This Row],[Season]],Games[Date],"&lt;=" &amp; Games[[#This Row],[Date]])</f>
        <v>14</v>
      </c>
      <c r="D222" s="2" t="s">
        <v>23</v>
      </c>
      <c r="E222" s="2" t="s">
        <v>29</v>
      </c>
      <c r="F222" s="1" t="s">
        <v>44</v>
      </c>
      <c r="G222" s="1" t="s">
        <v>75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2" s="2">
        <f>Games[[#This Row],[DaysOff]]-Games[[#This Row],[OppDaysOff]]</f>
        <v>-2</v>
      </c>
      <c r="L222" s="2">
        <f>Games[[#This Row],[OppDaysOff]]-Games[[#This Row],[DaysOff]]</f>
        <v>2</v>
      </c>
      <c r="M222" s="1">
        <f>MAX(-16, MIN(16, Games[[#This Row],[RestDiff]]*8))</f>
        <v>-16</v>
      </c>
      <c r="N222" s="1">
        <f>MAX(-16, MIN(16, Games[[#This Row],[OppRestDiff]]*8))</f>
        <v>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1571.9004582587816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1466.2047675384706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0.48517525331229588</v>
      </c>
      <c r="R222" s="1">
        <v>66</v>
      </c>
      <c r="S222" s="1">
        <v>57</v>
      </c>
      <c r="T222" s="1">
        <v>0</v>
      </c>
      <c r="U222" s="1">
        <f>Games[[#This Row],[PointsFor]]-Games[[#This Row],[PointsAgainst]]</f>
        <v>9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0.37310824875889531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73.900000000000006</v>
      </c>
      <c r="Z222" s="4">
        <f>Games[[#This Row],[K]]*Games[[#This Row],[POMult]]</f>
        <v>73.900000000000006</v>
      </c>
      <c r="AA222" s="4">
        <f>(Games[[#This Row],[Keff]]*Games[[#This Row],[MOVMult]])*(Games[[#This Row],[Result]]-Games[[#This Row],[ExpectedWin%]])</f>
        <v>14.195108078459507</v>
      </c>
      <c r="AB222" s="4">
        <f>Games[[#This Row],[PreGmRate]]+Games[[#This Row],[RatingChange]]</f>
        <v>1586.0955663372411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36707</v>
      </c>
      <c r="B223" s="2">
        <v>2000</v>
      </c>
      <c r="C223" s="2">
        <f>COUNTIFS(Games[Team],Games[[#This Row],[Team]],Games[Season],Games[[#This Row],[Season]],Games[Date],"&lt;=" &amp; Games[[#This Row],[Date]])</f>
        <v>13</v>
      </c>
      <c r="D223" s="2" t="s">
        <v>23</v>
      </c>
      <c r="E223" s="2" t="s">
        <v>29</v>
      </c>
      <c r="F223" s="1" t="s">
        <v>75</v>
      </c>
      <c r="G223" s="1" t="s">
        <v>44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2</v>
      </c>
      <c r="L223" s="2">
        <f>Games[[#This Row],[OppDaysOff]]-Games[[#This Row],[DaysOff]]</f>
        <v>-2</v>
      </c>
      <c r="M223" s="1">
        <f>MAX(-16, MIN(16, Games[[#This Row],[RestDiff]]*8))</f>
        <v>16</v>
      </c>
      <c r="N223" s="1">
        <f>MAX(-16, MIN(16, Games[[#This Row],[OppRestDiff]]*8))</f>
        <v>-16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1466.2047675384706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1571.9004582587816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0.51482474668770406</v>
      </c>
      <c r="R223" s="1">
        <v>57</v>
      </c>
      <c r="S223" s="1">
        <v>66</v>
      </c>
      <c r="T223" s="1">
        <v>0</v>
      </c>
      <c r="U223" s="1">
        <f>Games[[#This Row],[PointsFor]]-Games[[#This Row],[PointsAgainst]]</f>
        <v>-9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0.37310824875889531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74.05</v>
      </c>
      <c r="Z223" s="4">
        <f>Games[[#This Row],[K]]*Games[[#This Row],[POMult]]</f>
        <v>74.05</v>
      </c>
      <c r="AA223" s="4">
        <f>(Games[[#This Row],[Keff]]*Games[[#This Row],[MOVMult]])*(Games[[#This Row],[Result]]-Games[[#This Row],[ExpectedWin%]])</f>
        <v>-14.223920882407665</v>
      </c>
      <c r="AB223" s="4">
        <f>Games[[#This Row],[PreGmRate]]+Games[[#This Row],[RatingChange]]</f>
        <v>1451.980846656063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36708</v>
      </c>
      <c r="B224" s="2">
        <v>2000</v>
      </c>
      <c r="C224" s="2">
        <f>COUNTIFS(Games[Team],Games[[#This Row],[Team]],Games[Season],Games[[#This Row],[Season]],Games[Date],"&lt;=" &amp; Games[[#This Row],[Date]])</f>
        <v>14</v>
      </c>
      <c r="D224" s="2" t="s">
        <v>23</v>
      </c>
      <c r="E224" s="2" t="s">
        <v>29</v>
      </c>
      <c r="F224" s="1" t="s">
        <v>75</v>
      </c>
      <c r="G224" s="1" t="s">
        <v>64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4" s="2">
        <f>Games[[#This Row],[DaysOff]]-Games[[#This Row],[OppDaysOff]]</f>
        <v>-2</v>
      </c>
      <c r="L224" s="2">
        <f>Games[[#This Row],[OppDaysOff]]-Games[[#This Row],[DaysOff]]</f>
        <v>2</v>
      </c>
      <c r="M224" s="1">
        <f>MAX(-16, MIN(16, Games[[#This Row],[RestDiff]]*8))</f>
        <v>-16</v>
      </c>
      <c r="N224" s="1">
        <f>MAX(-16, MIN(16, Games[[#This Row],[OppRestDiff]]*8))</f>
        <v>16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1451.980846656063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1377.5258058505576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0.44049533527389373</v>
      </c>
      <c r="R224" s="1">
        <v>78</v>
      </c>
      <c r="S224" s="1">
        <v>74</v>
      </c>
      <c r="T224" s="1">
        <v>0</v>
      </c>
      <c r="U224" s="1">
        <f>Games[[#This Row],[PointsFor]]-Games[[#This Row],[PointsAgainst]]</f>
        <v>4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0.2932384979610187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73.900000000000006</v>
      </c>
      <c r="Z224" s="4">
        <f>Games[[#This Row],[K]]*Games[[#This Row],[POMult]]</f>
        <v>73.900000000000006</v>
      </c>
      <c r="AA224" s="4">
        <f>(Games[[#This Row],[Keff]]*Games[[#This Row],[MOVMult]])*(Games[[#This Row],[Result]]-Games[[#This Row],[ExpectedWin%]])</f>
        <v>12.124647923249896</v>
      </c>
      <c r="AB224" s="4">
        <f>Games[[#This Row],[PreGmRate]]+Games[[#This Row],[RatingChange]]</f>
        <v>1464.105494579313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36708</v>
      </c>
      <c r="B225" s="2">
        <v>2000</v>
      </c>
      <c r="C225" s="2">
        <f>COUNTIFS(Games[Team],Games[[#This Row],[Team]],Games[Season],Games[[#This Row],[Season]],Games[Date],"&lt;=" &amp; Games[[#This Row],[Date]])</f>
        <v>15</v>
      </c>
      <c r="D225" s="2" t="s">
        <v>23</v>
      </c>
      <c r="E225" s="2" t="s">
        <v>29</v>
      </c>
      <c r="F225" s="1" t="s">
        <v>64</v>
      </c>
      <c r="G225" s="1" t="s">
        <v>75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5" s="2">
        <f>Games[[#This Row],[DaysOff]]-Games[[#This Row],[OppDaysOff]]</f>
        <v>2</v>
      </c>
      <c r="L225" s="2">
        <f>Games[[#This Row],[OppDaysOff]]-Games[[#This Row],[DaysOff]]</f>
        <v>-2</v>
      </c>
      <c r="M225" s="1">
        <f>MAX(-16, MIN(16, Games[[#This Row],[RestDiff]]*8))</f>
        <v>16</v>
      </c>
      <c r="N225" s="1">
        <f>MAX(-16, MIN(16, Games[[#This Row],[OppRestDiff]]*8))</f>
        <v>-16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1377.5258058505576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1451.980846656063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0.55950466472610638</v>
      </c>
      <c r="R225" s="1">
        <v>74</v>
      </c>
      <c r="S225" s="1">
        <v>78</v>
      </c>
      <c r="T225" s="1">
        <v>0</v>
      </c>
      <c r="U225" s="1">
        <f>Games[[#This Row],[PointsFor]]-Games[[#This Row],[PointsAgainst]]</f>
        <v>-4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0.2932384979610187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73.75</v>
      </c>
      <c r="Z225" s="4">
        <f>Games[[#This Row],[K]]*Games[[#This Row],[POMult]]</f>
        <v>73.75</v>
      </c>
      <c r="AA225" s="4">
        <f>(Games[[#This Row],[Keff]]*Games[[#This Row],[MOVMult]])*(Games[[#This Row],[Result]]-Games[[#This Row],[ExpectedWin%]])</f>
        <v>-12.100037677126926</v>
      </c>
      <c r="AB225" s="4">
        <f>Games[[#This Row],[PreGmRate]]+Games[[#This Row],[RatingChange]]</f>
        <v>1365.4257681734307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36708</v>
      </c>
      <c r="B226" s="2">
        <v>2000</v>
      </c>
      <c r="C226" s="2">
        <f>COUNTIFS(Games[Team],Games[[#This Row],[Team]],Games[Season],Games[[#This Row],[Season]],Games[Date],"&lt;=" &amp; Games[[#This Row],[Date]])</f>
        <v>15</v>
      </c>
      <c r="D226" s="2" t="s">
        <v>23</v>
      </c>
      <c r="E226" s="2" t="s">
        <v>29</v>
      </c>
      <c r="F226" s="1" t="s">
        <v>83</v>
      </c>
      <c r="G226" s="1" t="s">
        <v>85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1410.0962554551795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1413.4272902714729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0.37690217749063581</v>
      </c>
      <c r="R226" s="1">
        <v>54</v>
      </c>
      <c r="S226" s="1">
        <v>52</v>
      </c>
      <c r="T226" s="1">
        <v>0</v>
      </c>
      <c r="U226" s="1">
        <f>Games[[#This Row],[PointsFor]]-Games[[#This Row],[PointsAgainst]]</f>
        <v>2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0.26709988828691006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73.75</v>
      </c>
      <c r="Z226" s="4">
        <f>Games[[#This Row],[K]]*Games[[#This Row],[POMult]]</f>
        <v>73.75</v>
      </c>
      <c r="AA226" s="4">
        <f>(Games[[#This Row],[Keff]]*Games[[#This Row],[MOVMult]])*(Games[[#This Row],[Result]]-Games[[#This Row],[ExpectedWin%]])</f>
        <v>12.274165210325021</v>
      </c>
      <c r="AB226" s="4">
        <f>Games[[#This Row],[PreGmRate]]+Games[[#This Row],[RatingChange]]</f>
        <v>1422.3704206655045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36708</v>
      </c>
      <c r="B227" s="2">
        <v>2000</v>
      </c>
      <c r="C227" s="2">
        <f>COUNTIFS(Games[Team],Games[[#This Row],[Team]],Games[Season],Games[[#This Row],[Season]],Games[Date],"&lt;=" &amp; Games[[#This Row],[Date]])</f>
        <v>14</v>
      </c>
      <c r="D227" s="2" t="s">
        <v>23</v>
      </c>
      <c r="E227" s="2" t="s">
        <v>29</v>
      </c>
      <c r="F227" s="1" t="s">
        <v>85</v>
      </c>
      <c r="G227" s="1" t="s">
        <v>83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1413.4272902714729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1410.0962554551795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0.62309782250936419</v>
      </c>
      <c r="R227" s="1">
        <v>52</v>
      </c>
      <c r="S227" s="1">
        <v>54</v>
      </c>
      <c r="T227" s="1">
        <v>0</v>
      </c>
      <c r="U227" s="1">
        <f>Games[[#This Row],[PointsFor]]-Games[[#This Row],[PointsAgainst]]</f>
        <v>-2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0.26709988828691006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73.900000000000006</v>
      </c>
      <c r="Z227" s="4">
        <f>Games[[#This Row],[K]]*Games[[#This Row],[POMult]]</f>
        <v>73.900000000000006</v>
      </c>
      <c r="AA227" s="4">
        <f>(Games[[#This Row],[Keff]]*Games[[#This Row],[MOVMult]])*(Games[[#This Row],[Result]]-Games[[#This Row],[ExpectedWin%]])</f>
        <v>-12.299129614142633</v>
      </c>
      <c r="AB227" s="4">
        <f>Games[[#This Row],[PreGmRate]]+Games[[#This Row],[RatingChange]]</f>
        <v>1401.1281606573302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36708</v>
      </c>
      <c r="B228" s="2">
        <v>2000</v>
      </c>
      <c r="C228" s="2">
        <f>COUNTIFS(Games[Team],Games[[#This Row],[Team]],Games[Season],Games[[#This Row],[Season]],Games[Date],"&lt;=" &amp; Games[[#This Row],[Date]])</f>
        <v>14</v>
      </c>
      <c r="D228" s="2" t="s">
        <v>23</v>
      </c>
      <c r="E228" s="2" t="s">
        <v>29</v>
      </c>
      <c r="F228" s="1" t="s">
        <v>1</v>
      </c>
      <c r="G228" s="1" t="s">
        <v>71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1457.5671601299061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1634.604129945184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0.18203067954521607</v>
      </c>
      <c r="R228" s="1">
        <v>67</v>
      </c>
      <c r="S228" s="1">
        <v>75</v>
      </c>
      <c r="T228" s="1">
        <v>0</v>
      </c>
      <c r="U228" s="1">
        <f>Games[[#This Row],[PointsFor]]-Games[[#This Row],[PointsAgainst]]</f>
        <v>-8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0.33839225250874355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73.900000000000006</v>
      </c>
      <c r="Z228" s="4">
        <f>Games[[#This Row],[K]]*Games[[#This Row],[POMult]]</f>
        <v>73.900000000000006</v>
      </c>
      <c r="AA228" s="4">
        <f>(Games[[#This Row],[Keff]]*Games[[#This Row],[MOVMult]])*(Games[[#This Row],[Result]]-Games[[#This Row],[ExpectedWin%]])</f>
        <v>-4.5520753269305168</v>
      </c>
      <c r="AB228" s="4">
        <f>Games[[#This Row],[PreGmRate]]+Games[[#This Row],[RatingChange]]</f>
        <v>1453.0150848029757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36708</v>
      </c>
      <c r="B229" s="2">
        <v>2000</v>
      </c>
      <c r="C229" s="2">
        <f>COUNTIFS(Games[Team],Games[[#This Row],[Team]],Games[Season],Games[[#This Row],[Season]],Games[Date],"&lt;=" &amp; Games[[#This Row],[Date]])</f>
        <v>14</v>
      </c>
      <c r="D229" s="2" t="s">
        <v>23</v>
      </c>
      <c r="E229" s="2" t="s">
        <v>29</v>
      </c>
      <c r="F229" s="1" t="s">
        <v>71</v>
      </c>
      <c r="G229" s="1" t="s">
        <v>1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1634.604129945184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1457.5671601299061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0.81796932045478399</v>
      </c>
      <c r="R229" s="1">
        <v>75</v>
      </c>
      <c r="S229" s="1">
        <v>67</v>
      </c>
      <c r="T229" s="1">
        <v>0</v>
      </c>
      <c r="U229" s="1">
        <f>Games[[#This Row],[PointsFor]]-Games[[#This Row],[PointsAgainst]]</f>
        <v>8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0.33839225250874355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73.900000000000006</v>
      </c>
      <c r="Z229" s="4">
        <f>Games[[#This Row],[K]]*Games[[#This Row],[POMult]]</f>
        <v>73.900000000000006</v>
      </c>
      <c r="AA229" s="4">
        <f>(Games[[#This Row],[Keff]]*Games[[#This Row],[MOVMult]])*(Games[[#This Row],[Result]]-Games[[#This Row],[ExpectedWin%]])</f>
        <v>4.5520753269305159</v>
      </c>
      <c r="AB229" s="4">
        <f>Games[[#This Row],[PreGmRate]]+Games[[#This Row],[RatingChange]]</f>
        <v>1639.1562052721144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36708</v>
      </c>
      <c r="B230" s="2">
        <v>2000</v>
      </c>
      <c r="C230" s="2">
        <f>COUNTIFS(Games[Team],Games[[#This Row],[Team]],Games[Season],Games[[#This Row],[Season]],Games[Date],"&lt;=" &amp; Games[[#This Row],[Date]])</f>
        <v>15</v>
      </c>
      <c r="D230" s="2" t="s">
        <v>23</v>
      </c>
      <c r="E230" s="2" t="s">
        <v>29</v>
      </c>
      <c r="F230" s="1" t="s">
        <v>66</v>
      </c>
      <c r="G230" s="1" t="s">
        <v>79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1510.9387184463769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1494.9241922066419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0.40339095102207867</v>
      </c>
      <c r="R230" s="1">
        <v>57</v>
      </c>
      <c r="S230" s="1">
        <v>69</v>
      </c>
      <c r="T230" s="1">
        <v>0</v>
      </c>
      <c r="U230" s="1">
        <f>Games[[#This Row],[PointsFor]]-Games[[#This Row],[PointsAgainst]]</f>
        <v>-12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0.45012236275205381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73.75</v>
      </c>
      <c r="Z230" s="4">
        <f>Games[[#This Row],[K]]*Games[[#This Row],[POMult]]</f>
        <v>73.75</v>
      </c>
      <c r="AA230" s="4">
        <f>(Games[[#This Row],[Keff]]*Games[[#This Row],[MOVMult]])*(Games[[#This Row],[Result]]-Games[[#This Row],[ExpectedWin%]])</f>
        <v>-13.391177489030635</v>
      </c>
      <c r="AB230" s="4">
        <f>Games[[#This Row],[PreGmRate]]+Games[[#This Row],[RatingChange]]</f>
        <v>1497.5475409573462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36708</v>
      </c>
      <c r="B231" s="2">
        <v>2000</v>
      </c>
      <c r="C231" s="2">
        <f>COUNTIFS(Games[Team],Games[[#This Row],[Team]],Games[Season],Games[[#This Row],[Season]],Games[Date],"&lt;=" &amp; Games[[#This Row],[Date]])</f>
        <v>16</v>
      </c>
      <c r="D231" s="2" t="s">
        <v>23</v>
      </c>
      <c r="E231" s="2" t="s">
        <v>29</v>
      </c>
      <c r="F231" s="1" t="s">
        <v>79</v>
      </c>
      <c r="G231" s="1" t="s">
        <v>66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1494.9241922066419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1510.9387184463769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0.59660904897792133</v>
      </c>
      <c r="R231" s="1">
        <v>69</v>
      </c>
      <c r="S231" s="1">
        <v>57</v>
      </c>
      <c r="T231" s="1">
        <v>0</v>
      </c>
      <c r="U231" s="1">
        <f>Games[[#This Row],[PointsFor]]-Games[[#This Row],[PointsAgainst]]</f>
        <v>12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0.45012236275205381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73.599999999999994</v>
      </c>
      <c r="Z231" s="4">
        <f>Games[[#This Row],[K]]*Games[[#This Row],[POMult]]</f>
        <v>73.599999999999994</v>
      </c>
      <c r="AA231" s="4">
        <f>(Games[[#This Row],[Keff]]*Games[[#This Row],[MOVMult]])*(Games[[#This Row],[Result]]-Games[[#This Row],[ExpectedWin%]])</f>
        <v>13.363941195832606</v>
      </c>
      <c r="AB231" s="4">
        <f>Games[[#This Row],[PreGmRate]]+Games[[#This Row],[RatingChange]]</f>
        <v>1508.2881334024746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36708</v>
      </c>
      <c r="B232" s="2">
        <v>2000</v>
      </c>
      <c r="C232" s="2">
        <f>COUNTIFS(Games[Team],Games[[#This Row],[Team]],Games[Season],Games[[#This Row],[Season]],Games[Date],"&lt;=" &amp; Games[[#This Row],[Date]])</f>
        <v>14</v>
      </c>
      <c r="D232" s="2" t="s">
        <v>23</v>
      </c>
      <c r="E232" s="2" t="s">
        <v>29</v>
      </c>
      <c r="F232" s="1" t="s">
        <v>77</v>
      </c>
      <c r="G232" s="1" t="s">
        <v>45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2" s="2">
        <f>Games[[#This Row],[DaysOff]]-Games[[#This Row],[OppDaysOff]]</f>
        <v>2</v>
      </c>
      <c r="L232" s="2">
        <f>Games[[#This Row],[OppDaysOff]]-Games[[#This Row],[DaysOff]]</f>
        <v>-2</v>
      </c>
      <c r="M232" s="1">
        <f>MAX(-16, MIN(16, Games[[#This Row],[RestDiff]]*8))</f>
        <v>16</v>
      </c>
      <c r="N232" s="1">
        <f>MAX(-16, MIN(16, Games[[#This Row],[OppRestDiff]]*8))</f>
        <v>-16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1487.1748557105402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1597.1500121092952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0.28243725949254633</v>
      </c>
      <c r="R232" s="1">
        <v>96</v>
      </c>
      <c r="S232" s="1">
        <v>108</v>
      </c>
      <c r="T232" s="1">
        <v>0</v>
      </c>
      <c r="U232" s="1">
        <f>Games[[#This Row],[PointsFor]]-Games[[#This Row],[PointsAgainst]]</f>
        <v>-12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0.41783642156739842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73.900000000000006</v>
      </c>
      <c r="Z232" s="4">
        <f>Games[[#This Row],[K]]*Games[[#This Row],[POMult]]</f>
        <v>73.900000000000006</v>
      </c>
      <c r="AA232" s="4">
        <f>(Games[[#This Row],[Keff]]*Games[[#This Row],[MOVMult]])*(Games[[#This Row],[Result]]-Games[[#This Row],[ExpectedWin%]])</f>
        <v>-8.7211292055690866</v>
      </c>
      <c r="AB232" s="4">
        <f>Games[[#This Row],[PreGmRate]]+Games[[#This Row],[RatingChange]]</f>
        <v>1478.4537265049712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36708</v>
      </c>
      <c r="B233" s="2">
        <v>2000</v>
      </c>
      <c r="C233" s="2">
        <f>COUNTIFS(Games[Team],Games[[#This Row],[Team]],Games[Season],Games[[#This Row],[Season]],Games[Date],"&lt;=" &amp; Games[[#This Row],[Date]])</f>
        <v>16</v>
      </c>
      <c r="D233" s="2" t="s">
        <v>23</v>
      </c>
      <c r="E233" s="2" t="s">
        <v>29</v>
      </c>
      <c r="F233" s="1" t="s">
        <v>45</v>
      </c>
      <c r="G233" s="1" t="s">
        <v>77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3" s="2">
        <f>Games[[#This Row],[DaysOff]]-Games[[#This Row],[OppDaysOff]]</f>
        <v>-2</v>
      </c>
      <c r="L233" s="2">
        <f>Games[[#This Row],[OppDaysOff]]-Games[[#This Row],[DaysOff]]</f>
        <v>2</v>
      </c>
      <c r="M233" s="1">
        <f>MAX(-16, MIN(16, Games[[#This Row],[RestDiff]]*8))</f>
        <v>-16</v>
      </c>
      <c r="N233" s="1">
        <f>MAX(-16, MIN(16, Games[[#This Row],[OppRestDiff]]*8))</f>
        <v>16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1597.1500121092952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1487.1748557105402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0.71756274050745361</v>
      </c>
      <c r="R233" s="1">
        <v>108</v>
      </c>
      <c r="S233" s="1">
        <v>96</v>
      </c>
      <c r="T233" s="1">
        <v>0</v>
      </c>
      <c r="U233" s="1">
        <f>Games[[#This Row],[PointsFor]]-Games[[#This Row],[PointsAgainst]]</f>
        <v>12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0.41783642156739842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73.599999999999994</v>
      </c>
      <c r="Z233" s="4">
        <f>Games[[#This Row],[K]]*Games[[#This Row],[POMult]]</f>
        <v>73.599999999999994</v>
      </c>
      <c r="AA233" s="4">
        <f>(Games[[#This Row],[Keff]]*Games[[#This Row],[MOVMult]])*(Games[[#This Row],[Result]]-Games[[#This Row],[ExpectedWin%]])</f>
        <v>8.6857254334219878</v>
      </c>
      <c r="AB233" s="4">
        <f>Games[[#This Row],[PreGmRate]]+Games[[#This Row],[RatingChange]]</f>
        <v>1605.8357375427172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36708</v>
      </c>
      <c r="B234" s="2">
        <v>2000</v>
      </c>
      <c r="C234" s="2">
        <f>COUNTIFS(Games[Team],Games[[#This Row],[Team]],Games[Season],Games[[#This Row],[Season]],Games[Date],"&lt;=" &amp; Games[[#This Row],[Date]])</f>
        <v>17</v>
      </c>
      <c r="D234" s="2" t="s">
        <v>23</v>
      </c>
      <c r="E234" s="2" t="s">
        <v>29</v>
      </c>
      <c r="F234" s="1" t="s">
        <v>43</v>
      </c>
      <c r="G234" s="1" t="s">
        <v>87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1496.2008344893029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1389.3897825297418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0.53278065425744536</v>
      </c>
      <c r="R234" s="1">
        <v>81</v>
      </c>
      <c r="S234" s="1">
        <v>60</v>
      </c>
      <c r="T234" s="1">
        <v>0</v>
      </c>
      <c r="U234" s="1">
        <f>Games[[#This Row],[PointsFor]]-Games[[#This Row],[PointsAgainst]]</f>
        <v>21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0.5404695240875117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73.45</v>
      </c>
      <c r="Z234" s="4">
        <f>Games[[#This Row],[K]]*Games[[#This Row],[POMult]]</f>
        <v>73.45</v>
      </c>
      <c r="AA234" s="4">
        <f>(Games[[#This Row],[Keff]]*Games[[#This Row],[MOVMult]])*(Games[[#This Row],[Result]]-Games[[#This Row],[ExpectedWin%]])</f>
        <v>18.54743369081795</v>
      </c>
      <c r="AB234" s="4">
        <f>Games[[#This Row],[PreGmRate]]+Games[[#This Row],[RatingChange]]</f>
        <v>1514.7482681801209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36708</v>
      </c>
      <c r="B235" s="2">
        <v>2000</v>
      </c>
      <c r="C235" s="2">
        <f>COUNTIFS(Games[Team],Games[[#This Row],[Team]],Games[Season],Games[[#This Row],[Season]],Games[Date],"&lt;=" &amp; Games[[#This Row],[Date]])</f>
        <v>14</v>
      </c>
      <c r="D235" s="2" t="s">
        <v>23</v>
      </c>
      <c r="E235" s="2" t="s">
        <v>29</v>
      </c>
      <c r="F235" s="1" t="s">
        <v>87</v>
      </c>
      <c r="G235" s="1" t="s">
        <v>43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1389.3897825297418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1496.2008344893029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0.46721934574255469</v>
      </c>
      <c r="R235" s="1">
        <v>60</v>
      </c>
      <c r="S235" s="1">
        <v>81</v>
      </c>
      <c r="T235" s="1">
        <v>0</v>
      </c>
      <c r="U235" s="1">
        <f>Games[[#This Row],[PointsFor]]-Games[[#This Row],[PointsAgainst]]</f>
        <v>-21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0.5404695240875117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73.900000000000006</v>
      </c>
      <c r="Z235" s="4">
        <f>Games[[#This Row],[K]]*Games[[#This Row],[POMult]]</f>
        <v>73.900000000000006</v>
      </c>
      <c r="AA235" s="4">
        <f>(Games[[#This Row],[Keff]]*Games[[#This Row],[MOVMult]])*(Games[[#This Row],[Result]]-Games[[#This Row],[ExpectedWin%]])</f>
        <v>-18.661066708665032</v>
      </c>
      <c r="AB235" s="4">
        <f>Games[[#This Row],[PreGmRate]]+Games[[#This Row],[RatingChange]]</f>
        <v>1370.7287158210768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36709</v>
      </c>
      <c r="B236" s="2">
        <v>2000</v>
      </c>
      <c r="C236" s="2">
        <f>COUNTIFS(Games[Team],Games[[#This Row],[Team]],Games[Season],Games[[#This Row],[Season]],Games[Date],"&lt;=" &amp; Games[[#This Row],[Date]])</f>
        <v>15</v>
      </c>
      <c r="D236" s="2" t="s">
        <v>23</v>
      </c>
      <c r="E236" s="2" t="s">
        <v>29</v>
      </c>
      <c r="F236" s="1" t="s">
        <v>44</v>
      </c>
      <c r="G236" s="1" t="s">
        <v>2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1586.0955663372411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1701.3570304303544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0.24102993629836558</v>
      </c>
      <c r="R236" s="1">
        <v>58</v>
      </c>
      <c r="S236" s="1">
        <v>69</v>
      </c>
      <c r="T236" s="1">
        <v>0</v>
      </c>
      <c r="U236" s="1">
        <f>Games[[#This Row],[PointsFor]]-Games[[#This Row],[PointsAgainst]]</f>
        <v>-11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0.40129143802831896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73.75</v>
      </c>
      <c r="Z236" s="4">
        <f>Games[[#This Row],[K]]*Games[[#This Row],[POMult]]</f>
        <v>73.75</v>
      </c>
      <c r="AA236" s="4">
        <f>(Games[[#This Row],[Keff]]*Games[[#This Row],[MOVMult]])*(Games[[#This Row],[Result]]-Games[[#This Row],[ExpectedWin%]])</f>
        <v>-7.1333396686970865</v>
      </c>
      <c r="AB236" s="4">
        <f>Games[[#This Row],[PreGmRate]]+Games[[#This Row],[RatingChange]]</f>
        <v>1578.962226668544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36709</v>
      </c>
      <c r="B237" s="2">
        <v>2000</v>
      </c>
      <c r="C237" s="2">
        <f>COUNTIFS(Games[Team],Games[[#This Row],[Team]],Games[Season],Games[[#This Row],[Season]],Games[Date],"&lt;=" &amp; Games[[#This Row],[Date]])</f>
        <v>17</v>
      </c>
      <c r="D237" s="2" t="s">
        <v>23</v>
      </c>
      <c r="E237" s="2" t="s">
        <v>29</v>
      </c>
      <c r="F237" s="1" t="s">
        <v>2</v>
      </c>
      <c r="G237" s="1" t="s">
        <v>44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1701.3570304303544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1586.0955663372411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0.75897006370163433</v>
      </c>
      <c r="R237" s="1">
        <v>69</v>
      </c>
      <c r="S237" s="1">
        <v>58</v>
      </c>
      <c r="T237" s="1">
        <v>0</v>
      </c>
      <c r="U237" s="1">
        <f>Games[[#This Row],[PointsFor]]-Games[[#This Row],[PointsAgainst]]</f>
        <v>11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0.40129143802831896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73.45</v>
      </c>
      <c r="Z237" s="4">
        <f>Games[[#This Row],[K]]*Games[[#This Row],[POMult]]</f>
        <v>73.45</v>
      </c>
      <c r="AA237" s="4">
        <f>(Games[[#This Row],[Keff]]*Games[[#This Row],[MOVMult]])*(Games[[#This Row],[Result]]-Games[[#This Row],[ExpectedWin%]])</f>
        <v>7.1043226937735753</v>
      </c>
      <c r="AB237" s="4">
        <f>Games[[#This Row],[PreGmRate]]+Games[[#This Row],[RatingChange]]</f>
        <v>1708.461353124128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36709</v>
      </c>
      <c r="B238" s="2">
        <v>2000</v>
      </c>
      <c r="C238" s="2">
        <f>COUNTIFS(Games[Team],Games[[#This Row],[Team]],Games[Season],Games[[#This Row],[Season]],Games[Date],"&lt;=" &amp; Games[[#This Row],[Date]])</f>
        <v>15</v>
      </c>
      <c r="D238" s="2" t="s">
        <v>23</v>
      </c>
      <c r="E238" s="2" t="s">
        <v>29</v>
      </c>
      <c r="F238" s="1" t="s">
        <v>77</v>
      </c>
      <c r="G238" s="1" t="s">
        <v>71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1478.4537265049712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1639.1562052721144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0.19645169940686705</v>
      </c>
      <c r="R238" s="1">
        <v>63</v>
      </c>
      <c r="S238" s="1">
        <v>85</v>
      </c>
      <c r="T238" s="1">
        <v>0</v>
      </c>
      <c r="U238" s="1">
        <f>Games[[#This Row],[PointsFor]]-Games[[#This Row],[PointsAgainst]]</f>
        <v>-22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0.53095178178759184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73.75</v>
      </c>
      <c r="Z238" s="4">
        <f>Games[[#This Row],[K]]*Games[[#This Row],[POMult]]</f>
        <v>73.75</v>
      </c>
      <c r="AA238" s="4">
        <f>(Games[[#This Row],[Keff]]*Games[[#This Row],[MOVMult]])*(Games[[#This Row],[Result]]-Games[[#This Row],[ExpectedWin%]])</f>
        <v>-7.6925955128516392</v>
      </c>
      <c r="AB238" s="4">
        <f>Games[[#This Row],[PreGmRate]]+Games[[#This Row],[RatingChange]]</f>
        <v>1470.7611309921197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36709</v>
      </c>
      <c r="B239" s="2">
        <v>2000</v>
      </c>
      <c r="C239" s="2">
        <f>COUNTIFS(Games[Team],Games[[#This Row],[Team]],Games[Season],Games[[#This Row],[Season]],Games[Date],"&lt;=" &amp; Games[[#This Row],[Date]])</f>
        <v>15</v>
      </c>
      <c r="D239" s="2" t="s">
        <v>23</v>
      </c>
      <c r="E239" s="2" t="s">
        <v>29</v>
      </c>
      <c r="F239" s="1" t="s">
        <v>71</v>
      </c>
      <c r="G239" s="1" t="s">
        <v>77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1639.1562052721144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1478.4537265049712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0.80354830059313298</v>
      </c>
      <c r="R239" s="1">
        <v>85</v>
      </c>
      <c r="S239" s="1">
        <v>63</v>
      </c>
      <c r="T239" s="1">
        <v>0</v>
      </c>
      <c r="U239" s="1">
        <f>Games[[#This Row],[PointsFor]]-Games[[#This Row],[PointsAgainst]]</f>
        <v>22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0.53095178178759184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73.75</v>
      </c>
      <c r="Z239" s="4">
        <f>Games[[#This Row],[K]]*Games[[#This Row],[POMult]]</f>
        <v>73.75</v>
      </c>
      <c r="AA239" s="4">
        <f>(Games[[#This Row],[Keff]]*Games[[#This Row],[MOVMult]])*(Games[[#This Row],[Result]]-Games[[#This Row],[ExpectedWin%]])</f>
        <v>7.6925955128516383</v>
      </c>
      <c r="AB239" s="4">
        <f>Games[[#This Row],[PreGmRate]]+Games[[#This Row],[RatingChange]]</f>
        <v>1646.848800784966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36709</v>
      </c>
      <c r="B240" s="2">
        <v>2000</v>
      </c>
      <c r="C240" s="2">
        <f>COUNTIFS(Games[Team],Games[[#This Row],[Team]],Games[Season],Games[[#This Row],[Season]],Games[Date],"&lt;=" &amp; Games[[#This Row],[Date]])</f>
        <v>13</v>
      </c>
      <c r="D240" s="2" t="s">
        <v>23</v>
      </c>
      <c r="E240" s="2" t="s">
        <v>29</v>
      </c>
      <c r="F240" s="1" t="s">
        <v>89</v>
      </c>
      <c r="G240" s="1" t="s">
        <v>80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1443.3268720518718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1547.6262890639218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0.25276140147126352</v>
      </c>
      <c r="R240" s="1">
        <v>75</v>
      </c>
      <c r="S240" s="1">
        <v>81</v>
      </c>
      <c r="T240" s="1">
        <v>0</v>
      </c>
      <c r="U240" s="1">
        <f>Games[[#This Row],[PointsFor]]-Games[[#This Row],[PointsAgainst]]</f>
        <v>-6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0.32319029496683088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74.05</v>
      </c>
      <c r="Z240" s="4">
        <f>Games[[#This Row],[K]]*Games[[#This Row],[POMult]]</f>
        <v>74.05</v>
      </c>
      <c r="AA240" s="4">
        <f>(Games[[#This Row],[Keff]]*Games[[#This Row],[MOVMult]])*(Games[[#This Row],[Result]]-Games[[#This Row],[ExpectedWin%]])</f>
        <v>-6.0491468620267002</v>
      </c>
      <c r="AB240" s="4">
        <f>Games[[#This Row],[PreGmRate]]+Games[[#This Row],[RatingChange]]</f>
        <v>1437.2777251898451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36709</v>
      </c>
      <c r="B241" s="2">
        <v>2000</v>
      </c>
      <c r="C241" s="2">
        <f>COUNTIFS(Games[Team],Games[[#This Row],[Team]],Games[Season],Games[[#This Row],[Season]],Games[Date],"&lt;=" &amp; Games[[#This Row],[Date]])</f>
        <v>15</v>
      </c>
      <c r="D241" s="2" t="s">
        <v>23</v>
      </c>
      <c r="E241" s="2" t="s">
        <v>29</v>
      </c>
      <c r="F241" s="1" t="s">
        <v>80</v>
      </c>
      <c r="G241" s="1" t="s">
        <v>89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1547.6262890639218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1443.3268720518718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0.74723859852873653</v>
      </c>
      <c r="R241" s="1">
        <v>81</v>
      </c>
      <c r="S241" s="1">
        <v>75</v>
      </c>
      <c r="T241" s="1">
        <v>0</v>
      </c>
      <c r="U241" s="1">
        <f>Games[[#This Row],[PointsFor]]-Games[[#This Row],[PointsAgainst]]</f>
        <v>6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0.32319029496683088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73.75</v>
      </c>
      <c r="Z241" s="4">
        <f>Games[[#This Row],[K]]*Games[[#This Row],[POMult]]</f>
        <v>73.75</v>
      </c>
      <c r="AA241" s="4">
        <f>(Games[[#This Row],[Keff]]*Games[[#This Row],[MOVMult]])*(Games[[#This Row],[Result]]-Games[[#This Row],[ExpectedWin%]])</f>
        <v>6.0246398524573808</v>
      </c>
      <c r="AB241" s="4">
        <f>Games[[#This Row],[PreGmRate]]+Games[[#This Row],[RatingChange]]</f>
        <v>1553.6509289163791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36710</v>
      </c>
      <c r="B242" s="2">
        <v>2000</v>
      </c>
      <c r="C242" s="2">
        <f>COUNTIFS(Games[Team],Games[[#This Row],[Team]],Games[Season],Games[[#This Row],[Season]],Games[Date],"&lt;=" &amp; Games[[#This Row],[Date]])</f>
        <v>16</v>
      </c>
      <c r="D242" s="2" t="s">
        <v>23</v>
      </c>
      <c r="E242" s="2" t="s">
        <v>29</v>
      </c>
      <c r="F242" s="1" t="s">
        <v>66</v>
      </c>
      <c r="G242" s="1" t="s">
        <v>1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1497.5475409573462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1453.0150848029757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0.44344469692700039</v>
      </c>
      <c r="R242" s="1">
        <v>65</v>
      </c>
      <c r="S242" s="1">
        <v>66</v>
      </c>
      <c r="T242" s="1">
        <v>1</v>
      </c>
      <c r="U242" s="1">
        <f>Games[[#This Row],[PointsFor]]-Games[[#This Row],[PointsAgainst]]</f>
        <v>-1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0.21189808537207494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73.599999999999994</v>
      </c>
      <c r="Z242" s="4">
        <f>Games[[#This Row],[K]]*Games[[#This Row],[POMult]]</f>
        <v>73.599999999999994</v>
      </c>
      <c r="AA242" s="4">
        <f>(Games[[#This Row],[Keff]]*Games[[#This Row],[MOVMult]])*(Games[[#This Row],[Result]]-Games[[#This Row],[ExpectedWin%]])</f>
        <v>-6.915830053396232</v>
      </c>
      <c r="AB242" s="4">
        <f>Games[[#This Row],[PreGmRate]]+Games[[#This Row],[RatingChange]]</f>
        <v>1490.6317109039501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36710</v>
      </c>
      <c r="B243" s="2">
        <v>2000</v>
      </c>
      <c r="C243" s="2">
        <f>COUNTIFS(Games[Team],Games[[#This Row],[Team]],Games[Season],Games[[#This Row],[Season]],Games[Date],"&lt;=" &amp; Games[[#This Row],[Date]])</f>
        <v>15</v>
      </c>
      <c r="D243" s="2" t="s">
        <v>23</v>
      </c>
      <c r="E243" s="2" t="s">
        <v>29</v>
      </c>
      <c r="F243" s="1" t="s">
        <v>1</v>
      </c>
      <c r="G243" s="1" t="s">
        <v>66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1453.0150848029757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1497.5475409573462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0.5565553030729995</v>
      </c>
      <c r="R243" s="1">
        <v>66</v>
      </c>
      <c r="S243" s="1">
        <v>65</v>
      </c>
      <c r="T243" s="1">
        <v>1</v>
      </c>
      <c r="U243" s="1">
        <f>Games[[#This Row],[PointsFor]]-Games[[#This Row],[PointsAgainst]]</f>
        <v>1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0.21189808537207494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73.75</v>
      </c>
      <c r="Z243" s="4">
        <f>Games[[#This Row],[K]]*Games[[#This Row],[POMult]]</f>
        <v>73.75</v>
      </c>
      <c r="AA243" s="4">
        <f>(Games[[#This Row],[Keff]]*Games[[#This Row],[MOVMult]])*(Games[[#This Row],[Result]]-Games[[#This Row],[ExpectedWin%]])</f>
        <v>6.9299248157333198</v>
      </c>
      <c r="AB243" s="4">
        <f>Games[[#This Row],[PreGmRate]]+Games[[#This Row],[RatingChange]]</f>
        <v>1459.945009618709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36710</v>
      </c>
      <c r="B244" s="2">
        <v>2000</v>
      </c>
      <c r="C244" s="2">
        <f>COUNTIFS(Games[Team],Games[[#This Row],[Team]],Games[Season],Games[[#This Row],[Season]],Games[Date],"&lt;=" &amp; Games[[#This Row],[Date]])</f>
        <v>14</v>
      </c>
      <c r="D244" s="2" t="s">
        <v>23</v>
      </c>
      <c r="E244" s="2" t="s">
        <v>29</v>
      </c>
      <c r="F244" s="1" t="s">
        <v>89</v>
      </c>
      <c r="G244" s="1" t="s">
        <v>85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-1</v>
      </c>
      <c r="L244" s="2">
        <f>Games[[#This Row],[OppDaysOff]]-Games[[#This Row],[DaysOff]]</f>
        <v>1</v>
      </c>
      <c r="M244" s="1">
        <f>MAX(-16, MIN(16, Games[[#This Row],[RestDiff]]*8))</f>
        <v>-8</v>
      </c>
      <c r="N244" s="1">
        <f>MAX(-16, MIN(16, Games[[#This Row],[OppRestDiff]]*8))</f>
        <v>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1437.2777251898451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1401.1281606573302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0.40913251917320947</v>
      </c>
      <c r="R244" s="1">
        <v>68</v>
      </c>
      <c r="S244" s="1">
        <v>64</v>
      </c>
      <c r="T244" s="1">
        <v>0</v>
      </c>
      <c r="U244" s="1">
        <f>Games[[#This Row],[PointsFor]]-Games[[#This Row],[PointsAgainst]]</f>
        <v>4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0.30232529509969758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73.900000000000006</v>
      </c>
      <c r="Z244" s="4">
        <f>Games[[#This Row],[K]]*Games[[#This Row],[POMult]]</f>
        <v>73.900000000000006</v>
      </c>
      <c r="AA244" s="4">
        <f>(Games[[#This Row],[Keff]]*Games[[#This Row],[MOVMult]])*(Games[[#This Row],[Result]]-Games[[#This Row],[ExpectedWin%]])</f>
        <v>13.201066308876724</v>
      </c>
      <c r="AB244" s="4">
        <f>Games[[#This Row],[PreGmRate]]+Games[[#This Row],[RatingChange]]</f>
        <v>1450.4787914987219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36710</v>
      </c>
      <c r="B245" s="2">
        <v>2000</v>
      </c>
      <c r="C245" s="2">
        <f>COUNTIFS(Games[Team],Games[[#This Row],[Team]],Games[Season],Games[[#This Row],[Season]],Games[Date],"&lt;=" &amp; Games[[#This Row],[Date]])</f>
        <v>15</v>
      </c>
      <c r="D245" s="2" t="s">
        <v>23</v>
      </c>
      <c r="E245" s="2" t="s">
        <v>29</v>
      </c>
      <c r="F245" s="1" t="s">
        <v>85</v>
      </c>
      <c r="G245" s="1" t="s">
        <v>89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5" s="2">
        <f>Games[[#This Row],[DaysOff]]-Games[[#This Row],[OppDaysOff]]</f>
        <v>1</v>
      </c>
      <c r="L245" s="2">
        <f>Games[[#This Row],[OppDaysOff]]-Games[[#This Row],[DaysOff]]</f>
        <v>-1</v>
      </c>
      <c r="M245" s="1">
        <f>MAX(-16, MIN(16, Games[[#This Row],[RestDiff]]*8))</f>
        <v>8</v>
      </c>
      <c r="N245" s="1">
        <f>MAX(-16, MIN(16, Games[[#This Row],[OppRestDiff]]*8))</f>
        <v>-8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1401.1281606573302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1437.2777251898451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0.59086748082679053</v>
      </c>
      <c r="R245" s="1">
        <v>64</v>
      </c>
      <c r="S245" s="1">
        <v>68</v>
      </c>
      <c r="T245" s="1">
        <v>0</v>
      </c>
      <c r="U245" s="1">
        <f>Games[[#This Row],[PointsFor]]-Games[[#This Row],[PointsAgainst]]</f>
        <v>-4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0.30232529509969758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73.75</v>
      </c>
      <c r="Z245" s="4">
        <f>Games[[#This Row],[K]]*Games[[#This Row],[POMult]]</f>
        <v>73.75</v>
      </c>
      <c r="AA245" s="4">
        <f>(Games[[#This Row],[Keff]]*Games[[#This Row],[MOVMult]])*(Games[[#This Row],[Result]]-Games[[#This Row],[ExpectedWin%]])</f>
        <v>-13.174271181050857</v>
      </c>
      <c r="AB245" s="4">
        <f>Games[[#This Row],[PreGmRate]]+Games[[#This Row],[RatingChange]]</f>
        <v>1387.9538894762793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36710</v>
      </c>
      <c r="B246" s="2">
        <v>2000</v>
      </c>
      <c r="C246" s="2">
        <f>COUNTIFS(Games[Team],Games[[#This Row],[Team]],Games[Season],Games[[#This Row],[Season]],Games[Date],"&lt;=" &amp; Games[[#This Row],[Date]])</f>
        <v>15</v>
      </c>
      <c r="D246" s="2" t="s">
        <v>23</v>
      </c>
      <c r="E246" s="2" t="s">
        <v>29</v>
      </c>
      <c r="F246" s="1" t="s">
        <v>75</v>
      </c>
      <c r="G246" s="1" t="s">
        <v>87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1464.105494579313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1370.7287158210768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0.51349099399827769</v>
      </c>
      <c r="R246" s="1">
        <v>60</v>
      </c>
      <c r="S246" s="1">
        <v>55</v>
      </c>
      <c r="T246" s="1">
        <v>0</v>
      </c>
      <c r="U246" s="1">
        <f>Games[[#This Row],[PointsFor]]-Games[[#This Row],[PointsAgainst]]</f>
        <v>5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0.30780448287908629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73.75</v>
      </c>
      <c r="Z246" s="4">
        <f>Games[[#This Row],[K]]*Games[[#This Row],[POMult]]</f>
        <v>73.75</v>
      </c>
      <c r="AA246" s="4">
        <f>(Games[[#This Row],[Keff]]*Games[[#This Row],[MOVMult]])*(Games[[#This Row],[Result]]-Games[[#This Row],[ExpectedWin%]])</f>
        <v>11.044036909367909</v>
      </c>
      <c r="AB246" s="4">
        <f>Games[[#This Row],[PreGmRate]]+Games[[#This Row],[RatingChange]]</f>
        <v>1475.1495314886809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36710</v>
      </c>
      <c r="B247" s="2">
        <v>2000</v>
      </c>
      <c r="C247" s="2">
        <f>COUNTIFS(Games[Team],Games[[#This Row],[Team]],Games[Season],Games[[#This Row],[Season]],Games[Date],"&lt;=" &amp; Games[[#This Row],[Date]])</f>
        <v>15</v>
      </c>
      <c r="D247" s="2" t="s">
        <v>23</v>
      </c>
      <c r="E247" s="2" t="s">
        <v>29</v>
      </c>
      <c r="F247" s="1" t="s">
        <v>87</v>
      </c>
      <c r="G247" s="1" t="s">
        <v>75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1370.7287158210768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1464.105494579313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0.48650900600172242</v>
      </c>
      <c r="R247" s="1">
        <v>55</v>
      </c>
      <c r="S247" s="1">
        <v>60</v>
      </c>
      <c r="T247" s="1">
        <v>0</v>
      </c>
      <c r="U247" s="1">
        <f>Games[[#This Row],[PointsFor]]-Games[[#This Row],[PointsAgainst]]</f>
        <v>-5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0.30780448287908629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73.75</v>
      </c>
      <c r="Z247" s="4">
        <f>Games[[#This Row],[K]]*Games[[#This Row],[POMult]]</f>
        <v>73.75</v>
      </c>
      <c r="AA247" s="4">
        <f>(Games[[#This Row],[Keff]]*Games[[#This Row],[MOVMult]])*(Games[[#This Row],[Result]]-Games[[#This Row],[ExpectedWin%]])</f>
        <v>-11.044036909367913</v>
      </c>
      <c r="AB247" s="4">
        <f>Games[[#This Row],[PreGmRate]]+Games[[#This Row],[RatingChange]]</f>
        <v>1359.6846789117089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36712</v>
      </c>
      <c r="B248" s="2">
        <v>2000</v>
      </c>
      <c r="C248" s="2">
        <f>COUNTIFS(Games[Team],Games[[#This Row],[Team]],Games[Season],Games[[#This Row],[Season]],Games[Date],"&lt;=" &amp; Games[[#This Row],[Date]])</f>
        <v>16</v>
      </c>
      <c r="D248" s="2" t="s">
        <v>23</v>
      </c>
      <c r="E248" s="2" t="s">
        <v>29</v>
      </c>
      <c r="F248" s="1" t="s">
        <v>83</v>
      </c>
      <c r="G248" s="1" t="s">
        <v>64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1422.3704206655045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1365.4257681734307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0.46114273655549765</v>
      </c>
      <c r="R248" s="1">
        <v>70</v>
      </c>
      <c r="S248" s="1">
        <v>76</v>
      </c>
      <c r="T248" s="1">
        <v>0</v>
      </c>
      <c r="U248" s="1">
        <f>Games[[#This Row],[PointsFor]]-Games[[#This Row],[PointsAgainst]]</f>
        <v>-6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0.33536632855983939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73.599999999999994</v>
      </c>
      <c r="Z248" s="4">
        <f>Games[[#This Row],[K]]*Games[[#This Row],[POMult]]</f>
        <v>73.599999999999994</v>
      </c>
      <c r="AA248" s="4">
        <f>(Games[[#This Row],[Keff]]*Games[[#This Row],[MOVMult]])*(Games[[#This Row],[Result]]-Games[[#This Row],[ExpectedWin%]])</f>
        <v>-11.38236854244817</v>
      </c>
      <c r="AB248" s="4">
        <f>Games[[#This Row],[PreGmRate]]+Games[[#This Row],[RatingChange]]</f>
        <v>1410.9880521230564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36712</v>
      </c>
      <c r="B249" s="2">
        <v>2000</v>
      </c>
      <c r="C249" s="2">
        <f>COUNTIFS(Games[Team],Games[[#This Row],[Team]],Games[Season],Games[[#This Row],[Season]],Games[Date],"&lt;=" &amp; Games[[#This Row],[Date]])</f>
        <v>16</v>
      </c>
      <c r="D249" s="2" t="s">
        <v>23</v>
      </c>
      <c r="E249" s="2" t="s">
        <v>29</v>
      </c>
      <c r="F249" s="1" t="s">
        <v>64</v>
      </c>
      <c r="G249" s="1" t="s">
        <v>83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1365.4257681734307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1422.3704206655045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0.53885726344450235</v>
      </c>
      <c r="R249" s="1">
        <v>76</v>
      </c>
      <c r="S249" s="1">
        <v>70</v>
      </c>
      <c r="T249" s="1">
        <v>0</v>
      </c>
      <c r="U249" s="1">
        <f>Games[[#This Row],[PointsFor]]-Games[[#This Row],[PointsAgainst]]</f>
        <v>6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0.33536632855983939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73.599999999999994</v>
      </c>
      <c r="Z249" s="4">
        <f>Games[[#This Row],[K]]*Games[[#This Row],[POMult]]</f>
        <v>73.599999999999994</v>
      </c>
      <c r="AA249" s="4">
        <f>(Games[[#This Row],[Keff]]*Games[[#This Row],[MOVMult]])*(Games[[#This Row],[Result]]-Games[[#This Row],[ExpectedWin%]])</f>
        <v>11.38236854244817</v>
      </c>
      <c r="AB249" s="4">
        <f>Games[[#This Row],[PreGmRate]]+Games[[#This Row],[RatingChange]]</f>
        <v>1376.8081367158788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36712</v>
      </c>
      <c r="B250" s="2">
        <v>2000</v>
      </c>
      <c r="C250" s="2">
        <f>COUNTIFS(Games[Team],Games[[#This Row],[Team]],Games[Season],Games[[#This Row],[Season]],Games[Date],"&lt;=" &amp; Games[[#This Row],[Date]])</f>
        <v>16</v>
      </c>
      <c r="D250" s="2" t="s">
        <v>23</v>
      </c>
      <c r="E250" s="2" t="s">
        <v>29</v>
      </c>
      <c r="F250" s="1" t="s">
        <v>87</v>
      </c>
      <c r="G250" s="1" t="s">
        <v>80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-1</v>
      </c>
      <c r="L250" s="2">
        <f>Games[[#This Row],[OppDaysOff]]-Games[[#This Row],[DaysOff]]</f>
        <v>1</v>
      </c>
      <c r="M250" s="1">
        <f>MAX(-16, MIN(16, Games[[#This Row],[RestDiff]]*8))</f>
        <v>-8</v>
      </c>
      <c r="N250" s="1">
        <f>MAX(-16, MIN(16, Games[[#This Row],[OppRestDiff]]*8))</f>
        <v>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1359.6846789117089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1553.6509289163791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0.15548598106443623</v>
      </c>
      <c r="R250" s="1">
        <v>67</v>
      </c>
      <c r="S250" s="1">
        <v>60</v>
      </c>
      <c r="T250" s="1">
        <v>0</v>
      </c>
      <c r="U250" s="1">
        <f>Games[[#This Row],[PointsFor]]-Games[[#This Row],[PointsAgainst]]</f>
        <v>7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0.31860786226574428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73.599999999999994</v>
      </c>
      <c r="Z250" s="4">
        <f>Games[[#This Row],[K]]*Games[[#This Row],[POMult]]</f>
        <v>73.599999999999994</v>
      </c>
      <c r="AA250" s="4">
        <f>(Games[[#This Row],[Keff]]*Games[[#This Row],[MOVMult]])*(Games[[#This Row],[Result]]-Games[[#This Row],[ExpectedWin%]])</f>
        <v>19.803464138271298</v>
      </c>
      <c r="AB250" s="4">
        <f>Games[[#This Row],[PreGmRate]]+Games[[#This Row],[RatingChange]]</f>
        <v>1379.4881430499802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36712</v>
      </c>
      <c r="B251" s="2">
        <v>2000</v>
      </c>
      <c r="C251" s="2">
        <f>COUNTIFS(Games[Team],Games[[#This Row],[Team]],Games[Season],Games[[#This Row],[Season]],Games[Date],"&lt;=" &amp; Games[[#This Row],[Date]])</f>
        <v>16</v>
      </c>
      <c r="D251" s="2" t="s">
        <v>23</v>
      </c>
      <c r="E251" s="2" t="s">
        <v>29</v>
      </c>
      <c r="F251" s="1" t="s">
        <v>80</v>
      </c>
      <c r="G251" s="1" t="s">
        <v>87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1</v>
      </c>
      <c r="L251" s="2">
        <f>Games[[#This Row],[OppDaysOff]]-Games[[#This Row],[DaysOff]]</f>
        <v>-1</v>
      </c>
      <c r="M251" s="1">
        <f>MAX(-16, MIN(16, Games[[#This Row],[RestDiff]]*8))</f>
        <v>8</v>
      </c>
      <c r="N251" s="1">
        <f>MAX(-16, MIN(16, Games[[#This Row],[OppRestDiff]]*8))</f>
        <v>-8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1553.6509289163791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1359.6846789117089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0.84451401893556388</v>
      </c>
      <c r="R251" s="1">
        <v>60</v>
      </c>
      <c r="S251" s="1">
        <v>67</v>
      </c>
      <c r="T251" s="1">
        <v>0</v>
      </c>
      <c r="U251" s="1">
        <f>Games[[#This Row],[PointsFor]]-Games[[#This Row],[PointsAgainst]]</f>
        <v>-7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0.31860786226574428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73.599999999999994</v>
      </c>
      <c r="Z251" s="4">
        <f>Games[[#This Row],[K]]*Games[[#This Row],[POMult]]</f>
        <v>73.599999999999994</v>
      </c>
      <c r="AA251" s="4">
        <f>(Games[[#This Row],[Keff]]*Games[[#This Row],[MOVMult]])*(Games[[#This Row],[Result]]-Games[[#This Row],[ExpectedWin%]])</f>
        <v>-19.803464138271302</v>
      </c>
      <c r="AB251" s="4">
        <f>Games[[#This Row],[PreGmRate]]+Games[[#This Row],[RatingChange]]</f>
        <v>1533.8474647781079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36712</v>
      </c>
      <c r="B252" s="2">
        <v>2000</v>
      </c>
      <c r="C252" s="2">
        <f>COUNTIFS(Games[Team],Games[[#This Row],[Team]],Games[Season],Games[[#This Row],[Season]],Games[Date],"&lt;=" &amp; Games[[#This Row],[Date]])</f>
        <v>15</v>
      </c>
      <c r="D252" s="2" t="s">
        <v>23</v>
      </c>
      <c r="E252" s="2" t="s">
        <v>29</v>
      </c>
      <c r="F252" s="1" t="s">
        <v>89</v>
      </c>
      <c r="G252" s="1" t="s">
        <v>66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1450.4787914987219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1490.6317109039501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0.32856519235577553</v>
      </c>
      <c r="R252" s="1">
        <v>45</v>
      </c>
      <c r="S252" s="1">
        <v>62</v>
      </c>
      <c r="T252" s="1">
        <v>0</v>
      </c>
      <c r="U252" s="1">
        <f>Games[[#This Row],[PointsFor]]-Games[[#This Row],[PointsAgainst]]</f>
        <v>-17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0.51520298255220409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73.75</v>
      </c>
      <c r="Z252" s="4">
        <f>Games[[#This Row],[K]]*Games[[#This Row],[POMult]]</f>
        <v>73.75</v>
      </c>
      <c r="AA252" s="4">
        <f>(Games[[#This Row],[Keff]]*Games[[#This Row],[MOVMult]])*(Games[[#This Row],[Result]]-Games[[#This Row],[ExpectedWin%]])</f>
        <v>-12.484235321009397</v>
      </c>
      <c r="AB252" s="4">
        <f>Games[[#This Row],[PreGmRate]]+Games[[#This Row],[RatingChange]]</f>
        <v>1437.9945561777124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36712</v>
      </c>
      <c r="B253" s="2">
        <v>2000</v>
      </c>
      <c r="C253" s="2">
        <f>COUNTIFS(Games[Team],Games[[#This Row],[Team]],Games[Season],Games[[#This Row],[Season]],Games[Date],"&lt;=" &amp; Games[[#This Row],[Date]])</f>
        <v>17</v>
      </c>
      <c r="D253" s="2" t="s">
        <v>23</v>
      </c>
      <c r="E253" s="2" t="s">
        <v>29</v>
      </c>
      <c r="F253" s="1" t="s">
        <v>66</v>
      </c>
      <c r="G253" s="1" t="s">
        <v>89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1490.6317109039501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1450.4787914987219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0.67143480764422447</v>
      </c>
      <c r="R253" s="1">
        <v>62</v>
      </c>
      <c r="S253" s="1">
        <v>45</v>
      </c>
      <c r="T253" s="1">
        <v>0</v>
      </c>
      <c r="U253" s="1">
        <f>Games[[#This Row],[PointsFor]]-Games[[#This Row],[PointsAgainst]]</f>
        <v>17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0.51520298255220409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73.45</v>
      </c>
      <c r="Z253" s="4">
        <f>Games[[#This Row],[K]]*Games[[#This Row],[POMult]]</f>
        <v>73.45</v>
      </c>
      <c r="AA253" s="4">
        <f>(Games[[#This Row],[Keff]]*Games[[#This Row],[MOVMult]])*(Games[[#This Row],[Result]]-Games[[#This Row],[ExpectedWin%]])</f>
        <v>12.433451990890038</v>
      </c>
      <c r="AB253" s="4">
        <f>Games[[#This Row],[PreGmRate]]+Games[[#This Row],[RatingChange]]</f>
        <v>1503.0651628948401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36712</v>
      </c>
      <c r="B254" s="2">
        <v>2000</v>
      </c>
      <c r="C254" s="2">
        <f>COUNTIFS(Games[Team],Games[[#This Row],[Team]],Games[Season],Games[[#This Row],[Season]],Games[Date],"&lt;=" &amp; Games[[#This Row],[Date]])</f>
        <v>16</v>
      </c>
      <c r="D254" s="2" t="s">
        <v>23</v>
      </c>
      <c r="E254" s="2" t="s">
        <v>29</v>
      </c>
      <c r="F254" s="1" t="s">
        <v>71</v>
      </c>
      <c r="G254" s="1" t="s">
        <v>45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4" s="2">
        <f>Games[[#This Row],[DaysOff]]-Games[[#This Row],[OppDaysOff]]</f>
        <v>-1</v>
      </c>
      <c r="L254" s="2">
        <f>Games[[#This Row],[OppDaysOff]]-Games[[#This Row],[DaysOff]]</f>
        <v>1</v>
      </c>
      <c r="M254" s="1">
        <f>MAX(-16, MIN(16, Games[[#This Row],[RestDiff]]*8))</f>
        <v>-8</v>
      </c>
      <c r="N254" s="1">
        <f>MAX(-16, MIN(16, Games[[#This Row],[OppRestDiff]]*8))</f>
        <v>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1646.848800784966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1605.8357375427172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0.41591730894486661</v>
      </c>
      <c r="R254" s="1">
        <v>76</v>
      </c>
      <c r="S254" s="1">
        <v>61</v>
      </c>
      <c r="T254" s="1">
        <v>0</v>
      </c>
      <c r="U254" s="1">
        <f>Games[[#This Row],[PointsFor]]-Games[[#This Row],[PointsAgainst]]</f>
        <v>15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0.48622988067348616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73.599999999999994</v>
      </c>
      <c r="Z254" s="4">
        <f>Games[[#This Row],[K]]*Games[[#This Row],[POMult]]</f>
        <v>73.599999999999994</v>
      </c>
      <c r="AA254" s="4">
        <f>(Games[[#This Row],[Keff]]*Games[[#This Row],[MOVMult]])*(Games[[#This Row],[Result]]-Games[[#This Row],[ExpectedWin%]])</f>
        <v>20.902286448093701</v>
      </c>
      <c r="AB254" s="4">
        <f>Games[[#This Row],[PreGmRate]]+Games[[#This Row],[RatingChange]]</f>
        <v>1667.7510872330597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36712</v>
      </c>
      <c r="B255" s="2">
        <v>2000</v>
      </c>
      <c r="C255" s="2">
        <f>COUNTIFS(Games[Team],Games[[#This Row],[Team]],Games[Season],Games[[#This Row],[Season]],Games[Date],"&lt;=" &amp; Games[[#This Row],[Date]])</f>
        <v>17</v>
      </c>
      <c r="D255" s="2" t="s">
        <v>23</v>
      </c>
      <c r="E255" s="2" t="s">
        <v>29</v>
      </c>
      <c r="F255" s="1" t="s">
        <v>45</v>
      </c>
      <c r="G255" s="1" t="s">
        <v>71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5" s="2">
        <f>Games[[#This Row],[DaysOff]]-Games[[#This Row],[OppDaysOff]]</f>
        <v>1</v>
      </c>
      <c r="L255" s="2">
        <f>Games[[#This Row],[OppDaysOff]]-Games[[#This Row],[DaysOff]]</f>
        <v>-1</v>
      </c>
      <c r="M255" s="1">
        <f>MAX(-16, MIN(16, Games[[#This Row],[RestDiff]]*8))</f>
        <v>8</v>
      </c>
      <c r="N255" s="1">
        <f>MAX(-16, MIN(16, Games[[#This Row],[OppRestDiff]]*8))</f>
        <v>-8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1605.8357375427172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1646.848800784966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0.58408269105513333</v>
      </c>
      <c r="R255" s="1">
        <v>61</v>
      </c>
      <c r="S255" s="1">
        <v>76</v>
      </c>
      <c r="T255" s="1">
        <v>0</v>
      </c>
      <c r="U255" s="1">
        <f>Games[[#This Row],[PointsFor]]-Games[[#This Row],[PointsAgainst]]</f>
        <v>-15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0.48622988067348616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73.45</v>
      </c>
      <c r="Z255" s="4">
        <f>Games[[#This Row],[K]]*Games[[#This Row],[POMult]]</f>
        <v>73.45</v>
      </c>
      <c r="AA255" s="4">
        <f>(Games[[#This Row],[Keff]]*Games[[#This Row],[MOVMult]])*(Games[[#This Row],[Result]]-Games[[#This Row],[ExpectedWin%]])</f>
        <v>-20.859686679517427</v>
      </c>
      <c r="AB255" s="4">
        <f>Games[[#This Row],[PreGmRate]]+Games[[#This Row],[RatingChange]]</f>
        <v>1584.9760508631998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36713</v>
      </c>
      <c r="B256" s="2">
        <v>2000</v>
      </c>
      <c r="C256" s="2">
        <f>COUNTIFS(Games[Team],Games[[#This Row],[Team]],Games[Season],Games[[#This Row],[Season]],Games[Date],"&lt;=" &amp; Games[[#This Row],[Date]])</f>
        <v>17</v>
      </c>
      <c r="D256" s="2" t="s">
        <v>23</v>
      </c>
      <c r="E256" s="2" t="s">
        <v>29</v>
      </c>
      <c r="F256" s="1" t="s">
        <v>87</v>
      </c>
      <c r="G256" s="1" t="s">
        <v>2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6" s="2">
        <f>Games[[#This Row],[DaysOff]]-Games[[#This Row],[OppDaysOff]]</f>
        <v>-3</v>
      </c>
      <c r="L256" s="2">
        <f>Games[[#This Row],[OppDaysOff]]-Games[[#This Row],[DaysOff]]</f>
        <v>3</v>
      </c>
      <c r="M256" s="1">
        <f>MAX(-16, MIN(16, Games[[#This Row],[RestDiff]]*8))</f>
        <v>-16</v>
      </c>
      <c r="N256" s="1">
        <f>MAX(-16, MIN(16, Games[[#This Row],[OppRestDiff]]*8))</f>
        <v>16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1379.4881430499802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1708.461353124128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7.1659576395768323E-2</v>
      </c>
      <c r="R256" s="1">
        <v>50</v>
      </c>
      <c r="S256" s="1">
        <v>80</v>
      </c>
      <c r="T256" s="1">
        <v>0</v>
      </c>
      <c r="U256" s="1">
        <f>Games[[#This Row],[PointsFor]]-Games[[#This Row],[PointsAgainst]]</f>
        <v>-30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0.55212949838987258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73.45</v>
      </c>
      <c r="Z256" s="4">
        <f>Games[[#This Row],[K]]*Games[[#This Row],[POMult]]</f>
        <v>73.45</v>
      </c>
      <c r="AA256" s="4">
        <f>(Games[[#This Row],[Keff]]*Games[[#This Row],[MOVMult]])*(Games[[#This Row],[Result]]-Games[[#This Row],[ExpectedWin%]])</f>
        <v>-2.9060761305131231</v>
      </c>
      <c r="AB256" s="4">
        <f>Games[[#This Row],[PreGmRate]]+Games[[#This Row],[RatingChange]]</f>
        <v>1376.582066919467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36713</v>
      </c>
      <c r="B257" s="2">
        <v>2000</v>
      </c>
      <c r="C257" s="2">
        <f>COUNTIFS(Games[Team],Games[[#This Row],[Team]],Games[Season],Games[[#This Row],[Season]],Games[Date],"&lt;=" &amp; Games[[#This Row],[Date]])</f>
        <v>18</v>
      </c>
      <c r="D257" s="2" t="s">
        <v>23</v>
      </c>
      <c r="E257" s="2" t="s">
        <v>29</v>
      </c>
      <c r="F257" s="1" t="s">
        <v>2</v>
      </c>
      <c r="G257" s="1" t="s">
        <v>87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7" s="2">
        <f>Games[[#This Row],[DaysOff]]-Games[[#This Row],[OppDaysOff]]</f>
        <v>3</v>
      </c>
      <c r="L257" s="2">
        <f>Games[[#This Row],[OppDaysOff]]-Games[[#This Row],[DaysOff]]</f>
        <v>-3</v>
      </c>
      <c r="M257" s="1">
        <f>MAX(-16, MIN(16, Games[[#This Row],[RestDiff]]*8))</f>
        <v>16</v>
      </c>
      <c r="N257" s="1">
        <f>MAX(-16, MIN(16, Games[[#This Row],[OppRestDiff]]*8))</f>
        <v>-16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1708.461353124128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1379.4881430499802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0.92834042360423163</v>
      </c>
      <c r="R257" s="1">
        <v>80</v>
      </c>
      <c r="S257" s="1">
        <v>50</v>
      </c>
      <c r="T257" s="1">
        <v>0</v>
      </c>
      <c r="U257" s="1">
        <f>Games[[#This Row],[PointsFor]]-Games[[#This Row],[PointsAgainst]]</f>
        <v>30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0.55212949838987258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73.3</v>
      </c>
      <c r="Z257" s="4">
        <f>Games[[#This Row],[K]]*Games[[#This Row],[POMult]]</f>
        <v>73.3</v>
      </c>
      <c r="AA257" s="4">
        <f>(Games[[#This Row],[Keff]]*Games[[#This Row],[MOVMult]])*(Games[[#This Row],[Result]]-Games[[#This Row],[ExpectedWin%]])</f>
        <v>2.9001413256175907</v>
      </c>
      <c r="AB257" s="4">
        <f>Games[[#This Row],[PreGmRate]]+Games[[#This Row],[RatingChange]]</f>
        <v>1711.3614944497456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36713</v>
      </c>
      <c r="B258" s="2">
        <v>2000</v>
      </c>
      <c r="C258" s="2">
        <f>COUNTIFS(Games[Team],Games[[#This Row],[Team]],Games[Season],Games[[#This Row],[Season]],Games[Date],"&lt;=" &amp; Games[[#This Row],[Date]])</f>
        <v>16</v>
      </c>
      <c r="D258" s="2" t="s">
        <v>23</v>
      </c>
      <c r="E258" s="2" t="s">
        <v>29</v>
      </c>
      <c r="F258" s="1" t="s">
        <v>75</v>
      </c>
      <c r="G258" s="1" t="s">
        <v>71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8" s="2">
        <f>Games[[#This Row],[DaysOff]]-Games[[#This Row],[OppDaysOff]]</f>
        <v>2</v>
      </c>
      <c r="L258" s="2">
        <f>Games[[#This Row],[OppDaysOff]]-Games[[#This Row],[DaysOff]]</f>
        <v>-2</v>
      </c>
      <c r="M258" s="1">
        <f>MAX(-16, MIN(16, Games[[#This Row],[RestDiff]]*8))</f>
        <v>16</v>
      </c>
      <c r="N258" s="1">
        <f>MAX(-16, MIN(16, Games[[#This Row],[OppRestDiff]]*8))</f>
        <v>-16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1475.1495314886809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1667.7510872330597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0.19654342495297356</v>
      </c>
      <c r="R258" s="1">
        <v>70</v>
      </c>
      <c r="S258" s="1">
        <v>79</v>
      </c>
      <c r="T258" s="1">
        <v>0</v>
      </c>
      <c r="U258" s="1">
        <f>Games[[#This Row],[PointsFor]]-Games[[#This Row],[PointsAgainst]]</f>
        <v>-9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0.34982427713596054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73.599999999999994</v>
      </c>
      <c r="Z258" s="4">
        <f>Games[[#This Row],[K]]*Games[[#This Row],[POMult]]</f>
        <v>73.599999999999994</v>
      </c>
      <c r="AA258" s="4">
        <f>(Games[[#This Row],[Keff]]*Games[[#This Row],[MOVMult]])*(Games[[#This Row],[Result]]-Games[[#This Row],[ExpectedWin%]])</f>
        <v>-5.0604166908159911</v>
      </c>
      <c r="AB258" s="4">
        <f>Games[[#This Row],[PreGmRate]]+Games[[#This Row],[RatingChange]]</f>
        <v>1470.0891147978648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36713</v>
      </c>
      <c r="B259" s="2">
        <v>2000</v>
      </c>
      <c r="C259" s="2">
        <f>COUNTIFS(Games[Team],Games[[#This Row],[Team]],Games[Season],Games[[#This Row],[Season]],Games[Date],"&lt;=" &amp; Games[[#This Row],[Date]])</f>
        <v>17</v>
      </c>
      <c r="D259" s="2" t="s">
        <v>23</v>
      </c>
      <c r="E259" s="2" t="s">
        <v>29</v>
      </c>
      <c r="F259" s="1" t="s">
        <v>71</v>
      </c>
      <c r="G259" s="1" t="s">
        <v>75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9" s="2">
        <f>Games[[#This Row],[DaysOff]]-Games[[#This Row],[OppDaysOff]]</f>
        <v>-2</v>
      </c>
      <c r="L259" s="2">
        <f>Games[[#This Row],[OppDaysOff]]-Games[[#This Row],[DaysOff]]</f>
        <v>2</v>
      </c>
      <c r="M259" s="1">
        <f>MAX(-16, MIN(16, Games[[#This Row],[RestDiff]]*8))</f>
        <v>-16</v>
      </c>
      <c r="N259" s="1">
        <f>MAX(-16, MIN(16, Games[[#This Row],[OppRestDiff]]*8))</f>
        <v>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1667.7510872330597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1475.1495314886809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0.80345657504702639</v>
      </c>
      <c r="R259" s="1">
        <v>79</v>
      </c>
      <c r="S259" s="1">
        <v>70</v>
      </c>
      <c r="T259" s="1">
        <v>0</v>
      </c>
      <c r="U259" s="1">
        <f>Games[[#This Row],[PointsFor]]-Games[[#This Row],[PointsAgainst]]</f>
        <v>9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0.34982427713596054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73.45</v>
      </c>
      <c r="Z259" s="4">
        <f>Games[[#This Row],[K]]*Games[[#This Row],[POMult]]</f>
        <v>73.45</v>
      </c>
      <c r="AA259" s="4">
        <f>(Games[[#This Row],[Keff]]*Games[[#This Row],[MOVMult]])*(Games[[#This Row],[Result]]-Games[[#This Row],[ExpectedWin%]])</f>
        <v>5.0501033415819929</v>
      </c>
      <c r="AB259" s="4">
        <f>Games[[#This Row],[PreGmRate]]+Games[[#This Row],[RatingChange]]</f>
        <v>1672.8011905746416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36713</v>
      </c>
      <c r="B260" s="2">
        <v>2000</v>
      </c>
      <c r="C260" s="2">
        <f>COUNTIFS(Games[Team],Games[[#This Row],[Team]],Games[Season],Games[[#This Row],[Season]],Games[Date],"&lt;=" &amp; Games[[#This Row],[Date]])</f>
        <v>16</v>
      </c>
      <c r="D260" s="2" t="s">
        <v>23</v>
      </c>
      <c r="E260" s="2" t="s">
        <v>29</v>
      </c>
      <c r="F260" s="1" t="s">
        <v>85</v>
      </c>
      <c r="G260" s="1" t="s">
        <v>79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0" s="2">
        <f>Games[[#This Row],[DaysOff]]-Games[[#This Row],[OppDaysOff]]</f>
        <v>-2</v>
      </c>
      <c r="L260" s="2">
        <f>Games[[#This Row],[OppDaysOff]]-Games[[#This Row],[DaysOff]]</f>
        <v>2</v>
      </c>
      <c r="M260" s="1">
        <f>MAX(-16, MIN(16, Games[[#This Row],[RestDiff]]*8))</f>
        <v>-16</v>
      </c>
      <c r="N260" s="1">
        <f>MAX(-16, MIN(16, Games[[#This Row],[OppRestDiff]]*8))</f>
        <v>16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1387.9538894762793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1508.2881334024746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0.20416729423461091</v>
      </c>
      <c r="R260" s="1">
        <v>60</v>
      </c>
      <c r="S260" s="1">
        <v>72</v>
      </c>
      <c r="T260" s="1">
        <v>0</v>
      </c>
      <c r="U260" s="1">
        <f>Games[[#This Row],[PointsFor]]-Games[[#This Row],[PointsAgainst]]</f>
        <v>-12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0.41455815768605125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73.599999999999994</v>
      </c>
      <c r="Z260" s="4">
        <f>Games[[#This Row],[K]]*Games[[#This Row],[POMult]]</f>
        <v>73.599999999999994</v>
      </c>
      <c r="AA260" s="4">
        <f>(Games[[#This Row],[Keff]]*Games[[#This Row],[MOVMult]])*(Games[[#This Row],[Result]]-Games[[#This Row],[ExpectedWin%]])</f>
        <v>-6.2294463975227634</v>
      </c>
      <c r="AB260" s="4">
        <f>Games[[#This Row],[PreGmRate]]+Games[[#This Row],[RatingChange]]</f>
        <v>1381.7244430787566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36713</v>
      </c>
      <c r="B261" s="2">
        <v>2000</v>
      </c>
      <c r="C261" s="2">
        <f>COUNTIFS(Games[Team],Games[[#This Row],[Team]],Games[Season],Games[[#This Row],[Season]],Games[Date],"&lt;=" &amp; Games[[#This Row],[Date]])</f>
        <v>17</v>
      </c>
      <c r="D261" s="2" t="s">
        <v>23</v>
      </c>
      <c r="E261" s="2" t="s">
        <v>29</v>
      </c>
      <c r="F261" s="1" t="s">
        <v>79</v>
      </c>
      <c r="G261" s="1" t="s">
        <v>85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1" s="2">
        <f>Games[[#This Row],[DaysOff]]-Games[[#This Row],[OppDaysOff]]</f>
        <v>2</v>
      </c>
      <c r="L261" s="2">
        <f>Games[[#This Row],[OppDaysOff]]-Games[[#This Row],[DaysOff]]</f>
        <v>-2</v>
      </c>
      <c r="M261" s="1">
        <f>MAX(-16, MIN(16, Games[[#This Row],[RestDiff]]*8))</f>
        <v>16</v>
      </c>
      <c r="N261" s="1">
        <f>MAX(-16, MIN(16, Games[[#This Row],[OppRestDiff]]*8))</f>
        <v>-16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1508.2881334024746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1387.9538894762793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0.795832705765389</v>
      </c>
      <c r="R261" s="1">
        <v>72</v>
      </c>
      <c r="S261" s="1">
        <v>60</v>
      </c>
      <c r="T261" s="1">
        <v>0</v>
      </c>
      <c r="U261" s="1">
        <f>Games[[#This Row],[PointsFor]]-Games[[#This Row],[PointsAgainst]]</f>
        <v>12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0.41455815768605125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73.45</v>
      </c>
      <c r="Z261" s="4">
        <f>Games[[#This Row],[K]]*Games[[#This Row],[POMult]]</f>
        <v>73.45</v>
      </c>
      <c r="AA261" s="4">
        <f>(Games[[#This Row],[Keff]]*Games[[#This Row],[MOVMult]])*(Games[[#This Row],[Result]]-Games[[#This Row],[ExpectedWin%]])</f>
        <v>6.21675051491912</v>
      </c>
      <c r="AB261" s="4">
        <f>Games[[#This Row],[PreGmRate]]+Games[[#This Row],[RatingChange]]</f>
        <v>1514.5048839173937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36713</v>
      </c>
      <c r="B262" s="2">
        <v>2000</v>
      </c>
      <c r="C262" s="2">
        <f>COUNTIFS(Games[Team],Games[[#This Row],[Team]],Games[Season],Games[[#This Row],[Season]],Games[Date],"&lt;=" &amp; Games[[#This Row],[Date]])</f>
        <v>16</v>
      </c>
      <c r="D262" s="2" t="s">
        <v>23</v>
      </c>
      <c r="E262" s="2" t="s">
        <v>29</v>
      </c>
      <c r="F262" s="1" t="s">
        <v>77</v>
      </c>
      <c r="G262" s="1" t="s">
        <v>44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1470.7611309921197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1578.962226668544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0.24854293938579824</v>
      </c>
      <c r="R262" s="1">
        <v>69</v>
      </c>
      <c r="S262" s="1">
        <v>83</v>
      </c>
      <c r="T262" s="1">
        <v>0</v>
      </c>
      <c r="U262" s="1">
        <f>Games[[#This Row],[PointsFor]]-Games[[#This Row],[PointsAgainst]]</f>
        <v>-14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0.44727811815382384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73.599999999999994</v>
      </c>
      <c r="Z262" s="4">
        <f>Games[[#This Row],[K]]*Games[[#This Row],[POMult]]</f>
        <v>73.599999999999994</v>
      </c>
      <c r="AA262" s="4">
        <f>(Games[[#This Row],[Keff]]*Games[[#This Row],[MOVMult]])*(Games[[#This Row],[Result]]-Games[[#This Row],[ExpectedWin%]])</f>
        <v>-8.1819514201750199</v>
      </c>
      <c r="AB262" s="4">
        <f>Games[[#This Row],[PreGmRate]]+Games[[#This Row],[RatingChange]]</f>
        <v>1462.5791795719447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36713</v>
      </c>
      <c r="B263" s="2">
        <v>2000</v>
      </c>
      <c r="C263" s="2">
        <f>COUNTIFS(Games[Team],Games[[#This Row],[Team]],Games[Season],Games[[#This Row],[Season]],Games[Date],"&lt;=" &amp; Games[[#This Row],[Date]])</f>
        <v>16</v>
      </c>
      <c r="D263" s="2" t="s">
        <v>23</v>
      </c>
      <c r="E263" s="2" t="s">
        <v>29</v>
      </c>
      <c r="F263" s="1" t="s">
        <v>44</v>
      </c>
      <c r="G263" s="1" t="s">
        <v>77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1578.962226668544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1470.7611309921197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0.75145706061420181</v>
      </c>
      <c r="R263" s="1">
        <v>83</v>
      </c>
      <c r="S263" s="1">
        <v>69</v>
      </c>
      <c r="T263" s="1">
        <v>0</v>
      </c>
      <c r="U263" s="1">
        <f>Games[[#This Row],[PointsFor]]-Games[[#This Row],[PointsAgainst]]</f>
        <v>14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0.44727811815382384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73.599999999999994</v>
      </c>
      <c r="Z263" s="4">
        <f>Games[[#This Row],[K]]*Games[[#This Row],[POMult]]</f>
        <v>73.599999999999994</v>
      </c>
      <c r="AA263" s="4">
        <f>(Games[[#This Row],[Keff]]*Games[[#This Row],[MOVMult]])*(Games[[#This Row],[Result]]-Games[[#This Row],[ExpectedWin%]])</f>
        <v>8.1819514201750181</v>
      </c>
      <c r="AB263" s="4">
        <f>Games[[#This Row],[PreGmRate]]+Games[[#This Row],[RatingChange]]</f>
        <v>1587.1441780887189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36714</v>
      </c>
      <c r="B264" s="2">
        <v>2000</v>
      </c>
      <c r="C264" s="2">
        <f>COUNTIFS(Games[Team],Games[[#This Row],[Team]],Games[Season],Games[[#This Row],[Season]],Games[Date],"&lt;=" &amp; Games[[#This Row],[Date]])</f>
        <v>17</v>
      </c>
      <c r="D264" s="2" t="s">
        <v>23</v>
      </c>
      <c r="E264" s="2" t="s">
        <v>29</v>
      </c>
      <c r="F264" s="1" t="s">
        <v>64</v>
      </c>
      <c r="G264" s="1" t="s">
        <v>2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4" s="2">
        <f>Games[[#This Row],[DaysOff]]-Games[[#This Row],[OppDaysOff]]</f>
        <v>1</v>
      </c>
      <c r="L264" s="2">
        <f>Games[[#This Row],[OppDaysOff]]-Games[[#This Row],[DaysOff]]</f>
        <v>-1</v>
      </c>
      <c r="M264" s="1">
        <f>MAX(-16, MIN(16, Games[[#This Row],[RestDiff]]*8))</f>
        <v>8</v>
      </c>
      <c r="N264" s="1">
        <f>MAX(-16, MIN(16, Games[[#This Row],[OppRestDiff]]*8))</f>
        <v>-8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1376.8081367158788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1711.3614944497456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8.9701636750960018E-2</v>
      </c>
      <c r="R264" s="1">
        <v>71</v>
      </c>
      <c r="S264" s="1">
        <v>86</v>
      </c>
      <c r="T264" s="1">
        <v>0</v>
      </c>
      <c r="U264" s="1">
        <f>Games[[#This Row],[PointsFor]]-Games[[#This Row],[PointsAgainst]]</f>
        <v>-15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0.39322036644304498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73.45</v>
      </c>
      <c r="Z264" s="4">
        <f>Games[[#This Row],[K]]*Games[[#This Row],[POMult]]</f>
        <v>73.45</v>
      </c>
      <c r="AA264" s="4">
        <f>(Games[[#This Row],[Keff]]*Games[[#This Row],[MOVMult]])*(Games[[#This Row],[Result]]-Games[[#This Row],[ExpectedWin%]])</f>
        <v>-2.5907658942971881</v>
      </c>
      <c r="AB264" s="4">
        <f>Games[[#This Row],[PreGmRate]]+Games[[#This Row],[RatingChange]]</f>
        <v>1374.2173708215817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36714</v>
      </c>
      <c r="B265" s="2">
        <v>2000</v>
      </c>
      <c r="C265" s="2">
        <f>COUNTIFS(Games[Team],Games[[#This Row],[Team]],Games[Season],Games[[#This Row],[Season]],Games[Date],"&lt;=" &amp; Games[[#This Row],[Date]])</f>
        <v>19</v>
      </c>
      <c r="D265" s="2" t="s">
        <v>23</v>
      </c>
      <c r="E265" s="2" t="s">
        <v>29</v>
      </c>
      <c r="F265" s="1" t="s">
        <v>2</v>
      </c>
      <c r="G265" s="1" t="s">
        <v>64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-1</v>
      </c>
      <c r="L265" s="2">
        <f>Games[[#This Row],[OppDaysOff]]-Games[[#This Row],[DaysOff]]</f>
        <v>1</v>
      </c>
      <c r="M265" s="1">
        <f>MAX(-16, MIN(16, Games[[#This Row],[RestDiff]]*8))</f>
        <v>-8</v>
      </c>
      <c r="N265" s="1">
        <f>MAX(-16, MIN(16, Games[[#This Row],[OppRestDiff]]*8))</f>
        <v>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1711.3614944497456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1376.8081367158788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0.91029836324904001</v>
      </c>
      <c r="R265" s="1">
        <v>86</v>
      </c>
      <c r="S265" s="1">
        <v>71</v>
      </c>
      <c r="T265" s="1">
        <v>0</v>
      </c>
      <c r="U265" s="1">
        <f>Games[[#This Row],[PointsFor]]-Games[[#This Row],[PointsAgainst]]</f>
        <v>15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0.39322036644304498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73.150000000000006</v>
      </c>
      <c r="Z265" s="4">
        <f>Games[[#This Row],[K]]*Games[[#This Row],[POMult]]</f>
        <v>73.150000000000006</v>
      </c>
      <c r="AA265" s="4">
        <f>(Games[[#This Row],[Keff]]*Games[[#This Row],[MOVMult]])*(Games[[#This Row],[Result]]-Games[[#This Row],[ExpectedWin%]])</f>
        <v>2.5801841411550615</v>
      </c>
      <c r="AB265" s="4">
        <f>Games[[#This Row],[PreGmRate]]+Games[[#This Row],[RatingChange]]</f>
        <v>1713.9416785909007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36714</v>
      </c>
      <c r="B266" s="2">
        <v>2000</v>
      </c>
      <c r="C266" s="2">
        <f>COUNTIFS(Games[Team],Games[[#This Row],[Team]],Games[Season],Games[[#This Row],[Season]],Games[Date],"&lt;=" &amp; Games[[#This Row],[Date]])</f>
        <v>16</v>
      </c>
      <c r="D266" s="2" t="s">
        <v>23</v>
      </c>
      <c r="E266" s="2" t="s">
        <v>29</v>
      </c>
      <c r="F266" s="1" t="s">
        <v>1</v>
      </c>
      <c r="G266" s="1" t="s">
        <v>83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2</v>
      </c>
      <c r="L266" s="2">
        <f>Games[[#This Row],[OppDaysOff]]-Games[[#This Row],[DaysOff]]</f>
        <v>-2</v>
      </c>
      <c r="M266" s="1">
        <f>MAX(-16, MIN(16, Games[[#This Row],[RestDiff]]*8))</f>
        <v>16</v>
      </c>
      <c r="N266" s="1">
        <f>MAX(-16, MIN(16, Games[[#This Row],[OppRestDiff]]*8))</f>
        <v>-16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1459.945009618709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1410.9880521230564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0.49562082178658889</v>
      </c>
      <c r="R266" s="1">
        <v>46</v>
      </c>
      <c r="S266" s="1">
        <v>49</v>
      </c>
      <c r="T266" s="1">
        <v>0</v>
      </c>
      <c r="U266" s="1">
        <f>Games[[#This Row],[PointsFor]]-Games[[#This Row],[PointsAgainst]]</f>
        <v>-3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0.27880882782116351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73.599999999999994</v>
      </c>
      <c r="Z266" s="4">
        <f>Games[[#This Row],[K]]*Games[[#This Row],[POMult]]</f>
        <v>73.599999999999994</v>
      </c>
      <c r="AA266" s="4">
        <f>(Games[[#This Row],[Keff]]*Games[[#This Row],[MOVMult]])*(Games[[#This Row],[Result]]-Games[[#This Row],[ExpectedWin%]])</f>
        <v>-10.170302682943534</v>
      </c>
      <c r="AB266" s="4">
        <f>Games[[#This Row],[PreGmRate]]+Games[[#This Row],[RatingChange]]</f>
        <v>1449.7747069357656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36714</v>
      </c>
      <c r="B267" s="2">
        <v>2000</v>
      </c>
      <c r="C267" s="2">
        <f>COUNTIFS(Games[Team],Games[[#This Row],[Team]],Games[Season],Games[[#This Row],[Season]],Games[Date],"&lt;=" &amp; Games[[#This Row],[Date]])</f>
        <v>17</v>
      </c>
      <c r="D267" s="2" t="s">
        <v>23</v>
      </c>
      <c r="E267" s="2" t="s">
        <v>29</v>
      </c>
      <c r="F267" s="1" t="s">
        <v>83</v>
      </c>
      <c r="G267" s="1" t="s">
        <v>1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7" s="2">
        <f>Games[[#This Row],[DaysOff]]-Games[[#This Row],[OppDaysOff]]</f>
        <v>-2</v>
      </c>
      <c r="L267" s="2">
        <f>Games[[#This Row],[OppDaysOff]]-Games[[#This Row],[DaysOff]]</f>
        <v>2</v>
      </c>
      <c r="M267" s="1">
        <f>MAX(-16, MIN(16, Games[[#This Row],[RestDiff]]*8))</f>
        <v>-16</v>
      </c>
      <c r="N267" s="1">
        <f>MAX(-16, MIN(16, Games[[#This Row],[OppRestDiff]]*8))</f>
        <v>16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1410.9880521230564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1459.945009618709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0.50437917821341105</v>
      </c>
      <c r="R267" s="1">
        <v>49</v>
      </c>
      <c r="S267" s="1">
        <v>46</v>
      </c>
      <c r="T267" s="1">
        <v>0</v>
      </c>
      <c r="U267" s="1">
        <f>Games[[#This Row],[PointsFor]]-Games[[#This Row],[PointsAgainst]]</f>
        <v>3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0.27880882782116351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73.45</v>
      </c>
      <c r="Z267" s="4">
        <f>Games[[#This Row],[K]]*Games[[#This Row],[POMult]]</f>
        <v>73.45</v>
      </c>
      <c r="AA267" s="4">
        <f>(Games[[#This Row],[Keff]]*Games[[#This Row],[MOVMult]])*(Games[[#This Row],[Result]]-Games[[#This Row],[ExpectedWin%]])</f>
        <v>10.149575163888624</v>
      </c>
      <c r="AB267" s="4">
        <f>Games[[#This Row],[PreGmRate]]+Games[[#This Row],[RatingChange]]</f>
        <v>1421.137627286945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36714</v>
      </c>
      <c r="B268" s="2">
        <v>2000</v>
      </c>
      <c r="C268" s="2">
        <f>COUNTIFS(Games[Team],Games[[#This Row],[Team]],Games[Season],Games[[#This Row],[Season]],Games[Date],"&lt;=" &amp; Games[[#This Row],[Date]])</f>
        <v>18</v>
      </c>
      <c r="D268" s="2" t="s">
        <v>23</v>
      </c>
      <c r="E268" s="2" t="s">
        <v>29</v>
      </c>
      <c r="F268" s="1" t="s">
        <v>66</v>
      </c>
      <c r="G268" s="1" t="s">
        <v>80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1503.0651628948401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1533.8474647781079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0.34057339072092069</v>
      </c>
      <c r="R268" s="1">
        <v>76</v>
      </c>
      <c r="S268" s="1">
        <v>70</v>
      </c>
      <c r="T268" s="1">
        <v>0</v>
      </c>
      <c r="U268" s="1">
        <f>Games[[#This Row],[PointsFor]]-Games[[#This Row],[PointsAgainst]]</f>
        <v>6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0.34249510466975353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73.3</v>
      </c>
      <c r="Z268" s="4">
        <f>Games[[#This Row],[K]]*Games[[#This Row],[POMult]]</f>
        <v>73.3</v>
      </c>
      <c r="AA268" s="4">
        <f>(Games[[#This Row],[Keff]]*Games[[#This Row],[MOVMult]])*(Games[[#This Row],[Result]]-Games[[#This Row],[ExpectedWin%]])</f>
        <v>16.554833262065419</v>
      </c>
      <c r="AB268" s="4">
        <f>Games[[#This Row],[PreGmRate]]+Games[[#This Row],[RatingChange]]</f>
        <v>1519.6199961569055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36714</v>
      </c>
      <c r="B269" s="2">
        <v>2000</v>
      </c>
      <c r="C269" s="2">
        <f>COUNTIFS(Games[Team],Games[[#This Row],[Team]],Games[Season],Games[[#This Row],[Season]],Games[Date],"&lt;=" &amp; Games[[#This Row],[Date]])</f>
        <v>17</v>
      </c>
      <c r="D269" s="2" t="s">
        <v>23</v>
      </c>
      <c r="E269" s="2" t="s">
        <v>29</v>
      </c>
      <c r="F269" s="1" t="s">
        <v>80</v>
      </c>
      <c r="G269" s="1" t="s">
        <v>66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1533.8474647781079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1503.0651628948401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0.65942660927907937</v>
      </c>
      <c r="R269" s="1">
        <v>70</v>
      </c>
      <c r="S269" s="1">
        <v>76</v>
      </c>
      <c r="T269" s="1">
        <v>0</v>
      </c>
      <c r="U269" s="1">
        <f>Games[[#This Row],[PointsFor]]-Games[[#This Row],[PointsAgainst]]</f>
        <v>-6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0.34249510466975353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73.45</v>
      </c>
      <c r="Z269" s="4">
        <f>Games[[#This Row],[K]]*Games[[#This Row],[POMult]]</f>
        <v>73.45</v>
      </c>
      <c r="AA269" s="4">
        <f>(Games[[#This Row],[Keff]]*Games[[#This Row],[MOVMult]])*(Games[[#This Row],[Result]]-Games[[#This Row],[ExpectedWin%]])</f>
        <v>-16.588710819900481</v>
      </c>
      <c r="AB269" s="4">
        <f>Games[[#This Row],[PreGmRate]]+Games[[#This Row],[RatingChange]]</f>
        <v>1517.2587539582075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36714</v>
      </c>
      <c r="B270" s="2">
        <v>2000</v>
      </c>
      <c r="C270" s="2">
        <f>COUNTIFS(Games[Team],Games[[#This Row],[Team]],Games[Season],Games[[#This Row],[Season]],Games[Date],"&lt;=" &amp; Games[[#This Row],[Date]])</f>
        <v>18</v>
      </c>
      <c r="D270" s="2" t="s">
        <v>23</v>
      </c>
      <c r="E270" s="2" t="s">
        <v>29</v>
      </c>
      <c r="F270" s="1" t="s">
        <v>45</v>
      </c>
      <c r="G270" s="1" t="s">
        <v>89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1584.9760508631998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1437.9945561777124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0.58965772840113295</v>
      </c>
      <c r="R270" s="1">
        <v>63</v>
      </c>
      <c r="S270" s="1">
        <v>60</v>
      </c>
      <c r="T270" s="1">
        <v>0</v>
      </c>
      <c r="U270" s="1">
        <f>Games[[#This Row],[PointsFor]]-Games[[#This Row],[PointsAgainst]]</f>
        <v>3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0.25851893785649749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73.3</v>
      </c>
      <c r="Z270" s="4">
        <f>Games[[#This Row],[K]]*Games[[#This Row],[POMult]]</f>
        <v>73.3</v>
      </c>
      <c r="AA270" s="4">
        <f>(Games[[#This Row],[Keff]]*Games[[#This Row],[MOVMult]])*(Games[[#This Row],[Result]]-Games[[#This Row],[ExpectedWin%]])</f>
        <v>7.7757554938927997</v>
      </c>
      <c r="AB270" s="4">
        <f>Games[[#This Row],[PreGmRate]]+Games[[#This Row],[RatingChange]]</f>
        <v>1592.7518063570926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36714</v>
      </c>
      <c r="B271" s="2">
        <v>2000</v>
      </c>
      <c r="C271" s="2">
        <f>COUNTIFS(Games[Team],Games[[#This Row],[Team]],Games[Season],Games[[#This Row],[Season]],Games[Date],"&lt;=" &amp; Games[[#This Row],[Date]])</f>
        <v>16</v>
      </c>
      <c r="D271" s="2" t="s">
        <v>23</v>
      </c>
      <c r="E271" s="2" t="s">
        <v>29</v>
      </c>
      <c r="F271" s="1" t="s">
        <v>89</v>
      </c>
      <c r="G271" s="1" t="s">
        <v>45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1437.9945561777124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1584.9760508631998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0.41034227159886699</v>
      </c>
      <c r="R271" s="1">
        <v>60</v>
      </c>
      <c r="S271" s="1">
        <v>63</v>
      </c>
      <c r="T271" s="1">
        <v>0</v>
      </c>
      <c r="U271" s="1">
        <f>Games[[#This Row],[PointsFor]]-Games[[#This Row],[PointsAgainst]]</f>
        <v>-3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0.25851893785649749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73.599999999999994</v>
      </c>
      <c r="Z271" s="4">
        <f>Games[[#This Row],[K]]*Games[[#This Row],[POMult]]</f>
        <v>73.599999999999994</v>
      </c>
      <c r="AA271" s="4">
        <f>(Games[[#This Row],[Keff]]*Games[[#This Row],[MOVMult]])*(Games[[#This Row],[Result]]-Games[[#This Row],[ExpectedWin%]])</f>
        <v>-7.807579868356207</v>
      </c>
      <c r="AB271" s="4">
        <f>Games[[#This Row],[PreGmRate]]+Games[[#This Row],[RatingChange]]</f>
        <v>1430.1869763093562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36714</v>
      </c>
      <c r="B272" s="2">
        <v>2000</v>
      </c>
      <c r="C272" s="2">
        <f>COUNTIFS(Games[Team],Games[[#This Row],[Team]],Games[Season],Games[[#This Row],[Season]],Games[Date],"&lt;=" &amp; Games[[#This Row],[Date]])</f>
        <v>17</v>
      </c>
      <c r="D272" s="2" t="s">
        <v>23</v>
      </c>
      <c r="E272" s="2" t="s">
        <v>29</v>
      </c>
      <c r="F272" s="1" t="s">
        <v>77</v>
      </c>
      <c r="G272" s="1" t="s">
        <v>43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2" s="2">
        <f>Games[[#This Row],[DaysOff]]-Games[[#This Row],[OppDaysOff]]</f>
        <v>-5</v>
      </c>
      <c r="L272" s="2">
        <f>Games[[#This Row],[OppDaysOff]]-Games[[#This Row],[DaysOff]]</f>
        <v>5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1462.5791795719447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1514.7482681801209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0.27526753546572919</v>
      </c>
      <c r="R272" s="1">
        <v>73</v>
      </c>
      <c r="S272" s="1">
        <v>69</v>
      </c>
      <c r="T272" s="1">
        <v>0</v>
      </c>
      <c r="U272" s="1">
        <f>Games[[#This Row],[PointsFor]]-Games[[#This Row],[PointsAgainst]]</f>
        <v>4</v>
      </c>
      <c r="V272" s="1">
        <f>IF(Games[[#This Row],[MOV]]&gt;0,1,IF(Games[[#This Row],[MOV]]=0,0.5,0))</f>
        <v>1</v>
      </c>
      <c r="W272" s="4">
        <f>((ABS(Games[[#This Row],[MOV]])+5)^0.6)/(12+0.01*(ABS(Games[[#This Row],[PreGmRate]]-Games[[#This Row],[OppPreGmRate]])))*IF(Games[[#This Row],[OT]]=1,0.9,1)</f>
        <v>0.29845752086090505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73.45</v>
      </c>
      <c r="Z272" s="4">
        <f>Games[[#This Row],[K]]*Games[[#This Row],[POMult]]</f>
        <v>73.45</v>
      </c>
      <c r="AA272" s="4">
        <f>(Games[[#This Row],[Keff]]*Games[[#This Row],[MOVMult]])*(Games[[#This Row],[Result]]-Games[[#This Row],[ExpectedWin%]])</f>
        <v>15.887371224212334</v>
      </c>
      <c r="AB272" s="4">
        <f>Games[[#This Row],[PreGmRate]]+Games[[#This Row],[RatingChange]]</f>
        <v>1478.466550796157</v>
      </c>
      <c r="AC272" s="2">
        <f>IF(Games[[#This Row],[Type]]="R",IF(Games[[#This Row],[Result]]&gt;0.5,1,0),0)</f>
        <v>1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36714</v>
      </c>
      <c r="B273" s="2">
        <v>2000</v>
      </c>
      <c r="C273" s="2">
        <f>COUNTIFS(Games[Team],Games[[#This Row],[Team]],Games[Season],Games[[#This Row],[Season]],Games[Date],"&lt;=" &amp; Games[[#This Row],[Date]])</f>
        <v>18</v>
      </c>
      <c r="D273" s="2" t="s">
        <v>23</v>
      </c>
      <c r="E273" s="2" t="s">
        <v>29</v>
      </c>
      <c r="F273" s="1" t="s">
        <v>43</v>
      </c>
      <c r="G273" s="1" t="s">
        <v>77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3" s="2">
        <f>Games[[#This Row],[DaysOff]]-Games[[#This Row],[OppDaysOff]]</f>
        <v>5</v>
      </c>
      <c r="L273" s="2">
        <f>Games[[#This Row],[OppDaysOff]]-Games[[#This Row],[DaysOff]]</f>
        <v>-5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1514.7482681801209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1462.5791795719447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0.72473246453427087</v>
      </c>
      <c r="R273" s="1">
        <v>69</v>
      </c>
      <c r="S273" s="1">
        <v>73</v>
      </c>
      <c r="T273" s="1">
        <v>0</v>
      </c>
      <c r="U273" s="1">
        <f>Games[[#This Row],[PointsFor]]-Games[[#This Row],[PointsAgainst]]</f>
        <v>-4</v>
      </c>
      <c r="V273" s="1">
        <f>IF(Games[[#This Row],[MOV]]&gt;0,1,IF(Games[[#This Row],[MOV]]=0,0.5,0))</f>
        <v>0</v>
      </c>
      <c r="W273" s="4">
        <f>((ABS(Games[[#This Row],[MOV]])+5)^0.6)/(12+0.01*(ABS(Games[[#This Row],[PreGmRate]]-Games[[#This Row],[OppPreGmRate]])))*IF(Games[[#This Row],[OT]]=1,0.9,1)</f>
        <v>0.29845752086090505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73.3</v>
      </c>
      <c r="Z273" s="4">
        <f>Games[[#This Row],[K]]*Games[[#This Row],[POMult]]</f>
        <v>73.3</v>
      </c>
      <c r="AA273" s="4">
        <f>(Games[[#This Row],[Keff]]*Games[[#This Row],[MOVMult]])*(Games[[#This Row],[Result]]-Games[[#This Row],[ExpectedWin%]])</f>
        <v>-15.85492594601449</v>
      </c>
      <c r="AB273" s="4">
        <f>Games[[#This Row],[PreGmRate]]+Games[[#This Row],[RatingChange]]</f>
        <v>1498.8933422341065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1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36715</v>
      </c>
      <c r="B274" s="2">
        <v>2000</v>
      </c>
      <c r="C274" s="2">
        <f>COUNTIFS(Games[Team],Games[[#This Row],[Team]],Games[Season],Games[[#This Row],[Season]],Games[Date],"&lt;=" &amp; Games[[#This Row],[Date]])</f>
        <v>17</v>
      </c>
      <c r="D274" s="2" t="s">
        <v>23</v>
      </c>
      <c r="E274" s="2" t="s">
        <v>29</v>
      </c>
      <c r="F274" s="1" t="s">
        <v>1</v>
      </c>
      <c r="G274" s="1" t="s">
        <v>64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1449.7747069357656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1374.2173708215817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0.48785242089667191</v>
      </c>
      <c r="R274" s="1">
        <v>80</v>
      </c>
      <c r="S274" s="1">
        <v>59</v>
      </c>
      <c r="T274" s="1">
        <v>0</v>
      </c>
      <c r="U274" s="1">
        <f>Games[[#This Row],[PointsFor]]-Games[[#This Row],[PointsAgainst]]</f>
        <v>21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0.55371211260209441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73.45</v>
      </c>
      <c r="Z274" s="4">
        <f>Games[[#This Row],[K]]*Games[[#This Row],[POMult]]</f>
        <v>73.45</v>
      </c>
      <c r="AA274" s="4">
        <f>(Games[[#This Row],[Keff]]*Games[[#This Row],[MOVMult]])*(Games[[#This Row],[Result]]-Games[[#This Row],[ExpectedWin%]])</f>
        <v>20.829121256317912</v>
      </c>
      <c r="AB274" s="4">
        <f>Games[[#This Row],[PreGmRate]]+Games[[#This Row],[RatingChange]]</f>
        <v>1470.6038281920835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36715</v>
      </c>
      <c r="B275" s="2">
        <v>2000</v>
      </c>
      <c r="C275" s="2">
        <f>COUNTIFS(Games[Team],Games[[#This Row],[Team]],Games[Season],Games[[#This Row],[Season]],Games[Date],"&lt;=" &amp; Games[[#This Row],[Date]])</f>
        <v>18</v>
      </c>
      <c r="D275" s="2" t="s">
        <v>23</v>
      </c>
      <c r="E275" s="2" t="s">
        <v>29</v>
      </c>
      <c r="F275" s="1" t="s">
        <v>64</v>
      </c>
      <c r="G275" s="1" t="s">
        <v>1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1374.2173708215817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1449.7747069357656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0.51214757910332809</v>
      </c>
      <c r="R275" s="1">
        <v>59</v>
      </c>
      <c r="S275" s="1">
        <v>80</v>
      </c>
      <c r="T275" s="1">
        <v>0</v>
      </c>
      <c r="U275" s="1">
        <f>Games[[#This Row],[PointsFor]]-Games[[#This Row],[PointsAgainst]]</f>
        <v>-21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0.55371211260209441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73.3</v>
      </c>
      <c r="Z275" s="4">
        <f>Games[[#This Row],[K]]*Games[[#This Row],[POMult]]</f>
        <v>73.3</v>
      </c>
      <c r="AA275" s="4">
        <f>(Games[[#This Row],[Keff]]*Games[[#This Row],[MOVMult]])*(Games[[#This Row],[Result]]-Games[[#This Row],[ExpectedWin%]])</f>
        <v>-20.786583908619505</v>
      </c>
      <c r="AB275" s="4">
        <f>Games[[#This Row],[PreGmRate]]+Games[[#This Row],[RatingChange]]</f>
        <v>1353.430786912962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36715</v>
      </c>
      <c r="B276" s="2">
        <v>2000</v>
      </c>
      <c r="C276" s="2">
        <f>COUNTIFS(Games[Team],Games[[#This Row],[Team]],Games[Season],Games[[#This Row],[Season]],Games[Date],"&lt;=" &amp; Games[[#This Row],[Date]])</f>
        <v>17</v>
      </c>
      <c r="D276" s="2" t="s">
        <v>23</v>
      </c>
      <c r="E276" s="2" t="s">
        <v>29</v>
      </c>
      <c r="F276" s="1" t="s">
        <v>44</v>
      </c>
      <c r="G276" s="1" t="s">
        <v>85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1587.1441780887189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1381.7244430787566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0.66795452879909623</v>
      </c>
      <c r="R276" s="1">
        <v>66</v>
      </c>
      <c r="S276" s="1">
        <v>65</v>
      </c>
      <c r="T276" s="1">
        <v>0</v>
      </c>
      <c r="U276" s="1">
        <f>Games[[#This Row],[PointsFor]]-Games[[#This Row],[PointsAgainst]]</f>
        <v>1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0.2084897471261673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73.45</v>
      </c>
      <c r="Z276" s="4">
        <f>Games[[#This Row],[K]]*Games[[#This Row],[POMult]]</f>
        <v>73.45</v>
      </c>
      <c r="AA276" s="4">
        <f>(Games[[#This Row],[Keff]]*Games[[#This Row],[MOVMult]])*(Games[[#This Row],[Result]]-Games[[#This Row],[ExpectedWin%]])</f>
        <v>5.0848022060760609</v>
      </c>
      <c r="AB276" s="4">
        <f>Games[[#This Row],[PreGmRate]]+Games[[#This Row],[RatingChange]]</f>
        <v>1592.2289802947951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36715</v>
      </c>
      <c r="B277" s="2">
        <v>2000</v>
      </c>
      <c r="C277" s="2">
        <f>COUNTIFS(Games[Team],Games[[#This Row],[Team]],Games[Season],Games[[#This Row],[Season]],Games[Date],"&lt;=" &amp; Games[[#This Row],[Date]])</f>
        <v>17</v>
      </c>
      <c r="D277" s="2" t="s">
        <v>23</v>
      </c>
      <c r="E277" s="2" t="s">
        <v>29</v>
      </c>
      <c r="F277" s="1" t="s">
        <v>85</v>
      </c>
      <c r="G277" s="1" t="s">
        <v>44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1381.7244430787566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1587.1441780887189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0.33204547120090383</v>
      </c>
      <c r="R277" s="1">
        <v>65</v>
      </c>
      <c r="S277" s="1">
        <v>66</v>
      </c>
      <c r="T277" s="1">
        <v>0</v>
      </c>
      <c r="U277" s="1">
        <f>Games[[#This Row],[PointsFor]]-Games[[#This Row],[PointsAgainst]]</f>
        <v>-1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0.2084897471261673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73.45</v>
      </c>
      <c r="Z277" s="4">
        <f>Games[[#This Row],[K]]*Games[[#This Row],[POMult]]</f>
        <v>73.45</v>
      </c>
      <c r="AA277" s="4">
        <f>(Games[[#This Row],[Keff]]*Games[[#This Row],[MOVMult]])*(Games[[#This Row],[Result]]-Games[[#This Row],[ExpectedWin%]])</f>
        <v>-5.0848022060760618</v>
      </c>
      <c r="AB277" s="4">
        <f>Games[[#This Row],[PreGmRate]]+Games[[#This Row],[RatingChange]]</f>
        <v>1376.6396408726805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36715</v>
      </c>
      <c r="B278" s="2">
        <v>2000</v>
      </c>
      <c r="C278" s="2">
        <f>COUNTIFS(Games[Team],Games[[#This Row],[Team]],Games[Season],Games[[#This Row],[Season]],Games[Date],"&lt;=" &amp; Games[[#This Row],[Date]])</f>
        <v>18</v>
      </c>
      <c r="D278" s="2" t="s">
        <v>23</v>
      </c>
      <c r="E278" s="2" t="s">
        <v>29</v>
      </c>
      <c r="F278" s="1" t="s">
        <v>83</v>
      </c>
      <c r="G278" s="1" t="s">
        <v>66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1421.137627286945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1519.6199961569055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0.25913813037044608</v>
      </c>
      <c r="R278" s="1">
        <v>51</v>
      </c>
      <c r="S278" s="1">
        <v>63</v>
      </c>
      <c r="T278" s="1">
        <v>0</v>
      </c>
      <c r="U278" s="1">
        <f>Games[[#This Row],[PointsFor]]-Games[[#This Row],[PointsAgainst]]</f>
        <v>-12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0.42153466601799122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73.3</v>
      </c>
      <c r="Z278" s="4">
        <f>Games[[#This Row],[K]]*Games[[#This Row],[POMult]]</f>
        <v>73.3</v>
      </c>
      <c r="AA278" s="4">
        <f>(Games[[#This Row],[Keff]]*Games[[#This Row],[MOVMult]])*(Games[[#This Row],[Result]]-Games[[#This Row],[ExpectedWin%]])</f>
        <v>-8.0069771939624541</v>
      </c>
      <c r="AB278" s="4">
        <f>Games[[#This Row],[PreGmRate]]+Games[[#This Row],[RatingChange]]</f>
        <v>1413.1306500929825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36715</v>
      </c>
      <c r="B279" s="2">
        <v>2000</v>
      </c>
      <c r="C279" s="2">
        <f>COUNTIFS(Games[Team],Games[[#This Row],[Team]],Games[Season],Games[[#This Row],[Season]],Games[Date],"&lt;=" &amp; Games[[#This Row],[Date]])</f>
        <v>19</v>
      </c>
      <c r="D279" s="2" t="s">
        <v>23</v>
      </c>
      <c r="E279" s="2" t="s">
        <v>29</v>
      </c>
      <c r="F279" s="1" t="s">
        <v>66</v>
      </c>
      <c r="G279" s="1" t="s">
        <v>83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1519.6199961569055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1421.137627286945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0.74086186962955392</v>
      </c>
      <c r="R279" s="1">
        <v>63</v>
      </c>
      <c r="S279" s="1">
        <v>51</v>
      </c>
      <c r="T279" s="1">
        <v>0</v>
      </c>
      <c r="U279" s="1">
        <f>Games[[#This Row],[PointsFor]]-Games[[#This Row],[PointsAgainst]]</f>
        <v>12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0.42153466601799122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73.150000000000006</v>
      </c>
      <c r="Z279" s="4">
        <f>Games[[#This Row],[K]]*Games[[#This Row],[POMult]]</f>
        <v>73.150000000000006</v>
      </c>
      <c r="AA279" s="4">
        <f>(Games[[#This Row],[Keff]]*Games[[#This Row],[MOVMult]])*(Games[[#This Row],[Result]]-Games[[#This Row],[ExpectedWin%]])</f>
        <v>7.9905918381767194</v>
      </c>
      <c r="AB279" s="4">
        <f>Games[[#This Row],[PreGmRate]]+Games[[#This Row],[RatingChange]]</f>
        <v>1527.6105879950821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36715</v>
      </c>
      <c r="B280" s="2">
        <v>2000</v>
      </c>
      <c r="C280" s="2">
        <f>COUNTIFS(Games[Team],Games[[#This Row],[Team]],Games[Season],Games[[#This Row],[Season]],Games[Date],"&lt;=" &amp; Games[[#This Row],[Date]])</f>
        <v>18</v>
      </c>
      <c r="D280" s="2" t="s">
        <v>23</v>
      </c>
      <c r="E280" s="2" t="s">
        <v>29</v>
      </c>
      <c r="F280" s="1" t="s">
        <v>87</v>
      </c>
      <c r="G280" s="1" t="s">
        <v>79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1376.582066919467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1514.5048839173937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0.21797771146320838</v>
      </c>
      <c r="R280" s="1">
        <v>53</v>
      </c>
      <c r="S280" s="1">
        <v>64</v>
      </c>
      <c r="T280" s="1">
        <v>0</v>
      </c>
      <c r="U280" s="1">
        <f>Games[[#This Row],[PointsFor]]-Games[[#This Row],[PointsAgainst]]</f>
        <v>-11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0.39449447875734639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73.3</v>
      </c>
      <c r="Z280" s="4">
        <f>Games[[#This Row],[K]]*Games[[#This Row],[POMult]]</f>
        <v>73.3</v>
      </c>
      <c r="AA280" s="4">
        <f>(Games[[#This Row],[Keff]]*Games[[#This Row],[MOVMult]])*(Games[[#This Row],[Result]]-Games[[#This Row],[ExpectedWin%]])</f>
        <v>-6.3031405686003472</v>
      </c>
      <c r="AB280" s="4">
        <f>Games[[#This Row],[PreGmRate]]+Games[[#This Row],[RatingChange]]</f>
        <v>1370.2789263508666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36715</v>
      </c>
      <c r="B281" s="2">
        <v>2000</v>
      </c>
      <c r="C281" s="2">
        <f>COUNTIFS(Games[Team],Games[[#This Row],[Team]],Games[Season],Games[[#This Row],[Season]],Games[Date],"&lt;=" &amp; Games[[#This Row],[Date]])</f>
        <v>18</v>
      </c>
      <c r="D281" s="2" t="s">
        <v>23</v>
      </c>
      <c r="E281" s="2" t="s">
        <v>29</v>
      </c>
      <c r="F281" s="1" t="s">
        <v>79</v>
      </c>
      <c r="G281" s="1" t="s">
        <v>87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1514.5048839173937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1376.582066919467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0.78202228853679168</v>
      </c>
      <c r="R281" s="1">
        <v>64</v>
      </c>
      <c r="S281" s="1">
        <v>53</v>
      </c>
      <c r="T281" s="1">
        <v>0</v>
      </c>
      <c r="U281" s="1">
        <f>Games[[#This Row],[PointsFor]]-Games[[#This Row],[PointsAgainst]]</f>
        <v>11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0.39449447875734639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73.3</v>
      </c>
      <c r="Z281" s="4">
        <f>Games[[#This Row],[K]]*Games[[#This Row],[POMult]]</f>
        <v>73.3</v>
      </c>
      <c r="AA281" s="4">
        <f>(Games[[#This Row],[Keff]]*Games[[#This Row],[MOVMult]])*(Games[[#This Row],[Result]]-Games[[#This Row],[ExpectedWin%]])</f>
        <v>6.3031405686003454</v>
      </c>
      <c r="AB281" s="4">
        <f>Games[[#This Row],[PreGmRate]]+Games[[#This Row],[RatingChange]]</f>
        <v>1520.8080244859941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36715</v>
      </c>
      <c r="B282" s="2">
        <v>2000</v>
      </c>
      <c r="C282" s="2">
        <f>COUNTIFS(Games[Team],Games[[#This Row],[Team]],Games[Season],Games[[#This Row],[Season]],Games[Date],"&lt;=" &amp; Games[[#This Row],[Date]])</f>
        <v>17</v>
      </c>
      <c r="D282" s="2" t="s">
        <v>23</v>
      </c>
      <c r="E282" s="2" t="s">
        <v>29</v>
      </c>
      <c r="F282" s="1" t="s">
        <v>75</v>
      </c>
      <c r="G282" s="1" t="s">
        <v>45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2" s="2">
        <f>Games[[#This Row],[DaysOff]]-Games[[#This Row],[OppDaysOff]]</f>
        <v>1</v>
      </c>
      <c r="L282" s="2">
        <f>Games[[#This Row],[OppDaysOff]]-Games[[#This Row],[DaysOff]]</f>
        <v>-1</v>
      </c>
      <c r="M282" s="1">
        <f>MAX(-16, MIN(16, Games[[#This Row],[RestDiff]]*8))</f>
        <v>8</v>
      </c>
      <c r="N282" s="1">
        <f>MAX(-16, MIN(16, Games[[#This Row],[OppRestDiff]]*8))</f>
        <v>-8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1470.0891147978648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1592.7518063570926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0.25020060554183027</v>
      </c>
      <c r="R282" s="1">
        <v>56</v>
      </c>
      <c r="S282" s="1">
        <v>78</v>
      </c>
      <c r="T282" s="1">
        <v>0</v>
      </c>
      <c r="U282" s="1">
        <f>Games[[#This Row],[PointsFor]]-Games[[#This Row],[PointsAgainst]]</f>
        <v>-22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0.54622195832296672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73.45</v>
      </c>
      <c r="Z282" s="4">
        <f>Games[[#This Row],[K]]*Games[[#This Row],[POMult]]</f>
        <v>73.45</v>
      </c>
      <c r="AA282" s="4">
        <f>(Games[[#This Row],[Keff]]*Games[[#This Row],[MOVMult]])*(Games[[#This Row],[Result]]-Games[[#This Row],[ExpectedWin%]])</f>
        <v>-10.038049004613189</v>
      </c>
      <c r="AB282" s="4">
        <f>Games[[#This Row],[PreGmRate]]+Games[[#This Row],[RatingChange]]</f>
        <v>1460.0510657932516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36715</v>
      </c>
      <c r="B283" s="2">
        <v>2000</v>
      </c>
      <c r="C283" s="2">
        <f>COUNTIFS(Games[Team],Games[[#This Row],[Team]],Games[Season],Games[[#This Row],[Season]],Games[Date],"&lt;=" &amp; Games[[#This Row],[Date]])</f>
        <v>19</v>
      </c>
      <c r="D283" s="2" t="s">
        <v>23</v>
      </c>
      <c r="E283" s="2" t="s">
        <v>29</v>
      </c>
      <c r="F283" s="1" t="s">
        <v>45</v>
      </c>
      <c r="G283" s="1" t="s">
        <v>75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-1</v>
      </c>
      <c r="L283" s="2">
        <f>Games[[#This Row],[OppDaysOff]]-Games[[#This Row],[DaysOff]]</f>
        <v>1</v>
      </c>
      <c r="M283" s="1">
        <f>MAX(-16, MIN(16, Games[[#This Row],[RestDiff]]*8))</f>
        <v>-8</v>
      </c>
      <c r="N283" s="1">
        <f>MAX(-16, MIN(16, Games[[#This Row],[OppRestDiff]]*8))</f>
        <v>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1592.7518063570926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1470.0891147978648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0.74979939445816968</v>
      </c>
      <c r="R283" s="1">
        <v>78</v>
      </c>
      <c r="S283" s="1">
        <v>56</v>
      </c>
      <c r="T283" s="1">
        <v>0</v>
      </c>
      <c r="U283" s="1">
        <f>Games[[#This Row],[PointsFor]]-Games[[#This Row],[PointsAgainst]]</f>
        <v>22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0.54622195832296672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73.150000000000006</v>
      </c>
      <c r="Z283" s="4">
        <f>Games[[#This Row],[K]]*Games[[#This Row],[POMult]]</f>
        <v>73.150000000000006</v>
      </c>
      <c r="AA283" s="4">
        <f>(Games[[#This Row],[Keff]]*Games[[#This Row],[MOVMult]])*(Games[[#This Row],[Result]]-Games[[#This Row],[ExpectedWin%]])</f>
        <v>9.9970494851933989</v>
      </c>
      <c r="AB283" s="4">
        <f>Games[[#This Row],[PreGmRate]]+Games[[#This Row],[RatingChange]]</f>
        <v>1602.748855842286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36716</v>
      </c>
      <c r="B284" s="2">
        <v>2000</v>
      </c>
      <c r="C284" s="2">
        <f>COUNTIFS(Games[Team],Games[[#This Row],[Team]],Games[Season],Games[[#This Row],[Season]],Games[Date],"&lt;=" &amp; Games[[#This Row],[Date]])</f>
        <v>19</v>
      </c>
      <c r="D284" s="2" t="s">
        <v>23</v>
      </c>
      <c r="E284" s="2" t="s">
        <v>29</v>
      </c>
      <c r="F284" s="1" t="s">
        <v>79</v>
      </c>
      <c r="G284" s="1" t="s">
        <v>77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-1</v>
      </c>
      <c r="L284" s="2">
        <f>Games[[#This Row],[OppDaysOff]]-Games[[#This Row],[DaysOff]]</f>
        <v>1</v>
      </c>
      <c r="M284" s="1">
        <f>MAX(-16, MIN(16, Games[[#This Row],[RestDiff]]*8))</f>
        <v>-8</v>
      </c>
      <c r="N284" s="1">
        <f>MAX(-16, MIN(16, Games[[#This Row],[OppRestDiff]]*8))</f>
        <v>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1520.8080244859941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1478.466550796157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0.41777616826689901</v>
      </c>
      <c r="R284" s="1">
        <v>68</v>
      </c>
      <c r="S284" s="1">
        <v>62</v>
      </c>
      <c r="T284" s="1">
        <v>0</v>
      </c>
      <c r="U284" s="1">
        <f>Games[[#This Row],[PointsFor]]-Games[[#This Row],[PointsAgainst]]</f>
        <v>6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0.33930841257130157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73.150000000000006</v>
      </c>
      <c r="Z284" s="4">
        <f>Games[[#This Row],[K]]*Games[[#This Row],[POMult]]</f>
        <v>73.150000000000006</v>
      </c>
      <c r="AA284" s="4">
        <f>(Games[[#This Row],[Keff]]*Games[[#This Row],[MOVMult]])*(Games[[#This Row],[Result]]-Games[[#This Row],[ExpectedWin%]])</f>
        <v>14.451034436393336</v>
      </c>
      <c r="AB284" s="4">
        <f>Games[[#This Row],[PreGmRate]]+Games[[#This Row],[RatingChange]]</f>
        <v>1535.2590589223873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36716</v>
      </c>
      <c r="B285" s="2">
        <v>2000</v>
      </c>
      <c r="C285" s="2">
        <f>COUNTIFS(Games[Team],Games[[#This Row],[Team]],Games[Season],Games[[#This Row],[Season]],Games[Date],"&lt;=" &amp; Games[[#This Row],[Date]])</f>
        <v>18</v>
      </c>
      <c r="D285" s="2" t="s">
        <v>23</v>
      </c>
      <c r="E285" s="2" t="s">
        <v>29</v>
      </c>
      <c r="F285" s="1" t="s">
        <v>77</v>
      </c>
      <c r="G285" s="1" t="s">
        <v>79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5" s="2">
        <f>Games[[#This Row],[DaysOff]]-Games[[#This Row],[OppDaysOff]]</f>
        <v>1</v>
      </c>
      <c r="L285" s="2">
        <f>Games[[#This Row],[OppDaysOff]]-Games[[#This Row],[DaysOff]]</f>
        <v>-1</v>
      </c>
      <c r="M285" s="1">
        <f>MAX(-16, MIN(16, Games[[#This Row],[RestDiff]]*8))</f>
        <v>8</v>
      </c>
      <c r="N285" s="1">
        <f>MAX(-16, MIN(16, Games[[#This Row],[OppRestDiff]]*8))</f>
        <v>-8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1478.466550796157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1520.8080244859941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0.5822238317331011</v>
      </c>
      <c r="R285" s="1">
        <v>62</v>
      </c>
      <c r="S285" s="1">
        <v>68</v>
      </c>
      <c r="T285" s="1">
        <v>0</v>
      </c>
      <c r="U285" s="1">
        <f>Games[[#This Row],[PointsFor]]-Games[[#This Row],[PointsAgainst]]</f>
        <v>-6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0.33930841257130157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73.3</v>
      </c>
      <c r="Z285" s="4">
        <f>Games[[#This Row],[K]]*Games[[#This Row],[POMult]]</f>
        <v>73.3</v>
      </c>
      <c r="AA285" s="4">
        <f>(Games[[#This Row],[Keff]]*Games[[#This Row],[MOVMult]])*(Games[[#This Row],[Result]]-Games[[#This Row],[ExpectedWin%]])</f>
        <v>-14.480667453009318</v>
      </c>
      <c r="AB285" s="4">
        <f>Games[[#This Row],[PreGmRate]]+Games[[#This Row],[RatingChange]]</f>
        <v>1463.9858833431476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36716</v>
      </c>
      <c r="B286" s="2">
        <v>2000</v>
      </c>
      <c r="C286" s="2">
        <f>COUNTIFS(Games[Team],Games[[#This Row],[Team]],Games[Season],Games[[#This Row],[Season]],Games[Date],"&lt;=" &amp; Games[[#This Row],[Date]])</f>
        <v>19</v>
      </c>
      <c r="D286" s="2" t="s">
        <v>23</v>
      </c>
      <c r="E286" s="2" t="s">
        <v>29</v>
      </c>
      <c r="F286" s="1" t="s">
        <v>43</v>
      </c>
      <c r="G286" s="1" t="s">
        <v>71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6" s="2">
        <f>Games[[#This Row],[DaysOff]]-Games[[#This Row],[OppDaysOff]]</f>
        <v>-1</v>
      </c>
      <c r="L286" s="2">
        <f>Games[[#This Row],[OppDaysOff]]-Games[[#This Row],[DaysOff]]</f>
        <v>1</v>
      </c>
      <c r="M286" s="1">
        <f>MAX(-16, MIN(16, Games[[#This Row],[RestDiff]]*8))</f>
        <v>-8</v>
      </c>
      <c r="N286" s="1">
        <f>MAX(-16, MIN(16, Games[[#This Row],[OppRestDiff]]*8))</f>
        <v>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1498.8933422341065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1672.8011905746416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0.1712576275615823</v>
      </c>
      <c r="R286" s="1">
        <v>72</v>
      </c>
      <c r="S286" s="1">
        <v>92</v>
      </c>
      <c r="T286" s="1">
        <v>0</v>
      </c>
      <c r="U286" s="1">
        <f>Games[[#This Row],[PointsFor]]-Games[[#This Row],[PointsAgainst]]</f>
        <v>-20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0.50211870582430662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73.150000000000006</v>
      </c>
      <c r="Z286" s="4">
        <f>Games[[#This Row],[K]]*Games[[#This Row],[POMult]]</f>
        <v>73.150000000000006</v>
      </c>
      <c r="AA286" s="4">
        <f>(Games[[#This Row],[Keff]]*Games[[#This Row],[MOVMult]])*(Games[[#This Row],[Result]]-Games[[#This Row],[ExpectedWin%]])</f>
        <v>-6.2902898056517502</v>
      </c>
      <c r="AB286" s="4">
        <f>Games[[#This Row],[PreGmRate]]+Games[[#This Row],[RatingChange]]</f>
        <v>1492.6030524284547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36716</v>
      </c>
      <c r="B287" s="2">
        <v>2000</v>
      </c>
      <c r="C287" s="2">
        <f>COUNTIFS(Games[Team],Games[[#This Row],[Team]],Games[Season],Games[[#This Row],[Season]],Games[Date],"&lt;=" &amp; Games[[#This Row],[Date]])</f>
        <v>18</v>
      </c>
      <c r="D287" s="2" t="s">
        <v>23</v>
      </c>
      <c r="E287" s="2" t="s">
        <v>29</v>
      </c>
      <c r="F287" s="1" t="s">
        <v>71</v>
      </c>
      <c r="G287" s="1" t="s">
        <v>43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1</v>
      </c>
      <c r="L287" s="2">
        <f>Games[[#This Row],[OppDaysOff]]-Games[[#This Row],[DaysOff]]</f>
        <v>-1</v>
      </c>
      <c r="M287" s="1">
        <f>MAX(-16, MIN(16, Games[[#This Row],[RestDiff]]*8))</f>
        <v>8</v>
      </c>
      <c r="N287" s="1">
        <f>MAX(-16, MIN(16, Games[[#This Row],[OppRestDiff]]*8))</f>
        <v>-8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1672.8011905746416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1498.8933422341065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0.82874237243841775</v>
      </c>
      <c r="R287" s="1">
        <v>92</v>
      </c>
      <c r="S287" s="1">
        <v>72</v>
      </c>
      <c r="T287" s="1">
        <v>0</v>
      </c>
      <c r="U287" s="1">
        <f>Games[[#This Row],[PointsFor]]-Games[[#This Row],[PointsAgainst]]</f>
        <v>20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0.50211870582430662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73.3</v>
      </c>
      <c r="Z287" s="4">
        <f>Games[[#This Row],[K]]*Games[[#This Row],[POMult]]</f>
        <v>73.3</v>
      </c>
      <c r="AA287" s="4">
        <f>(Games[[#This Row],[Keff]]*Games[[#This Row],[MOVMult]])*(Games[[#This Row],[Result]]-Games[[#This Row],[ExpectedWin%]])</f>
        <v>6.3031885543988109</v>
      </c>
      <c r="AB287" s="4">
        <f>Games[[#This Row],[PreGmRate]]+Games[[#This Row],[RatingChange]]</f>
        <v>1679.1043791290404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36716</v>
      </c>
      <c r="B288" s="2">
        <v>2000</v>
      </c>
      <c r="C288" s="2">
        <f>COUNTIFS(Games[Team],Games[[#This Row],[Team]],Games[Season],Games[[#This Row],[Season]],Games[Date],"&lt;=" &amp; Games[[#This Row],[Date]])</f>
        <v>20</v>
      </c>
      <c r="D288" s="2" t="s">
        <v>23</v>
      </c>
      <c r="E288" s="2" t="s">
        <v>29</v>
      </c>
      <c r="F288" s="1" t="s">
        <v>2</v>
      </c>
      <c r="G288" s="1" t="s">
        <v>80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1713.9416785909007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1517.2587539582075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0.65670731870060384</v>
      </c>
      <c r="R288" s="1">
        <v>70</v>
      </c>
      <c r="S288" s="1">
        <v>60</v>
      </c>
      <c r="T288" s="1">
        <v>0</v>
      </c>
      <c r="U288" s="1">
        <f>Games[[#This Row],[PointsFor]]-Games[[#This Row],[PointsAgainst]]</f>
        <v>10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0.3635439585060245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73</v>
      </c>
      <c r="Z288" s="4">
        <f>Games[[#This Row],[K]]*Games[[#This Row],[POMult]]</f>
        <v>73</v>
      </c>
      <c r="AA288" s="4">
        <f>(Games[[#This Row],[Keff]]*Games[[#This Row],[MOVMult]])*(Games[[#This Row],[Result]]-Games[[#This Row],[ExpectedWin%]])</f>
        <v>9.1105445608582585</v>
      </c>
      <c r="AB288" s="4">
        <f>Games[[#This Row],[PreGmRate]]+Games[[#This Row],[RatingChange]]</f>
        <v>1723.0522231517589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36716</v>
      </c>
      <c r="B289" s="2">
        <v>2000</v>
      </c>
      <c r="C289" s="2">
        <f>COUNTIFS(Games[Team],Games[[#This Row],[Team]],Games[Season],Games[[#This Row],[Season]],Games[Date],"&lt;=" &amp; Games[[#This Row],[Date]])</f>
        <v>18</v>
      </c>
      <c r="D289" s="2" t="s">
        <v>23</v>
      </c>
      <c r="E289" s="2" t="s">
        <v>29</v>
      </c>
      <c r="F289" s="1" t="s">
        <v>80</v>
      </c>
      <c r="G289" s="1" t="s">
        <v>2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1517.2587539582075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1713.9416785909007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0.34329268129939611</v>
      </c>
      <c r="R289" s="1">
        <v>60</v>
      </c>
      <c r="S289" s="1">
        <v>70</v>
      </c>
      <c r="T289" s="1">
        <v>0</v>
      </c>
      <c r="U289" s="1">
        <f>Games[[#This Row],[PointsFor]]-Games[[#This Row],[PointsAgainst]]</f>
        <v>-10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0.3635439585060245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73.3</v>
      </c>
      <c r="Z289" s="4">
        <f>Games[[#This Row],[K]]*Games[[#This Row],[POMult]]</f>
        <v>73.3</v>
      </c>
      <c r="AA289" s="4">
        <f>(Games[[#This Row],[Keff]]*Games[[#This Row],[MOVMult]])*(Games[[#This Row],[Result]]-Games[[#This Row],[ExpectedWin%]])</f>
        <v>-9.1479851549439761</v>
      </c>
      <c r="AB289" s="4">
        <f>Games[[#This Row],[PreGmRate]]+Games[[#This Row],[RatingChange]]</f>
        <v>1508.1107688032635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36716</v>
      </c>
      <c r="B290" s="2">
        <v>2000</v>
      </c>
      <c r="C290" s="2">
        <f>COUNTIFS(Games[Team],Games[[#This Row],[Team]],Games[Season],Games[[#This Row],[Season]],Games[Date],"&lt;=" &amp; Games[[#This Row],[Date]])</f>
        <v>18</v>
      </c>
      <c r="D290" s="2" t="s">
        <v>23</v>
      </c>
      <c r="E290" s="2" t="s">
        <v>29</v>
      </c>
      <c r="F290" s="1" t="s">
        <v>75</v>
      </c>
      <c r="G290" s="1" t="s">
        <v>89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-1</v>
      </c>
      <c r="L290" s="2">
        <f>Games[[#This Row],[OppDaysOff]]-Games[[#This Row],[DaysOff]]</f>
        <v>1</v>
      </c>
      <c r="M290" s="1">
        <f>MAX(-16, MIN(16, Games[[#This Row],[RestDiff]]*8))</f>
        <v>-8</v>
      </c>
      <c r="N290" s="1">
        <f>MAX(-16, MIN(16, Games[[#This Row],[OppRestDiff]]*8))</f>
        <v>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1460.0510657932516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1430.1869763093562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0.40041535649089133</v>
      </c>
      <c r="R290" s="1">
        <v>58</v>
      </c>
      <c r="S290" s="1">
        <v>75</v>
      </c>
      <c r="T290" s="1">
        <v>0</v>
      </c>
      <c r="U290" s="1">
        <f>Games[[#This Row],[PointsFor]]-Games[[#This Row],[PointsAgainst]]</f>
        <v>-17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0.51951308145481334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73.3</v>
      </c>
      <c r="Z290" s="4">
        <f>Games[[#This Row],[K]]*Games[[#This Row],[POMult]]</f>
        <v>73.3</v>
      </c>
      <c r="AA290" s="4">
        <f>(Games[[#This Row],[Keff]]*Games[[#This Row],[MOVMult]])*(Games[[#This Row],[Result]]-Games[[#This Row],[ExpectedWin%]])</f>
        <v>-15.247940451719693</v>
      </c>
      <c r="AB290" s="4">
        <f>Games[[#This Row],[PreGmRate]]+Games[[#This Row],[RatingChange]]</f>
        <v>1444.803125341532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36716</v>
      </c>
      <c r="B291" s="2">
        <v>2000</v>
      </c>
      <c r="C291" s="2">
        <f>COUNTIFS(Games[Team],Games[[#This Row],[Team]],Games[Season],Games[[#This Row],[Season]],Games[Date],"&lt;=" &amp; Games[[#This Row],[Date]])</f>
        <v>17</v>
      </c>
      <c r="D291" s="2" t="s">
        <v>23</v>
      </c>
      <c r="E291" s="2" t="s">
        <v>29</v>
      </c>
      <c r="F291" s="1" t="s">
        <v>89</v>
      </c>
      <c r="G291" s="1" t="s">
        <v>75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1" s="2">
        <f>Games[[#This Row],[DaysOff]]-Games[[#This Row],[OppDaysOff]]</f>
        <v>1</v>
      </c>
      <c r="L291" s="2">
        <f>Games[[#This Row],[OppDaysOff]]-Games[[#This Row],[DaysOff]]</f>
        <v>-1</v>
      </c>
      <c r="M291" s="1">
        <f>MAX(-16, MIN(16, Games[[#This Row],[RestDiff]]*8))</f>
        <v>8</v>
      </c>
      <c r="N291" s="1">
        <f>MAX(-16, MIN(16, Games[[#This Row],[OppRestDiff]]*8))</f>
        <v>-8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1430.1869763093562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1460.0510657932516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0.59958464350910867</v>
      </c>
      <c r="R291" s="1">
        <v>75</v>
      </c>
      <c r="S291" s="1">
        <v>58</v>
      </c>
      <c r="T291" s="1">
        <v>0</v>
      </c>
      <c r="U291" s="1">
        <f>Games[[#This Row],[PointsFor]]-Games[[#This Row],[PointsAgainst]]</f>
        <v>17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0.51951308145481334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73.45</v>
      </c>
      <c r="Z291" s="4">
        <f>Games[[#This Row],[K]]*Games[[#This Row],[POMult]]</f>
        <v>73.45</v>
      </c>
      <c r="AA291" s="4">
        <f>(Games[[#This Row],[Keff]]*Games[[#This Row],[MOVMult]])*(Games[[#This Row],[Result]]-Games[[#This Row],[ExpectedWin%]])</f>
        <v>15.279143604076555</v>
      </c>
      <c r="AB291" s="4">
        <f>Games[[#This Row],[PreGmRate]]+Games[[#This Row],[RatingChange]]</f>
        <v>1445.4661199134327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36717</v>
      </c>
      <c r="B292" s="2">
        <v>2000</v>
      </c>
      <c r="C292" s="2">
        <f>COUNTIFS(Games[Team],Games[[#This Row],[Team]],Games[Season],Games[[#This Row],[Season]],Games[Date],"&lt;=" &amp; Games[[#This Row],[Date]])</f>
        <v>19</v>
      </c>
      <c r="D292" s="2" t="s">
        <v>23</v>
      </c>
      <c r="E292" s="2" t="s">
        <v>29</v>
      </c>
      <c r="F292" s="1" t="s">
        <v>64</v>
      </c>
      <c r="G292" s="1" t="s">
        <v>1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1353.430786912962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1470.6038281920835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0.23902267941721611</v>
      </c>
      <c r="R292" s="1">
        <v>65</v>
      </c>
      <c r="S292" s="1">
        <v>72</v>
      </c>
      <c r="T292" s="1">
        <v>0</v>
      </c>
      <c r="U292" s="1">
        <f>Games[[#This Row],[PointsFor]]-Games[[#This Row],[PointsAgainst]]</f>
        <v>-7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0.33718318935019026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73.150000000000006</v>
      </c>
      <c r="Z292" s="4">
        <f>Games[[#This Row],[K]]*Games[[#This Row],[POMult]]</f>
        <v>73.150000000000006</v>
      </c>
      <c r="AA292" s="4">
        <f>(Games[[#This Row],[Keff]]*Games[[#This Row],[MOVMult]])*(Games[[#This Row],[Result]]-Games[[#This Row],[ExpectedWin%]])</f>
        <v>-5.8954825086294651</v>
      </c>
      <c r="AB292" s="4">
        <f>Games[[#This Row],[PreGmRate]]+Games[[#This Row],[RatingChange]]</f>
        <v>1347.5353044043327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36717</v>
      </c>
      <c r="B293" s="2">
        <v>2000</v>
      </c>
      <c r="C293" s="2">
        <f>COUNTIFS(Games[Team],Games[[#This Row],[Team]],Games[Season],Games[[#This Row],[Season]],Games[Date],"&lt;=" &amp; Games[[#This Row],[Date]])</f>
        <v>18</v>
      </c>
      <c r="D293" s="2" t="s">
        <v>23</v>
      </c>
      <c r="E293" s="2" t="s">
        <v>29</v>
      </c>
      <c r="F293" s="1" t="s">
        <v>1</v>
      </c>
      <c r="G293" s="1" t="s">
        <v>64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1470.6038281920835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1353.430786912962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0.76097732058278389</v>
      </c>
      <c r="R293" s="1">
        <v>72</v>
      </c>
      <c r="S293" s="1">
        <v>65</v>
      </c>
      <c r="T293" s="1">
        <v>0</v>
      </c>
      <c r="U293" s="1">
        <f>Games[[#This Row],[PointsFor]]-Games[[#This Row],[PointsAgainst]]</f>
        <v>7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0.33718318935019026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73.3</v>
      </c>
      <c r="Z293" s="4">
        <f>Games[[#This Row],[K]]*Games[[#This Row],[POMult]]</f>
        <v>73.3</v>
      </c>
      <c r="AA293" s="4">
        <f>(Games[[#This Row],[Keff]]*Games[[#This Row],[MOVMult]])*(Games[[#This Row],[Result]]-Games[[#This Row],[ExpectedWin%]])</f>
        <v>5.9075716730354024</v>
      </c>
      <c r="AB293" s="4">
        <f>Games[[#This Row],[PreGmRate]]+Games[[#This Row],[RatingChange]]</f>
        <v>1476.5113998651188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36717</v>
      </c>
      <c r="B294" s="2">
        <v>2000</v>
      </c>
      <c r="C294" s="2">
        <f>COUNTIFS(Games[Team],Games[[#This Row],[Team]],Games[Season],Games[[#This Row],[Season]],Games[Date],"&lt;=" &amp; Games[[#This Row],[Date]])</f>
        <v>19</v>
      </c>
      <c r="D294" s="2" t="s">
        <v>23</v>
      </c>
      <c r="E294" s="2" t="s">
        <v>29</v>
      </c>
      <c r="F294" s="1" t="s">
        <v>87</v>
      </c>
      <c r="G294" s="1" t="s">
        <v>83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1370.2789263508666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1413.1306500929825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0.32514706173408964</v>
      </c>
      <c r="R294" s="1">
        <v>42</v>
      </c>
      <c r="S294" s="1">
        <v>59</v>
      </c>
      <c r="T294" s="1">
        <v>0</v>
      </c>
      <c r="U294" s="1">
        <f>Games[[#This Row],[PointsFor]]-Games[[#This Row],[PointsAgainst]]</f>
        <v>-17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0.51408423924829427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73.150000000000006</v>
      </c>
      <c r="Z294" s="4">
        <f>Games[[#This Row],[K]]*Games[[#This Row],[POMult]]</f>
        <v>73.150000000000006</v>
      </c>
      <c r="AA294" s="4">
        <f>(Games[[#This Row],[Keff]]*Games[[#This Row],[MOVMult]])*(Games[[#This Row],[Result]]-Games[[#This Row],[ExpectedWin%]])</f>
        <v>-12.227240477884607</v>
      </c>
      <c r="AB294" s="4">
        <f>Games[[#This Row],[PreGmRate]]+Games[[#This Row],[RatingChange]]</f>
        <v>1358.051685872982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36717</v>
      </c>
      <c r="B295" s="2">
        <v>2000</v>
      </c>
      <c r="C295" s="2">
        <f>COUNTIFS(Games[Team],Games[[#This Row],[Team]],Games[Season],Games[[#This Row],[Season]],Games[Date],"&lt;=" &amp; Games[[#This Row],[Date]])</f>
        <v>19</v>
      </c>
      <c r="D295" s="2" t="s">
        <v>23</v>
      </c>
      <c r="E295" s="2" t="s">
        <v>29</v>
      </c>
      <c r="F295" s="1" t="s">
        <v>83</v>
      </c>
      <c r="G295" s="1" t="s">
        <v>87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1413.1306500929825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1370.2789263508666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0.67485293826591031</v>
      </c>
      <c r="R295" s="1">
        <v>59</v>
      </c>
      <c r="S295" s="1">
        <v>42</v>
      </c>
      <c r="T295" s="1">
        <v>0</v>
      </c>
      <c r="U295" s="1">
        <f>Games[[#This Row],[PointsFor]]-Games[[#This Row],[PointsAgainst]]</f>
        <v>17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0.51408423924829427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73.150000000000006</v>
      </c>
      <c r="Z295" s="4">
        <f>Games[[#This Row],[K]]*Games[[#This Row],[POMult]]</f>
        <v>73.150000000000006</v>
      </c>
      <c r="AA295" s="4">
        <f>(Games[[#This Row],[Keff]]*Games[[#This Row],[MOVMult]])*(Games[[#This Row],[Result]]-Games[[#This Row],[ExpectedWin%]])</f>
        <v>12.227240477884608</v>
      </c>
      <c r="AB295" s="4">
        <f>Games[[#This Row],[PreGmRate]]+Games[[#This Row],[RatingChange]]</f>
        <v>1425.3578905708671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36718</v>
      </c>
      <c r="B296" s="2">
        <v>2000</v>
      </c>
      <c r="C296" s="2">
        <f>COUNTIFS(Games[Team],Games[[#This Row],[Team]],Games[Season],Games[[#This Row],[Season]],Games[Date],"&lt;=" &amp; Games[[#This Row],[Date]])</f>
        <v>18</v>
      </c>
      <c r="D296" s="2" t="s">
        <v>23</v>
      </c>
      <c r="E296" s="2" t="s">
        <v>29</v>
      </c>
      <c r="F296" s="1" t="s">
        <v>89</v>
      </c>
      <c r="G296" s="1" t="s">
        <v>71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1445.4661199134327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1679.1043791290404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0.13842030649171155</v>
      </c>
      <c r="R296" s="1">
        <v>80</v>
      </c>
      <c r="S296" s="1">
        <v>77</v>
      </c>
      <c r="T296" s="1">
        <v>0</v>
      </c>
      <c r="U296" s="1">
        <f>Games[[#This Row],[PointsFor]]-Games[[#This Row],[PointsAgainst]]</f>
        <v>3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0.24289267050460331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73.3</v>
      </c>
      <c r="Z296" s="4">
        <f>Games[[#This Row],[K]]*Games[[#This Row],[POMult]]</f>
        <v>73.3</v>
      </c>
      <c r="AA296" s="4">
        <f>(Games[[#This Row],[Keff]]*Games[[#This Row],[MOVMult]])*(Games[[#This Row],[Result]]-Games[[#This Row],[ExpectedWin%]])</f>
        <v>15.339593078222533</v>
      </c>
      <c r="AB296" s="4">
        <f>Games[[#This Row],[PreGmRate]]+Games[[#This Row],[RatingChange]]</f>
        <v>1460.8057129916554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36718</v>
      </c>
      <c r="B297" s="2">
        <v>2000</v>
      </c>
      <c r="C297" s="2">
        <f>COUNTIFS(Games[Team],Games[[#This Row],[Team]],Games[Season],Games[[#This Row],[Season]],Games[Date],"&lt;=" &amp; Games[[#This Row],[Date]])</f>
        <v>19</v>
      </c>
      <c r="D297" s="2" t="s">
        <v>23</v>
      </c>
      <c r="E297" s="2" t="s">
        <v>29</v>
      </c>
      <c r="F297" s="1" t="s">
        <v>71</v>
      </c>
      <c r="G297" s="1" t="s">
        <v>89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1679.1043791290404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1445.4661199134327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0.86157969350828845</v>
      </c>
      <c r="R297" s="1">
        <v>77</v>
      </c>
      <c r="S297" s="1">
        <v>80</v>
      </c>
      <c r="T297" s="1">
        <v>0</v>
      </c>
      <c r="U297" s="1">
        <f>Games[[#This Row],[PointsFor]]-Games[[#This Row],[PointsAgainst]]</f>
        <v>-3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0.24289267050460331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73.150000000000006</v>
      </c>
      <c r="Z297" s="4">
        <f>Games[[#This Row],[K]]*Games[[#This Row],[POMult]]</f>
        <v>73.150000000000006</v>
      </c>
      <c r="AA297" s="4">
        <f>(Games[[#This Row],[Keff]]*Games[[#This Row],[MOVMult]])*(Games[[#This Row],[Result]]-Games[[#This Row],[ExpectedWin%]])</f>
        <v>-15.308202369331219</v>
      </c>
      <c r="AB297" s="4">
        <f>Games[[#This Row],[PreGmRate]]+Games[[#This Row],[RatingChange]]</f>
        <v>1663.7961767597092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36718</v>
      </c>
      <c r="B298" s="2">
        <v>2000</v>
      </c>
      <c r="C298" s="2">
        <f>COUNTIFS(Games[Team],Games[[#This Row],[Team]],Games[Season],Games[[#This Row],[Season]],Games[Date],"&lt;=" &amp; Games[[#This Row],[Date]])</f>
        <v>19</v>
      </c>
      <c r="D298" s="2" t="s">
        <v>23</v>
      </c>
      <c r="E298" s="2" t="s">
        <v>29</v>
      </c>
      <c r="F298" s="1" t="s">
        <v>80</v>
      </c>
      <c r="G298" s="1" t="s">
        <v>44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-1</v>
      </c>
      <c r="L298" s="2">
        <f>Games[[#This Row],[OppDaysOff]]-Games[[#This Row],[DaysOff]]</f>
        <v>1</v>
      </c>
      <c r="M298" s="1">
        <f>MAX(-16, MIN(16, Games[[#This Row],[RestDiff]]*8))</f>
        <v>-8</v>
      </c>
      <c r="N298" s="1">
        <f>MAX(-16, MIN(16, Games[[#This Row],[OppRestDiff]]*8))</f>
        <v>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1508.1107688032635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1592.2289802947951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0.25733437073360382</v>
      </c>
      <c r="R298" s="1">
        <v>54</v>
      </c>
      <c r="S298" s="1">
        <v>64</v>
      </c>
      <c r="T298" s="1">
        <v>0</v>
      </c>
      <c r="U298" s="1">
        <f>Games[[#This Row],[PointsFor]]-Games[[#This Row],[PointsAgainst]]</f>
        <v>-10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0.39541191352544669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73.150000000000006</v>
      </c>
      <c r="Z298" s="4">
        <f>Games[[#This Row],[K]]*Games[[#This Row],[POMult]]</f>
        <v>73.150000000000006</v>
      </c>
      <c r="AA298" s="4">
        <f>(Games[[#This Row],[Keff]]*Games[[#This Row],[MOVMult]])*(Games[[#This Row],[Result]]-Games[[#This Row],[ExpectedWin%]])</f>
        <v>-7.4432375055699396</v>
      </c>
      <c r="AB298" s="4">
        <f>Games[[#This Row],[PreGmRate]]+Games[[#This Row],[RatingChange]]</f>
        <v>1500.6675312976936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36718</v>
      </c>
      <c r="B299" s="2">
        <v>2000</v>
      </c>
      <c r="C299" s="2">
        <f>COUNTIFS(Games[Team],Games[[#This Row],[Team]],Games[Season],Games[[#This Row],[Season]],Games[Date],"&lt;=" &amp; Games[[#This Row],[Date]])</f>
        <v>18</v>
      </c>
      <c r="D299" s="2" t="s">
        <v>23</v>
      </c>
      <c r="E299" s="2" t="s">
        <v>29</v>
      </c>
      <c r="F299" s="1" t="s">
        <v>44</v>
      </c>
      <c r="G299" s="1" t="s">
        <v>80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1</v>
      </c>
      <c r="L299" s="2">
        <f>Games[[#This Row],[OppDaysOff]]-Games[[#This Row],[DaysOff]]</f>
        <v>-1</v>
      </c>
      <c r="M299" s="1">
        <f>MAX(-16, MIN(16, Games[[#This Row],[RestDiff]]*8))</f>
        <v>8</v>
      </c>
      <c r="N299" s="1">
        <f>MAX(-16, MIN(16, Games[[#This Row],[OppRestDiff]]*8))</f>
        <v>-8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1592.2289802947951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1508.1107688032635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0.74266562926639612</v>
      </c>
      <c r="R299" s="1">
        <v>64</v>
      </c>
      <c r="S299" s="1">
        <v>54</v>
      </c>
      <c r="T299" s="1">
        <v>0</v>
      </c>
      <c r="U299" s="1">
        <f>Games[[#This Row],[PointsFor]]-Games[[#This Row],[PointsAgainst]]</f>
        <v>10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0.39541191352544669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73.3</v>
      </c>
      <c r="Z299" s="4">
        <f>Games[[#This Row],[K]]*Games[[#This Row],[POMult]]</f>
        <v>73.3</v>
      </c>
      <c r="AA299" s="4">
        <f>(Games[[#This Row],[Keff]]*Games[[#This Row],[MOVMult]])*(Games[[#This Row],[Result]]-Games[[#This Row],[ExpectedWin%]])</f>
        <v>7.4585004669620858</v>
      </c>
      <c r="AB299" s="4">
        <f>Games[[#This Row],[PreGmRate]]+Games[[#This Row],[RatingChange]]</f>
        <v>1599.6874807617571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36719</v>
      </c>
      <c r="B300" s="2">
        <v>2000</v>
      </c>
      <c r="C300" s="2">
        <f>COUNTIFS(Games[Team],Games[[#This Row],[Team]],Games[Season],Games[[#This Row],[Season]],Games[Date],"&lt;=" &amp; Games[[#This Row],[Date]])</f>
        <v>20</v>
      </c>
      <c r="D300" s="2" t="s">
        <v>23</v>
      </c>
      <c r="E300" s="2" t="s">
        <v>29</v>
      </c>
      <c r="F300" s="1" t="s">
        <v>79</v>
      </c>
      <c r="G300" s="1" t="s">
        <v>1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1</v>
      </c>
      <c r="L300" s="2">
        <f>Games[[#This Row],[OppDaysOff]]-Games[[#This Row],[DaysOff]]</f>
        <v>-1</v>
      </c>
      <c r="M300" s="1">
        <f>MAX(-16, MIN(16, Games[[#This Row],[RestDiff]]*8))</f>
        <v>8</v>
      </c>
      <c r="N300" s="1">
        <f>MAX(-16, MIN(16, Games[[#This Row],[OppRestDiff]]*8))</f>
        <v>-8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1535.2590589223873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1476.5113998651188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0.48668795775981077</v>
      </c>
      <c r="R300" s="1">
        <v>72</v>
      </c>
      <c r="S300" s="1">
        <v>74</v>
      </c>
      <c r="T300" s="1">
        <v>1</v>
      </c>
      <c r="U300" s="1">
        <f>Games[[#This Row],[PointsFor]]-Games[[#This Row],[PointsAgainst]]</f>
        <v>-2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0.22980668475768168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73</v>
      </c>
      <c r="Z300" s="4">
        <f>Games[[#This Row],[K]]*Games[[#This Row],[POMult]]</f>
        <v>73</v>
      </c>
      <c r="AA300" s="4">
        <f>(Games[[#This Row],[Keff]]*Games[[#This Row],[MOVMult]])*(Games[[#This Row],[Result]]-Games[[#This Row],[ExpectedWin%]])</f>
        <v>-8.1646226641516186</v>
      </c>
      <c r="AB300" s="4">
        <f>Games[[#This Row],[PreGmRate]]+Games[[#This Row],[RatingChange]]</f>
        <v>1527.0944362582356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36719</v>
      </c>
      <c r="B301" s="2">
        <v>2000</v>
      </c>
      <c r="C301" s="2">
        <f>COUNTIFS(Games[Team],Games[[#This Row],[Team]],Games[Season],Games[[#This Row],[Season]],Games[Date],"&lt;=" &amp; Games[[#This Row],[Date]])</f>
        <v>19</v>
      </c>
      <c r="D301" s="2" t="s">
        <v>23</v>
      </c>
      <c r="E301" s="2" t="s">
        <v>29</v>
      </c>
      <c r="F301" s="1" t="s">
        <v>1</v>
      </c>
      <c r="G301" s="1" t="s">
        <v>79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1" s="2">
        <f>Games[[#This Row],[DaysOff]]-Games[[#This Row],[OppDaysOff]]</f>
        <v>-1</v>
      </c>
      <c r="L301" s="2">
        <f>Games[[#This Row],[OppDaysOff]]-Games[[#This Row],[DaysOff]]</f>
        <v>1</v>
      </c>
      <c r="M301" s="1">
        <f>MAX(-16, MIN(16, Games[[#This Row],[RestDiff]]*8))</f>
        <v>-8</v>
      </c>
      <c r="N301" s="1">
        <f>MAX(-16, MIN(16, Games[[#This Row],[OppRestDiff]]*8))</f>
        <v>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1476.5113998651188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1535.2590589223873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0.51331204224018911</v>
      </c>
      <c r="R301" s="1">
        <v>74</v>
      </c>
      <c r="S301" s="1">
        <v>72</v>
      </c>
      <c r="T301" s="1">
        <v>1</v>
      </c>
      <c r="U301" s="1">
        <f>Games[[#This Row],[PointsFor]]-Games[[#This Row],[PointsAgainst]]</f>
        <v>2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0.22980668475768168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73.150000000000006</v>
      </c>
      <c r="Z301" s="4">
        <f>Games[[#This Row],[K]]*Games[[#This Row],[POMult]]</f>
        <v>73.150000000000006</v>
      </c>
      <c r="AA301" s="4">
        <f>(Games[[#This Row],[Keff]]*Games[[#This Row],[MOVMult]])*(Games[[#This Row],[Result]]-Games[[#This Row],[ExpectedWin%]])</f>
        <v>8.1813992860642593</v>
      </c>
      <c r="AB301" s="4">
        <f>Games[[#This Row],[PreGmRate]]+Games[[#This Row],[RatingChange]]</f>
        <v>1484.6927991511832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36719</v>
      </c>
      <c r="B302" s="2">
        <v>2000</v>
      </c>
      <c r="C302" s="2">
        <f>COUNTIFS(Games[Team],Games[[#This Row],[Team]],Games[Season],Games[[#This Row],[Season]],Games[Date],"&lt;=" &amp; Games[[#This Row],[Date]])</f>
        <v>20</v>
      </c>
      <c r="D302" s="2" t="s">
        <v>23</v>
      </c>
      <c r="E302" s="2" t="s">
        <v>29</v>
      </c>
      <c r="F302" s="1" t="s">
        <v>87</v>
      </c>
      <c r="G302" s="1" t="s">
        <v>77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2" s="2">
        <f>Games[[#This Row],[DaysOff]]-Games[[#This Row],[OppDaysOff]]</f>
        <v>-1</v>
      </c>
      <c r="L302" s="2">
        <f>Games[[#This Row],[OppDaysOff]]-Games[[#This Row],[DaysOff]]</f>
        <v>1</v>
      </c>
      <c r="M302" s="1">
        <f>MAX(-16, MIN(16, Games[[#This Row],[RestDiff]]*8))</f>
        <v>-8</v>
      </c>
      <c r="N302" s="1">
        <f>MAX(-16, MIN(16, Games[[#This Row],[OppRestDiff]]*8))</f>
        <v>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1358.051685872982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1463.9858833431476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0.23407323294915514</v>
      </c>
      <c r="R302" s="1">
        <v>56</v>
      </c>
      <c r="S302" s="1">
        <v>61</v>
      </c>
      <c r="T302" s="1">
        <v>0</v>
      </c>
      <c r="U302" s="1">
        <f>Games[[#This Row],[PointsFor]]-Games[[#This Row],[PointsAgainst]]</f>
        <v>-5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0.30484473974623222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73</v>
      </c>
      <c r="Z302" s="4">
        <f>Games[[#This Row],[K]]*Games[[#This Row],[POMult]]</f>
        <v>73</v>
      </c>
      <c r="AA302" s="4">
        <f>(Games[[#This Row],[Keff]]*Games[[#This Row],[MOVMult]])*(Games[[#This Row],[Result]]-Games[[#This Row],[ExpectedWin%]])</f>
        <v>-5.2089875459359396</v>
      </c>
      <c r="AB302" s="4">
        <f>Games[[#This Row],[PreGmRate]]+Games[[#This Row],[RatingChange]]</f>
        <v>1352.842698327046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36719</v>
      </c>
      <c r="B303" s="2">
        <v>2000</v>
      </c>
      <c r="C303" s="2">
        <f>COUNTIFS(Games[Team],Games[[#This Row],[Team]],Games[Season],Games[[#This Row],[Season]],Games[Date],"&lt;=" &amp; Games[[#This Row],[Date]])</f>
        <v>19</v>
      </c>
      <c r="D303" s="2" t="s">
        <v>23</v>
      </c>
      <c r="E303" s="2" t="s">
        <v>29</v>
      </c>
      <c r="F303" s="1" t="s">
        <v>77</v>
      </c>
      <c r="G303" s="1" t="s">
        <v>87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1</v>
      </c>
      <c r="L303" s="2">
        <f>Games[[#This Row],[OppDaysOff]]-Games[[#This Row],[DaysOff]]</f>
        <v>-1</v>
      </c>
      <c r="M303" s="1">
        <f>MAX(-16, MIN(16, Games[[#This Row],[RestDiff]]*8))</f>
        <v>8</v>
      </c>
      <c r="N303" s="1">
        <f>MAX(-16, MIN(16, Games[[#This Row],[OppRestDiff]]*8))</f>
        <v>-8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1463.9858833431476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1358.051685872982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0.76592676705084484</v>
      </c>
      <c r="R303" s="1">
        <v>61</v>
      </c>
      <c r="S303" s="1">
        <v>56</v>
      </c>
      <c r="T303" s="1">
        <v>0</v>
      </c>
      <c r="U303" s="1">
        <f>Games[[#This Row],[PointsFor]]-Games[[#This Row],[PointsAgainst]]</f>
        <v>5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0.30484473974623222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73.150000000000006</v>
      </c>
      <c r="Z303" s="4">
        <f>Games[[#This Row],[K]]*Games[[#This Row],[POMult]]</f>
        <v>73.150000000000006</v>
      </c>
      <c r="AA303" s="4">
        <f>(Games[[#This Row],[Keff]]*Games[[#This Row],[MOVMult]])*(Games[[#This Row],[Result]]-Games[[#This Row],[ExpectedWin%]])</f>
        <v>5.2196909450029327</v>
      </c>
      <c r="AB303" s="4">
        <f>Games[[#This Row],[PreGmRate]]+Games[[#This Row],[RatingChange]]</f>
        <v>1469.2055742881505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36719</v>
      </c>
      <c r="B304" s="2">
        <v>2000</v>
      </c>
      <c r="C304" s="2">
        <f>COUNTIFS(Games[Team],Games[[#This Row],[Team]],Games[Season],Games[[#This Row],[Season]],Games[Date],"&lt;=" &amp; Games[[#This Row],[Date]])</f>
        <v>20</v>
      </c>
      <c r="D304" s="2" t="s">
        <v>23</v>
      </c>
      <c r="E304" s="2" t="s">
        <v>29</v>
      </c>
      <c r="F304" s="1" t="s">
        <v>45</v>
      </c>
      <c r="G304" s="1" t="s">
        <v>2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1</v>
      </c>
      <c r="L304" s="2">
        <f>Games[[#This Row],[OppDaysOff]]-Games[[#This Row],[DaysOff]]</f>
        <v>-1</v>
      </c>
      <c r="M304" s="1">
        <f>MAX(-16, MIN(16, Games[[#This Row],[RestDiff]]*8))</f>
        <v>8</v>
      </c>
      <c r="N304" s="1">
        <f>MAX(-16, MIN(16, Games[[#This Row],[OppRestDiff]]*8))</f>
        <v>-8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1602.748855842286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1723.0522231517589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0.25275710657080225</v>
      </c>
      <c r="R304" s="1">
        <v>62</v>
      </c>
      <c r="S304" s="1">
        <v>77</v>
      </c>
      <c r="T304" s="1">
        <v>0</v>
      </c>
      <c r="U304" s="1">
        <f>Games[[#This Row],[PointsFor]]-Games[[#This Row],[PointsAgainst]]</f>
        <v>-15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0.45702953472289221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73</v>
      </c>
      <c r="Z304" s="4">
        <f>Games[[#This Row],[K]]*Games[[#This Row],[POMult]]</f>
        <v>73</v>
      </c>
      <c r="AA304" s="4">
        <f>(Games[[#This Row],[Keff]]*Games[[#This Row],[MOVMult]])*(Games[[#This Row],[Result]]-Games[[#This Row],[ExpectedWin%]])</f>
        <v>-8.4327747854189514</v>
      </c>
      <c r="AB304" s="4">
        <f>Games[[#This Row],[PreGmRate]]+Games[[#This Row],[RatingChange]]</f>
        <v>1594.316081056867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36719</v>
      </c>
      <c r="B305" s="2">
        <v>2000</v>
      </c>
      <c r="C305" s="2">
        <f>COUNTIFS(Games[Team],Games[[#This Row],[Team]],Games[Season],Games[[#This Row],[Season]],Games[Date],"&lt;=" &amp; Games[[#This Row],[Date]])</f>
        <v>21</v>
      </c>
      <c r="D305" s="2" t="s">
        <v>23</v>
      </c>
      <c r="E305" s="2" t="s">
        <v>29</v>
      </c>
      <c r="F305" s="1" t="s">
        <v>2</v>
      </c>
      <c r="G305" s="1" t="s">
        <v>45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5" s="2">
        <f>Games[[#This Row],[DaysOff]]-Games[[#This Row],[OppDaysOff]]</f>
        <v>-1</v>
      </c>
      <c r="L305" s="2">
        <f>Games[[#This Row],[OppDaysOff]]-Games[[#This Row],[DaysOff]]</f>
        <v>1</v>
      </c>
      <c r="M305" s="1">
        <f>MAX(-16, MIN(16, Games[[#This Row],[RestDiff]]*8))</f>
        <v>-8</v>
      </c>
      <c r="N305" s="1">
        <f>MAX(-16, MIN(16, Games[[#This Row],[OppRestDiff]]*8))</f>
        <v>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1723.0522231517589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1602.748855842286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0.74724289342919781</v>
      </c>
      <c r="R305" s="1">
        <v>77</v>
      </c>
      <c r="S305" s="1">
        <v>62</v>
      </c>
      <c r="T305" s="1">
        <v>0</v>
      </c>
      <c r="U305" s="1">
        <f>Games[[#This Row],[PointsFor]]-Games[[#This Row],[PointsAgainst]]</f>
        <v>15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0.45702953472289221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72.849999999999994</v>
      </c>
      <c r="Z305" s="4">
        <f>Games[[#This Row],[K]]*Games[[#This Row],[POMult]]</f>
        <v>72.849999999999994</v>
      </c>
      <c r="AA305" s="4">
        <f>(Games[[#This Row],[Keff]]*Games[[#This Row],[MOVMult]])*(Games[[#This Row],[Result]]-Games[[#This Row],[ExpectedWin%]])</f>
        <v>8.4154471659968539</v>
      </c>
      <c r="AB305" s="4">
        <f>Games[[#This Row],[PreGmRate]]+Games[[#This Row],[RatingChange]]</f>
        <v>1731.4676703177558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36719</v>
      </c>
      <c r="B306" s="2">
        <v>2000</v>
      </c>
      <c r="C306" s="2">
        <f>COUNTIFS(Games[Team],Games[[#This Row],[Team]],Games[Season],Games[[#This Row],[Season]],Games[Date],"&lt;=" &amp; Games[[#This Row],[Date]])</f>
        <v>20</v>
      </c>
      <c r="D306" s="2" t="s">
        <v>23</v>
      </c>
      <c r="E306" s="2" t="s">
        <v>29</v>
      </c>
      <c r="F306" s="1" t="s">
        <v>64</v>
      </c>
      <c r="G306" s="1" t="s">
        <v>66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6" s="2">
        <f>Games[[#This Row],[DaysOff]]-Games[[#This Row],[OppDaysOff]]</f>
        <v>-2</v>
      </c>
      <c r="L306" s="2">
        <f>Games[[#This Row],[OppDaysOff]]-Games[[#This Row],[DaysOff]]</f>
        <v>2</v>
      </c>
      <c r="M306" s="1">
        <f>MAX(-16, MIN(16, Games[[#This Row],[RestDiff]]*8))</f>
        <v>-16</v>
      </c>
      <c r="N306" s="1">
        <f>MAX(-16, MIN(16, Games[[#This Row],[OppRestDiff]]*8))</f>
        <v>16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1347.5353044043327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1527.6105879950821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0.15389846074839961</v>
      </c>
      <c r="R306" s="1">
        <v>70</v>
      </c>
      <c r="S306" s="1">
        <v>84</v>
      </c>
      <c r="T306" s="1">
        <v>0</v>
      </c>
      <c r="U306" s="1">
        <f>Games[[#This Row],[PointsFor]]-Games[[#This Row],[PointsAgainst]]</f>
        <v>-14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0.42398391681829228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73</v>
      </c>
      <c r="Z306" s="4">
        <f>Games[[#This Row],[K]]*Games[[#This Row],[POMult]]</f>
        <v>73</v>
      </c>
      <c r="AA306" s="4">
        <f>(Games[[#This Row],[Keff]]*Games[[#This Row],[MOVMult]])*(Games[[#This Row],[Result]]-Games[[#This Row],[ExpectedWin%]])</f>
        <v>-4.7632844691701255</v>
      </c>
      <c r="AB306" s="4">
        <f>Games[[#This Row],[PreGmRate]]+Games[[#This Row],[RatingChange]]</f>
        <v>1342.7720199351625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36719</v>
      </c>
      <c r="B307" s="2">
        <v>2000</v>
      </c>
      <c r="C307" s="2">
        <f>COUNTIFS(Games[Team],Games[[#This Row],[Team]],Games[Season],Games[[#This Row],[Season]],Games[Date],"&lt;=" &amp; Games[[#This Row],[Date]])</f>
        <v>20</v>
      </c>
      <c r="D307" s="2" t="s">
        <v>23</v>
      </c>
      <c r="E307" s="2" t="s">
        <v>29</v>
      </c>
      <c r="F307" s="1" t="s">
        <v>66</v>
      </c>
      <c r="G307" s="1" t="s">
        <v>64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2</v>
      </c>
      <c r="L307" s="2">
        <f>Games[[#This Row],[OppDaysOff]]-Games[[#This Row],[DaysOff]]</f>
        <v>-2</v>
      </c>
      <c r="M307" s="1">
        <f>MAX(-16, MIN(16, Games[[#This Row],[RestDiff]]*8))</f>
        <v>16</v>
      </c>
      <c r="N307" s="1">
        <f>MAX(-16, MIN(16, Games[[#This Row],[OppRestDiff]]*8))</f>
        <v>-16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1527.6105879950821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1347.5353044043327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0.84610153925160037</v>
      </c>
      <c r="R307" s="1">
        <v>84</v>
      </c>
      <c r="S307" s="1">
        <v>70</v>
      </c>
      <c r="T307" s="1">
        <v>0</v>
      </c>
      <c r="U307" s="1">
        <f>Games[[#This Row],[PointsFor]]-Games[[#This Row],[PointsAgainst]]</f>
        <v>14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0.42398391681829228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73</v>
      </c>
      <c r="Z307" s="4">
        <f>Games[[#This Row],[K]]*Games[[#This Row],[POMult]]</f>
        <v>73</v>
      </c>
      <c r="AA307" s="4">
        <f>(Games[[#This Row],[Keff]]*Games[[#This Row],[MOVMult]])*(Games[[#This Row],[Result]]-Games[[#This Row],[ExpectedWin%]])</f>
        <v>4.7632844691701264</v>
      </c>
      <c r="AB307" s="4">
        <f>Games[[#This Row],[PreGmRate]]+Games[[#This Row],[RatingChange]]</f>
        <v>1532.3738724642524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36719</v>
      </c>
      <c r="B308" s="2">
        <v>2000</v>
      </c>
      <c r="C308" s="2">
        <f>COUNTIFS(Games[Team],Games[[#This Row],[Team]],Games[Season],Games[[#This Row],[Season]],Games[Date],"&lt;=" &amp; Games[[#This Row],[Date]])</f>
        <v>19</v>
      </c>
      <c r="D308" s="2" t="s">
        <v>23</v>
      </c>
      <c r="E308" s="2" t="s">
        <v>29</v>
      </c>
      <c r="F308" s="1" t="s">
        <v>89</v>
      </c>
      <c r="G308" s="1" t="s">
        <v>43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8" s="2">
        <f>Games[[#This Row],[DaysOff]]-Games[[#This Row],[OppDaysOff]]</f>
        <v>-2</v>
      </c>
      <c r="L308" s="2">
        <f>Games[[#This Row],[OppDaysOff]]-Games[[#This Row],[DaysOff]]</f>
        <v>2</v>
      </c>
      <c r="M308" s="1">
        <f>MAX(-16, MIN(16, Games[[#This Row],[RestDiff]]*8))</f>
        <v>-16</v>
      </c>
      <c r="N308" s="1">
        <f>MAX(-16, MIN(16, Games[[#This Row],[OppRestDiff]]*8))</f>
        <v>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1460.8057129916554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1492.6030524284547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0.29926718917345208</v>
      </c>
      <c r="R308" s="1">
        <v>67</v>
      </c>
      <c r="S308" s="1">
        <v>76</v>
      </c>
      <c r="T308" s="1">
        <v>0</v>
      </c>
      <c r="U308" s="1">
        <f>Games[[#This Row],[PointsFor]]-Games[[#This Row],[PointsAgainst]]</f>
        <v>-9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0.39549186946566445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73.150000000000006</v>
      </c>
      <c r="Z308" s="4">
        <f>Games[[#This Row],[K]]*Games[[#This Row],[POMult]]</f>
        <v>73.150000000000006</v>
      </c>
      <c r="AA308" s="4">
        <f>(Games[[#This Row],[Keff]]*Games[[#This Row],[MOVMult]])*(Games[[#This Row],[Result]]-Games[[#This Row],[ExpectedWin%]])</f>
        <v>-8.657868689481246</v>
      </c>
      <c r="AB308" s="4">
        <f>Games[[#This Row],[PreGmRate]]+Games[[#This Row],[RatingChange]]</f>
        <v>1452.147844302174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36719</v>
      </c>
      <c r="B309" s="2">
        <v>2000</v>
      </c>
      <c r="C309" s="2">
        <f>COUNTIFS(Games[Team],Games[[#This Row],[Team]],Games[Season],Games[[#This Row],[Season]],Games[Date],"&lt;=" &amp; Games[[#This Row],[Date]])</f>
        <v>20</v>
      </c>
      <c r="D309" s="2" t="s">
        <v>23</v>
      </c>
      <c r="E309" s="2" t="s">
        <v>29</v>
      </c>
      <c r="F309" s="1" t="s">
        <v>43</v>
      </c>
      <c r="G309" s="1" t="s">
        <v>89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9" s="2">
        <f>Games[[#This Row],[DaysOff]]-Games[[#This Row],[OppDaysOff]]</f>
        <v>2</v>
      </c>
      <c r="L309" s="2">
        <f>Games[[#This Row],[OppDaysOff]]-Games[[#This Row],[DaysOff]]</f>
        <v>-2</v>
      </c>
      <c r="M309" s="1">
        <f>MAX(-16, MIN(16, Games[[#This Row],[RestDiff]]*8))</f>
        <v>16</v>
      </c>
      <c r="N309" s="1">
        <f>MAX(-16, MIN(16, Games[[#This Row],[OppRestDiff]]*8))</f>
        <v>-16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1492.6030524284547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1460.8057129916554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0.70073281082654792</v>
      </c>
      <c r="R309" s="1">
        <v>76</v>
      </c>
      <c r="S309" s="1">
        <v>67</v>
      </c>
      <c r="T309" s="1">
        <v>0</v>
      </c>
      <c r="U309" s="1">
        <f>Games[[#This Row],[PointsFor]]-Games[[#This Row],[PointsAgainst]]</f>
        <v>9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0.39549186946566445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73</v>
      </c>
      <c r="Z309" s="4">
        <f>Games[[#This Row],[K]]*Games[[#This Row],[POMult]]</f>
        <v>73</v>
      </c>
      <c r="AA309" s="4">
        <f>(Games[[#This Row],[Keff]]*Games[[#This Row],[MOVMult]])*(Games[[#This Row],[Result]]-Games[[#This Row],[ExpectedWin%]])</f>
        <v>8.640115028463855</v>
      </c>
      <c r="AB309" s="4">
        <f>Games[[#This Row],[PreGmRate]]+Games[[#This Row],[RatingChange]]</f>
        <v>1501.2431674569186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36719</v>
      </c>
      <c r="B310" s="2">
        <v>2000</v>
      </c>
      <c r="C310" s="2">
        <f>COUNTIFS(Games[Team],Games[[#This Row],[Team]],Games[Season],Games[[#This Row],[Season]],Games[Date],"&lt;=" &amp; Games[[#This Row],[Date]])</f>
        <v>18</v>
      </c>
      <c r="D310" s="2" t="s">
        <v>23</v>
      </c>
      <c r="E310" s="2" t="s">
        <v>29</v>
      </c>
      <c r="F310" s="1" t="s">
        <v>85</v>
      </c>
      <c r="G310" s="1" t="s">
        <v>75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0" s="2">
        <f>Games[[#This Row],[DaysOff]]-Games[[#This Row],[OppDaysOff]]</f>
        <v>1</v>
      </c>
      <c r="L310" s="2">
        <f>Games[[#This Row],[OppDaysOff]]-Games[[#This Row],[DaysOff]]</f>
        <v>-1</v>
      </c>
      <c r="M310" s="1">
        <f>MAX(-16, MIN(16, Games[[#This Row],[RestDiff]]*8))</f>
        <v>8</v>
      </c>
      <c r="N310" s="1">
        <f>MAX(-16, MIN(16, Games[[#This Row],[OppRestDiff]]*8))</f>
        <v>-8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1376.6396408726805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1444.803125341532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0.31349716801356553</v>
      </c>
      <c r="R310" s="1">
        <v>81</v>
      </c>
      <c r="S310" s="1">
        <v>58</v>
      </c>
      <c r="T310" s="1">
        <v>0</v>
      </c>
      <c r="U310" s="1">
        <f>Games[[#This Row],[PointsFor]]-Games[[#This Row],[PointsAgainst]]</f>
        <v>23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0.58226351106741603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73.3</v>
      </c>
      <c r="Z310" s="4">
        <f>Games[[#This Row],[K]]*Games[[#This Row],[POMult]]</f>
        <v>73.3</v>
      </c>
      <c r="AA310" s="4">
        <f>(Games[[#This Row],[Keff]]*Games[[#This Row],[MOVMult]])*(Games[[#This Row],[Result]]-Games[[#This Row],[ExpectedWin%]])</f>
        <v>29.299882764433679</v>
      </c>
      <c r="AB310" s="4">
        <f>Games[[#This Row],[PreGmRate]]+Games[[#This Row],[RatingChange]]</f>
        <v>1405.9395236371142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36719</v>
      </c>
      <c r="B311" s="2">
        <v>2000</v>
      </c>
      <c r="C311" s="2">
        <f>COUNTIFS(Games[Team],Games[[#This Row],[Team]],Games[Season],Games[[#This Row],[Season]],Games[Date],"&lt;=" &amp; Games[[#This Row],[Date]])</f>
        <v>19</v>
      </c>
      <c r="D311" s="2" t="s">
        <v>23</v>
      </c>
      <c r="E311" s="2" t="s">
        <v>29</v>
      </c>
      <c r="F311" s="1" t="s">
        <v>75</v>
      </c>
      <c r="G311" s="1" t="s">
        <v>85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1" s="2">
        <f>Games[[#This Row],[DaysOff]]-Games[[#This Row],[OppDaysOff]]</f>
        <v>-1</v>
      </c>
      <c r="L311" s="2">
        <f>Games[[#This Row],[OppDaysOff]]-Games[[#This Row],[DaysOff]]</f>
        <v>1</v>
      </c>
      <c r="M311" s="1">
        <f>MAX(-16, MIN(16, Games[[#This Row],[RestDiff]]*8))</f>
        <v>-8</v>
      </c>
      <c r="N311" s="1">
        <f>MAX(-16, MIN(16, Games[[#This Row],[OppRestDiff]]*8))</f>
        <v>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1444.803125341532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1376.6396408726805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0.68650283198643447</v>
      </c>
      <c r="R311" s="1">
        <v>58</v>
      </c>
      <c r="S311" s="1">
        <v>81</v>
      </c>
      <c r="T311" s="1">
        <v>0</v>
      </c>
      <c r="U311" s="1">
        <f>Games[[#This Row],[PointsFor]]-Games[[#This Row],[PointsAgainst]]</f>
        <v>-23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0.58226351106741603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73.150000000000006</v>
      </c>
      <c r="Z311" s="4">
        <f>Games[[#This Row],[K]]*Games[[#This Row],[POMult]]</f>
        <v>73.150000000000006</v>
      </c>
      <c r="AA311" s="4">
        <f>(Games[[#This Row],[Keff]]*Games[[#This Row],[MOVMult]])*(Games[[#This Row],[Result]]-Games[[#This Row],[ExpectedWin%]])</f>
        <v>-29.239923932037165</v>
      </c>
      <c r="AB311" s="4">
        <f>Games[[#This Row],[PreGmRate]]+Games[[#This Row],[RatingChange]]</f>
        <v>1415.5632014094949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36720</v>
      </c>
      <c r="B312" s="2">
        <v>2000</v>
      </c>
      <c r="C312" s="2">
        <f>COUNTIFS(Games[Team],Games[[#This Row],[Team]],Games[Season],Games[[#This Row],[Season]],Games[Date],"&lt;=" &amp; Games[[#This Row],[Date]])</f>
        <v>20</v>
      </c>
      <c r="D312" s="2" t="s">
        <v>23</v>
      </c>
      <c r="E312" s="2" t="s">
        <v>29</v>
      </c>
      <c r="F312" s="1" t="s">
        <v>75</v>
      </c>
      <c r="G312" s="1" t="s">
        <v>83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-2</v>
      </c>
      <c r="L312" s="2">
        <f>Games[[#This Row],[OppDaysOff]]-Games[[#This Row],[DaysOff]]</f>
        <v>2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1415.5632014094949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1425.3578905708671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0.32648364136486024</v>
      </c>
      <c r="R312" s="1">
        <v>60</v>
      </c>
      <c r="S312" s="1">
        <v>48</v>
      </c>
      <c r="T312" s="1">
        <v>0</v>
      </c>
      <c r="U312" s="1">
        <f>Games[[#This Row],[PointsFor]]-Games[[#This Row],[PointsAgainst]]</f>
        <v>12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0.45243654695762858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73</v>
      </c>
      <c r="Z312" s="4">
        <f>Games[[#This Row],[K]]*Games[[#This Row],[POMult]]</f>
        <v>73</v>
      </c>
      <c r="AA312" s="4">
        <f>(Games[[#This Row],[Keff]]*Games[[#This Row],[MOVMult]])*(Games[[#This Row],[Result]]-Games[[#This Row],[ExpectedWin%]])</f>
        <v>22.244809340286167</v>
      </c>
      <c r="AB312" s="4">
        <f>Games[[#This Row],[PreGmRate]]+Games[[#This Row],[RatingChange]]</f>
        <v>1437.808010749781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36720</v>
      </c>
      <c r="B313" s="2">
        <v>2000</v>
      </c>
      <c r="C313" s="2">
        <f>COUNTIFS(Games[Team],Games[[#This Row],[Team]],Games[Season],Games[[#This Row],[Season]],Games[Date],"&lt;=" &amp; Games[[#This Row],[Date]])</f>
        <v>20</v>
      </c>
      <c r="D313" s="2" t="s">
        <v>23</v>
      </c>
      <c r="E313" s="2" t="s">
        <v>29</v>
      </c>
      <c r="F313" s="1" t="s">
        <v>83</v>
      </c>
      <c r="G313" s="1" t="s">
        <v>75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3" s="2">
        <f>Games[[#This Row],[DaysOff]]-Games[[#This Row],[OppDaysOff]]</f>
        <v>2</v>
      </c>
      <c r="L313" s="2">
        <f>Games[[#This Row],[OppDaysOff]]-Games[[#This Row],[DaysOff]]</f>
        <v>-2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1425.3578905708671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1415.5632014094949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0.6735163586351397</v>
      </c>
      <c r="R313" s="1">
        <v>48</v>
      </c>
      <c r="S313" s="1">
        <v>60</v>
      </c>
      <c r="T313" s="1">
        <v>0</v>
      </c>
      <c r="U313" s="1">
        <f>Games[[#This Row],[PointsFor]]-Games[[#This Row],[PointsAgainst]]</f>
        <v>-12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0.45243654695762858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73</v>
      </c>
      <c r="Z313" s="4">
        <f>Games[[#This Row],[K]]*Games[[#This Row],[POMult]]</f>
        <v>73</v>
      </c>
      <c r="AA313" s="4">
        <f>(Games[[#This Row],[Keff]]*Games[[#This Row],[MOVMult]])*(Games[[#This Row],[Result]]-Games[[#This Row],[ExpectedWin%]])</f>
        <v>-22.244809340286164</v>
      </c>
      <c r="AB313" s="4">
        <f>Games[[#This Row],[PreGmRate]]+Games[[#This Row],[RatingChange]]</f>
        <v>1403.113081230581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36720</v>
      </c>
      <c r="B314" s="2">
        <v>2000</v>
      </c>
      <c r="C314" s="2">
        <f>COUNTIFS(Games[Team],Games[[#This Row],[Team]],Games[Season],Games[[#This Row],[Season]],Games[Date],"&lt;=" &amp; Games[[#This Row],[Date]])</f>
        <v>21</v>
      </c>
      <c r="D314" s="2" t="s">
        <v>23</v>
      </c>
      <c r="E314" s="2" t="s">
        <v>29</v>
      </c>
      <c r="F314" s="1" t="s">
        <v>45</v>
      </c>
      <c r="G314" s="1" t="s">
        <v>44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-1</v>
      </c>
      <c r="L314" s="2">
        <f>Games[[#This Row],[OppDaysOff]]-Games[[#This Row],[DaysOff]]</f>
        <v>1</v>
      </c>
      <c r="M314" s="1">
        <f>MAX(-16, MIN(16, Games[[#This Row],[RestDiff]]*8))</f>
        <v>-8</v>
      </c>
      <c r="N314" s="1">
        <f>MAX(-16, MIN(16, Games[[#This Row],[OppRestDiff]]*8))</f>
        <v>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1594.316081056867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1599.6874807617571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0.352842814863712</v>
      </c>
      <c r="R314" s="1">
        <v>64</v>
      </c>
      <c r="S314" s="1">
        <v>72</v>
      </c>
      <c r="T314" s="1">
        <v>0</v>
      </c>
      <c r="U314" s="1">
        <f>Games[[#This Row],[PointsFor]]-Games[[#This Row],[PointsAgainst]]</f>
        <v>-8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0.38658511568939807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72.849999999999994</v>
      </c>
      <c r="Z314" s="4">
        <f>Games[[#This Row],[K]]*Games[[#This Row],[POMult]]</f>
        <v>72.849999999999994</v>
      </c>
      <c r="AA314" s="4">
        <f>(Games[[#This Row],[Keff]]*Games[[#This Row],[MOVMult]])*(Games[[#This Row],[Result]]-Games[[#This Row],[ExpectedWin%]])</f>
        <v>-9.9370154024504114</v>
      </c>
      <c r="AB314" s="4">
        <f>Games[[#This Row],[PreGmRate]]+Games[[#This Row],[RatingChange]]</f>
        <v>1584.3790656544165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36720</v>
      </c>
      <c r="B315" s="2">
        <v>2000</v>
      </c>
      <c r="C315" s="2">
        <f>COUNTIFS(Games[Team],Games[[#This Row],[Team]],Games[Season],Games[[#This Row],[Season]],Games[Date],"&lt;=" &amp; Games[[#This Row],[Date]])</f>
        <v>19</v>
      </c>
      <c r="D315" s="2" t="s">
        <v>23</v>
      </c>
      <c r="E315" s="2" t="s">
        <v>29</v>
      </c>
      <c r="F315" s="1" t="s">
        <v>44</v>
      </c>
      <c r="G315" s="1" t="s">
        <v>45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5" s="2">
        <f>Games[[#This Row],[DaysOff]]-Games[[#This Row],[OppDaysOff]]</f>
        <v>1</v>
      </c>
      <c r="L315" s="2">
        <f>Games[[#This Row],[OppDaysOff]]-Games[[#This Row],[DaysOff]]</f>
        <v>-1</v>
      </c>
      <c r="M315" s="1">
        <f>MAX(-16, MIN(16, Games[[#This Row],[RestDiff]]*8))</f>
        <v>8</v>
      </c>
      <c r="N315" s="1">
        <f>MAX(-16, MIN(16, Games[[#This Row],[OppRestDiff]]*8))</f>
        <v>-8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1599.6874807617571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1594.316081056867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0.64715718513628795</v>
      </c>
      <c r="R315" s="1">
        <v>72</v>
      </c>
      <c r="S315" s="1">
        <v>64</v>
      </c>
      <c r="T315" s="1">
        <v>0</v>
      </c>
      <c r="U315" s="1">
        <f>Games[[#This Row],[PointsFor]]-Games[[#This Row],[PointsAgainst]]</f>
        <v>8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0.38658511568939807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73.150000000000006</v>
      </c>
      <c r="Z315" s="4">
        <f>Games[[#This Row],[K]]*Games[[#This Row],[POMult]]</f>
        <v>73.150000000000006</v>
      </c>
      <c r="AA315" s="4">
        <f>(Games[[#This Row],[Keff]]*Games[[#This Row],[MOVMult]])*(Games[[#This Row],[Result]]-Games[[#This Row],[ExpectedWin%]])</f>
        <v>9.9779365365716917</v>
      </c>
      <c r="AB315" s="4">
        <f>Games[[#This Row],[PreGmRate]]+Games[[#This Row],[RatingChange]]</f>
        <v>1609.6654172983287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36721</v>
      </c>
      <c r="B316" s="2">
        <v>2000</v>
      </c>
      <c r="C316" s="2">
        <f>COUNTIFS(Games[Team],Games[[#This Row],[Team]],Games[Season],Games[[#This Row],[Season]],Games[Date],"&lt;=" &amp; Games[[#This Row],[Date]])</f>
        <v>21</v>
      </c>
      <c r="D316" s="2" t="s">
        <v>23</v>
      </c>
      <c r="E316" s="2" t="s">
        <v>29</v>
      </c>
      <c r="F316" s="1" t="s">
        <v>83</v>
      </c>
      <c r="G316" s="1" t="s">
        <v>77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-1</v>
      </c>
      <c r="L316" s="2">
        <f>Games[[#This Row],[OppDaysOff]]-Games[[#This Row],[DaysOff]]</f>
        <v>1</v>
      </c>
      <c r="M316" s="1">
        <f>MAX(-16, MIN(16, Games[[#This Row],[RestDiff]]*8))</f>
        <v>-8</v>
      </c>
      <c r="N316" s="1">
        <f>MAX(-16, MIN(16, Games[[#This Row],[OppRestDiff]]*8))</f>
        <v>8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1403.113081230581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1469.2055742881505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0.27765866667380917</v>
      </c>
      <c r="R316" s="1">
        <v>50</v>
      </c>
      <c r="S316" s="1">
        <v>80</v>
      </c>
      <c r="T316" s="1">
        <v>0</v>
      </c>
      <c r="U316" s="1">
        <f>Games[[#This Row],[PointsFor]]-Games[[#This Row],[PointsAgainst]]</f>
        <v>-30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0.66676898896312053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72.849999999999994</v>
      </c>
      <c r="Z316" s="4">
        <f>Games[[#This Row],[K]]*Games[[#This Row],[POMult]]</f>
        <v>72.849999999999994</v>
      </c>
      <c r="AA316" s="4">
        <f>(Games[[#This Row],[Keff]]*Games[[#This Row],[MOVMult]])*(Games[[#This Row],[Result]]-Games[[#This Row],[ExpectedWin%]])</f>
        <v>-13.487025628942657</v>
      </c>
      <c r="AB316" s="4">
        <f>Games[[#This Row],[PreGmRate]]+Games[[#This Row],[RatingChange]]</f>
        <v>1389.6260556016384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36721</v>
      </c>
      <c r="B317" s="2">
        <v>2000</v>
      </c>
      <c r="C317" s="2">
        <f>COUNTIFS(Games[Team],Games[[#This Row],[Team]],Games[Season],Games[[#This Row],[Season]],Games[Date],"&lt;=" &amp; Games[[#This Row],[Date]])</f>
        <v>20</v>
      </c>
      <c r="D317" s="2" t="s">
        <v>23</v>
      </c>
      <c r="E317" s="2" t="s">
        <v>29</v>
      </c>
      <c r="F317" s="1" t="s">
        <v>77</v>
      </c>
      <c r="G317" s="1" t="s">
        <v>83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7" s="2">
        <f>Games[[#This Row],[DaysOff]]-Games[[#This Row],[OppDaysOff]]</f>
        <v>1</v>
      </c>
      <c r="L317" s="2">
        <f>Games[[#This Row],[OppDaysOff]]-Games[[#This Row],[DaysOff]]</f>
        <v>-1</v>
      </c>
      <c r="M317" s="1">
        <f>MAX(-16, MIN(16, Games[[#This Row],[RestDiff]]*8))</f>
        <v>8</v>
      </c>
      <c r="N317" s="1">
        <f>MAX(-16, MIN(16, Games[[#This Row],[OppRestDiff]]*8))</f>
        <v>-8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1469.2055742881505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1403.113081230581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0.72234133332619088</v>
      </c>
      <c r="R317" s="1">
        <v>80</v>
      </c>
      <c r="S317" s="1">
        <v>50</v>
      </c>
      <c r="T317" s="1">
        <v>0</v>
      </c>
      <c r="U317" s="1">
        <f>Games[[#This Row],[PointsFor]]-Games[[#This Row],[PointsAgainst]]</f>
        <v>30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0.66676898896312053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73</v>
      </c>
      <c r="Z317" s="4">
        <f>Games[[#This Row],[K]]*Games[[#This Row],[POMult]]</f>
        <v>73</v>
      </c>
      <c r="AA317" s="4">
        <f>(Games[[#This Row],[Keff]]*Games[[#This Row],[MOVMult]])*(Games[[#This Row],[Result]]-Games[[#This Row],[ExpectedWin%]])</f>
        <v>13.514795757210898</v>
      </c>
      <c r="AB317" s="4">
        <f>Games[[#This Row],[PreGmRate]]+Games[[#This Row],[RatingChange]]</f>
        <v>1482.7203700453615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36721</v>
      </c>
      <c r="B318" s="2">
        <v>2000</v>
      </c>
      <c r="C318" s="2">
        <f>COUNTIFS(Games[Team],Games[[#This Row],[Team]],Games[Season],Games[[#This Row],[Season]],Games[Date],"&lt;=" &amp; Games[[#This Row],[Date]])</f>
        <v>21</v>
      </c>
      <c r="D318" s="2" t="s">
        <v>23</v>
      </c>
      <c r="E318" s="2" t="s">
        <v>29</v>
      </c>
      <c r="F318" s="1" t="s">
        <v>87</v>
      </c>
      <c r="G318" s="1" t="s">
        <v>85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1352.842698327046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1405.9395236371142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0.31234202456302895</v>
      </c>
      <c r="R318" s="1">
        <v>45</v>
      </c>
      <c r="S318" s="1">
        <v>64</v>
      </c>
      <c r="T318" s="1">
        <v>0</v>
      </c>
      <c r="U318" s="1">
        <f>Games[[#This Row],[PointsFor]]-Games[[#This Row],[PointsAgainst]]</f>
        <v>-19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0.53720755944070697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72.849999999999994</v>
      </c>
      <c r="Z318" s="4">
        <f>Games[[#This Row],[K]]*Games[[#This Row],[POMult]]</f>
        <v>72.849999999999994</v>
      </c>
      <c r="AA318" s="4">
        <f>(Games[[#This Row],[Keff]]*Games[[#This Row],[MOVMult]])*(Games[[#This Row],[Result]]-Games[[#This Row],[ExpectedWin%]])</f>
        <v>-12.223683386509071</v>
      </c>
      <c r="AB318" s="4">
        <f>Games[[#This Row],[PreGmRate]]+Games[[#This Row],[RatingChange]]</f>
        <v>1340.619014940537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36721</v>
      </c>
      <c r="B319" s="2">
        <v>2000</v>
      </c>
      <c r="C319" s="2">
        <f>COUNTIFS(Games[Team],Games[[#This Row],[Team]],Games[Season],Games[[#This Row],[Season]],Games[Date],"&lt;=" &amp; Games[[#This Row],[Date]])</f>
        <v>19</v>
      </c>
      <c r="D319" s="2" t="s">
        <v>23</v>
      </c>
      <c r="E319" s="2" t="s">
        <v>29</v>
      </c>
      <c r="F319" s="1" t="s">
        <v>85</v>
      </c>
      <c r="G319" s="1" t="s">
        <v>87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1405.9395236371142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1352.842698327046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0.68765797543697094</v>
      </c>
      <c r="R319" s="1">
        <v>64</v>
      </c>
      <c r="S319" s="1">
        <v>45</v>
      </c>
      <c r="T319" s="1">
        <v>0</v>
      </c>
      <c r="U319" s="1">
        <f>Games[[#This Row],[PointsFor]]-Games[[#This Row],[PointsAgainst]]</f>
        <v>19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0.53720755944070697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73.150000000000006</v>
      </c>
      <c r="Z319" s="4">
        <f>Games[[#This Row],[K]]*Games[[#This Row],[POMult]]</f>
        <v>73.150000000000006</v>
      </c>
      <c r="AA319" s="4">
        <f>(Games[[#This Row],[Keff]]*Games[[#This Row],[MOVMult]])*(Games[[#This Row],[Result]]-Games[[#This Row],[ExpectedWin%]])</f>
        <v>12.27402113552696</v>
      </c>
      <c r="AB319" s="4">
        <f>Games[[#This Row],[PreGmRate]]+Games[[#This Row],[RatingChange]]</f>
        <v>1418.2135447726412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36721</v>
      </c>
      <c r="B320" s="2">
        <v>2000</v>
      </c>
      <c r="C320" s="2">
        <f>COUNTIFS(Games[Team],Games[[#This Row],[Team]],Games[Season],Games[[#This Row],[Season]],Games[Date],"&lt;=" &amp; Games[[#This Row],[Date]])</f>
        <v>22</v>
      </c>
      <c r="D320" s="2" t="s">
        <v>23</v>
      </c>
      <c r="E320" s="2" t="s">
        <v>29</v>
      </c>
      <c r="F320" s="1" t="s">
        <v>2</v>
      </c>
      <c r="G320" s="1" t="s">
        <v>71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0" s="2">
        <f>Games[[#This Row],[DaysOff]]-Games[[#This Row],[OppDaysOff]]</f>
        <v>-1</v>
      </c>
      <c r="L320" s="2">
        <f>Games[[#This Row],[OppDaysOff]]-Games[[#This Row],[DaysOff]]</f>
        <v>1</v>
      </c>
      <c r="M320" s="1">
        <f>MAX(-16, MIN(16, Games[[#This Row],[RestDiff]]*8))</f>
        <v>-8</v>
      </c>
      <c r="N320" s="1">
        <f>MAX(-16, MIN(16, Games[[#This Row],[OppRestDiff]]*8))</f>
        <v>8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1731.4676703177558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1663.7961767597092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0.45360934714935813</v>
      </c>
      <c r="R320" s="1">
        <v>58</v>
      </c>
      <c r="S320" s="1">
        <v>63</v>
      </c>
      <c r="T320" s="1">
        <v>0</v>
      </c>
      <c r="U320" s="1">
        <f>Games[[#This Row],[PointsFor]]-Games[[#This Row],[PointsAgainst]]</f>
        <v>-5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0.31404600685316897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72.7</v>
      </c>
      <c r="Z320" s="4">
        <f>Games[[#This Row],[K]]*Games[[#This Row],[POMult]]</f>
        <v>72.7</v>
      </c>
      <c r="AA320" s="4">
        <f>(Games[[#This Row],[Keff]]*Games[[#This Row],[MOVMult]])*(Games[[#This Row],[Result]]-Games[[#This Row],[ExpectedWin%]])</f>
        <v>-10.356420641234545</v>
      </c>
      <c r="AB320" s="4">
        <f>Games[[#This Row],[PreGmRate]]+Games[[#This Row],[RatingChange]]</f>
        <v>1721.1112496765213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36721</v>
      </c>
      <c r="B321" s="2">
        <v>2000</v>
      </c>
      <c r="C321" s="2">
        <f>COUNTIFS(Games[Team],Games[[#This Row],[Team]],Games[Season],Games[[#This Row],[Season]],Games[Date],"&lt;=" &amp; Games[[#This Row],[Date]])</f>
        <v>20</v>
      </c>
      <c r="D321" s="2" t="s">
        <v>23</v>
      </c>
      <c r="E321" s="2" t="s">
        <v>29</v>
      </c>
      <c r="F321" s="1" t="s">
        <v>71</v>
      </c>
      <c r="G321" s="1" t="s">
        <v>2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1</v>
      </c>
      <c r="L321" s="2">
        <f>Games[[#This Row],[OppDaysOff]]-Games[[#This Row],[DaysOff]]</f>
        <v>-1</v>
      </c>
      <c r="M321" s="1">
        <f>MAX(-16, MIN(16, Games[[#This Row],[RestDiff]]*8))</f>
        <v>8</v>
      </c>
      <c r="N321" s="1">
        <f>MAX(-16, MIN(16, Games[[#This Row],[OppRestDiff]]*8))</f>
        <v>-8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1663.7961767597092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1731.4676703177558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0.54639065285064181</v>
      </c>
      <c r="R321" s="1">
        <v>63</v>
      </c>
      <c r="S321" s="1">
        <v>58</v>
      </c>
      <c r="T321" s="1">
        <v>0</v>
      </c>
      <c r="U321" s="1">
        <f>Games[[#This Row],[PointsFor]]-Games[[#This Row],[PointsAgainst]]</f>
        <v>5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0.31404600685316897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73</v>
      </c>
      <c r="Z321" s="4">
        <f>Games[[#This Row],[K]]*Games[[#This Row],[POMult]]</f>
        <v>73</v>
      </c>
      <c r="AA321" s="4">
        <f>(Games[[#This Row],[Keff]]*Games[[#This Row],[MOVMult]])*(Games[[#This Row],[Result]]-Games[[#This Row],[ExpectedWin%]])</f>
        <v>10.399156902477605</v>
      </c>
      <c r="AB321" s="4">
        <f>Games[[#This Row],[PreGmRate]]+Games[[#This Row],[RatingChange]]</f>
        <v>1674.1953336621868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36721</v>
      </c>
      <c r="B322" s="2">
        <v>2000</v>
      </c>
      <c r="C322" s="2">
        <f>COUNTIFS(Games[Team],Games[[#This Row],[Team]],Games[Season],Games[[#This Row],[Season]],Games[Date],"&lt;=" &amp; Games[[#This Row],[Date]])</f>
        <v>21</v>
      </c>
      <c r="D322" s="2" t="s">
        <v>23</v>
      </c>
      <c r="E322" s="2" t="s">
        <v>29</v>
      </c>
      <c r="F322" s="1" t="s">
        <v>66</v>
      </c>
      <c r="G322" s="1" t="s">
        <v>79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1532.3738724642524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1527.0944362582356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0.38861161364332486</v>
      </c>
      <c r="R322" s="1">
        <v>55</v>
      </c>
      <c r="S322" s="1">
        <v>51</v>
      </c>
      <c r="T322" s="1">
        <v>0</v>
      </c>
      <c r="U322" s="1">
        <f>Games[[#This Row],[PointsFor]]-Games[[#This Row],[PointsAgainst]]</f>
        <v>4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0.31006857883600025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72.849999999999994</v>
      </c>
      <c r="Z322" s="4">
        <f>Games[[#This Row],[K]]*Games[[#This Row],[POMult]]</f>
        <v>72.849999999999994</v>
      </c>
      <c r="AA322" s="4">
        <f>(Games[[#This Row],[Keff]]*Games[[#This Row],[MOVMult]])*(Games[[#This Row],[Result]]-Games[[#This Row],[ExpectedWin%]])</f>
        <v>13.810344100223659</v>
      </c>
      <c r="AB322" s="4">
        <f>Games[[#This Row],[PreGmRate]]+Games[[#This Row],[RatingChange]]</f>
        <v>1546.1842165644759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36721</v>
      </c>
      <c r="B323" s="2">
        <v>2000</v>
      </c>
      <c r="C323" s="2">
        <f>COUNTIFS(Games[Team],Games[[#This Row],[Team]],Games[Season],Games[[#This Row],[Season]],Games[Date],"&lt;=" &amp; Games[[#This Row],[Date]])</f>
        <v>21</v>
      </c>
      <c r="D323" s="2" t="s">
        <v>23</v>
      </c>
      <c r="E323" s="2" t="s">
        <v>29</v>
      </c>
      <c r="F323" s="1" t="s">
        <v>79</v>
      </c>
      <c r="G323" s="1" t="s">
        <v>66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1527.0944362582356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1532.3738724642524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0.61138838635667503</v>
      </c>
      <c r="R323" s="1">
        <v>51</v>
      </c>
      <c r="S323" s="1">
        <v>55</v>
      </c>
      <c r="T323" s="1">
        <v>0</v>
      </c>
      <c r="U323" s="1">
        <f>Games[[#This Row],[PointsFor]]-Games[[#This Row],[PointsAgainst]]</f>
        <v>-4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0.31006857883600025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72.849999999999994</v>
      </c>
      <c r="Z323" s="4">
        <f>Games[[#This Row],[K]]*Games[[#This Row],[POMult]]</f>
        <v>72.849999999999994</v>
      </c>
      <c r="AA323" s="4">
        <f>(Games[[#This Row],[Keff]]*Games[[#This Row],[MOVMult]])*(Games[[#This Row],[Result]]-Games[[#This Row],[ExpectedWin%]])</f>
        <v>-13.810344100223656</v>
      </c>
      <c r="AB323" s="4">
        <f>Games[[#This Row],[PreGmRate]]+Games[[#This Row],[RatingChange]]</f>
        <v>1513.2840921580121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36721</v>
      </c>
      <c r="B324" s="2">
        <v>2000</v>
      </c>
      <c r="C324" s="2">
        <f>COUNTIFS(Games[Team],Games[[#This Row],[Team]],Games[Season],Games[[#This Row],[Season]],Games[Date],"&lt;=" &amp; Games[[#This Row],[Date]])</f>
        <v>20</v>
      </c>
      <c r="D324" s="2" t="s">
        <v>23</v>
      </c>
      <c r="E324" s="2" t="s">
        <v>29</v>
      </c>
      <c r="F324" s="1" t="s">
        <v>80</v>
      </c>
      <c r="G324" s="1" t="s">
        <v>89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1</v>
      </c>
      <c r="L324" s="2">
        <f>Games[[#This Row],[OppDaysOff]]-Games[[#This Row],[DaysOff]]</f>
        <v>-1</v>
      </c>
      <c r="M324" s="1">
        <f>MAX(-16, MIN(16, Games[[#This Row],[RestDiff]]*8))</f>
        <v>8</v>
      </c>
      <c r="N324" s="1">
        <f>MAX(-16, MIN(16, Games[[#This Row],[OppRestDiff]]*8))</f>
        <v>-8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1500.6675312976936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1452.147844302174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0.47199491656802289</v>
      </c>
      <c r="R324" s="1">
        <v>54</v>
      </c>
      <c r="S324" s="1">
        <v>65</v>
      </c>
      <c r="T324" s="1">
        <v>0</v>
      </c>
      <c r="U324" s="1">
        <f>Games[[#This Row],[PointsFor]]-Games[[#This Row],[PointsAgainst]]</f>
        <v>-11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0.4227431652113402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73</v>
      </c>
      <c r="Z324" s="4">
        <f>Games[[#This Row],[K]]*Games[[#This Row],[POMult]]</f>
        <v>73</v>
      </c>
      <c r="AA324" s="4">
        <f>(Games[[#This Row],[Keff]]*Games[[#This Row],[MOVMult]])*(Games[[#This Row],[Result]]-Games[[#This Row],[ExpectedWin%]])</f>
        <v>-14.565881624534876</v>
      </c>
      <c r="AB324" s="4">
        <f>Games[[#This Row],[PreGmRate]]+Games[[#This Row],[RatingChange]]</f>
        <v>1486.1016496731588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36721</v>
      </c>
      <c r="B325" s="2">
        <v>2000</v>
      </c>
      <c r="C325" s="2">
        <f>COUNTIFS(Games[Team],Games[[#This Row],[Team]],Games[Season],Games[[#This Row],[Season]],Games[Date],"&lt;=" &amp; Games[[#This Row],[Date]])</f>
        <v>20</v>
      </c>
      <c r="D325" s="2" t="s">
        <v>23</v>
      </c>
      <c r="E325" s="2" t="s">
        <v>29</v>
      </c>
      <c r="F325" s="1" t="s">
        <v>89</v>
      </c>
      <c r="G325" s="1" t="s">
        <v>80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5" s="2">
        <f>Games[[#This Row],[DaysOff]]-Games[[#This Row],[OppDaysOff]]</f>
        <v>-1</v>
      </c>
      <c r="L325" s="2">
        <f>Games[[#This Row],[OppDaysOff]]-Games[[#This Row],[DaysOff]]</f>
        <v>1</v>
      </c>
      <c r="M325" s="1">
        <f>MAX(-16, MIN(16, Games[[#This Row],[RestDiff]]*8))</f>
        <v>-8</v>
      </c>
      <c r="N325" s="1">
        <f>MAX(-16, MIN(16, Games[[#This Row],[OppRestDiff]]*8))</f>
        <v>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1452.147844302174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1500.6675312976936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0.52800508343197705</v>
      </c>
      <c r="R325" s="1">
        <v>65</v>
      </c>
      <c r="S325" s="1">
        <v>54</v>
      </c>
      <c r="T325" s="1">
        <v>0</v>
      </c>
      <c r="U325" s="1">
        <f>Games[[#This Row],[PointsFor]]-Games[[#This Row],[PointsAgainst]]</f>
        <v>11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0.4227431652113402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73</v>
      </c>
      <c r="Z325" s="4">
        <f>Games[[#This Row],[K]]*Games[[#This Row],[POMult]]</f>
        <v>73</v>
      </c>
      <c r="AA325" s="4">
        <f>(Games[[#This Row],[Keff]]*Games[[#This Row],[MOVMult]])*(Games[[#This Row],[Result]]-Games[[#This Row],[ExpectedWin%]])</f>
        <v>14.565881624534878</v>
      </c>
      <c r="AB325" s="4">
        <f>Games[[#This Row],[PreGmRate]]+Games[[#This Row],[RatingChange]]</f>
        <v>1466.7137259267088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36721</v>
      </c>
      <c r="B326" s="2">
        <v>2000</v>
      </c>
      <c r="C326" s="2">
        <f>COUNTIFS(Games[Team],Games[[#This Row],[Team]],Games[Season],Games[[#This Row],[Season]],Games[Date],"&lt;=" &amp; Games[[#This Row],[Date]])</f>
        <v>20</v>
      </c>
      <c r="D326" s="2" t="s">
        <v>23</v>
      </c>
      <c r="E326" s="2" t="s">
        <v>29</v>
      </c>
      <c r="F326" s="1" t="s">
        <v>44</v>
      </c>
      <c r="G326" s="1" t="s">
        <v>43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-1</v>
      </c>
      <c r="L326" s="2">
        <f>Games[[#This Row],[OppDaysOff]]-Games[[#This Row],[DaysOff]]</f>
        <v>1</v>
      </c>
      <c r="M326" s="1">
        <f>MAX(-16, MIN(16, Games[[#This Row],[RestDiff]]*8))</f>
        <v>-8</v>
      </c>
      <c r="N326" s="1">
        <f>MAX(-16, MIN(16, Games[[#This Row],[OppRestDiff]]*8))</f>
        <v>8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1609.6654172983287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1501.2431674569186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0.512118218230593</v>
      </c>
      <c r="R326" s="1">
        <v>84</v>
      </c>
      <c r="S326" s="1">
        <v>87</v>
      </c>
      <c r="T326" s="1">
        <v>0</v>
      </c>
      <c r="U326" s="1">
        <f>Games[[#This Row],[PointsFor]]-Games[[#This Row],[PointsAgainst]]</f>
        <v>-3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0.26613749908384421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73</v>
      </c>
      <c r="Z326" s="4">
        <f>Games[[#This Row],[K]]*Games[[#This Row],[POMult]]</f>
        <v>73</v>
      </c>
      <c r="AA326" s="4">
        <f>(Games[[#This Row],[Keff]]*Games[[#This Row],[MOVMult]])*(Games[[#This Row],[Result]]-Games[[#This Row],[ExpectedWin%]])</f>
        <v>-9.9494519139669997</v>
      </c>
      <c r="AB326" s="4">
        <f>Games[[#This Row],[PreGmRate]]+Games[[#This Row],[RatingChange]]</f>
        <v>1599.7159653843617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36721</v>
      </c>
      <c r="B327" s="2">
        <v>2000</v>
      </c>
      <c r="C327" s="2">
        <f>COUNTIFS(Games[Team],Games[[#This Row],[Team]],Games[Season],Games[[#This Row],[Season]],Games[Date],"&lt;=" &amp; Games[[#This Row],[Date]])</f>
        <v>21</v>
      </c>
      <c r="D327" s="2" t="s">
        <v>23</v>
      </c>
      <c r="E327" s="2" t="s">
        <v>29</v>
      </c>
      <c r="F327" s="1" t="s">
        <v>43</v>
      </c>
      <c r="G327" s="1" t="s">
        <v>44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7" s="2">
        <f>Games[[#This Row],[DaysOff]]-Games[[#This Row],[OppDaysOff]]</f>
        <v>1</v>
      </c>
      <c r="L327" s="2">
        <f>Games[[#This Row],[OppDaysOff]]-Games[[#This Row],[DaysOff]]</f>
        <v>-1</v>
      </c>
      <c r="M327" s="1">
        <f>MAX(-16, MIN(16, Games[[#This Row],[RestDiff]]*8))</f>
        <v>8</v>
      </c>
      <c r="N327" s="1">
        <f>MAX(-16, MIN(16, Games[[#This Row],[OppRestDiff]]*8))</f>
        <v>-8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1501.2431674569186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1609.6654172983287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0.48788178176940689</v>
      </c>
      <c r="R327" s="1">
        <v>87</v>
      </c>
      <c r="S327" s="1">
        <v>84</v>
      </c>
      <c r="T327" s="1">
        <v>0</v>
      </c>
      <c r="U327" s="1">
        <f>Games[[#This Row],[PointsFor]]-Games[[#This Row],[PointsAgainst]]</f>
        <v>3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0.26613749908384421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72.849999999999994</v>
      </c>
      <c r="Z327" s="4">
        <f>Games[[#This Row],[K]]*Games[[#This Row],[POMult]]</f>
        <v>72.849999999999994</v>
      </c>
      <c r="AA327" s="4">
        <f>(Games[[#This Row],[Keff]]*Games[[#This Row],[MOVMult]])*(Games[[#This Row],[Result]]-Games[[#This Row],[ExpectedWin%]])</f>
        <v>9.9290078346917277</v>
      </c>
      <c r="AB327" s="4">
        <f>Games[[#This Row],[PreGmRate]]+Games[[#This Row],[RatingChange]]</f>
        <v>1511.1721752916103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36722</v>
      </c>
      <c r="B328" s="2">
        <v>2000</v>
      </c>
      <c r="C328" s="2">
        <f>COUNTIFS(Games[Team],Games[[#This Row],[Team]],Games[Season],Games[[#This Row],[Season]],Games[Date],"&lt;=" &amp; Games[[#This Row],[Date]])</f>
        <v>20</v>
      </c>
      <c r="D328" s="2" t="s">
        <v>23</v>
      </c>
      <c r="E328" s="2" t="s">
        <v>29</v>
      </c>
      <c r="F328" s="1" t="s">
        <v>85</v>
      </c>
      <c r="G328" s="1" t="s">
        <v>1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-2</v>
      </c>
      <c r="L328" s="2">
        <f>Games[[#This Row],[OppDaysOff]]-Games[[#This Row],[DaysOff]]</f>
        <v>2</v>
      </c>
      <c r="M328" s="1">
        <f>MAX(-16, MIN(16, Games[[#This Row],[RestDiff]]*8))</f>
        <v>-16</v>
      </c>
      <c r="N328" s="1">
        <f>MAX(-16, MIN(16, Games[[#This Row],[OppRestDiff]]*8))</f>
        <v>16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1418.2135447726412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1484.6927991511832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0.25914157238954444</v>
      </c>
      <c r="R328" s="1">
        <v>55</v>
      </c>
      <c r="S328" s="1">
        <v>79</v>
      </c>
      <c r="T328" s="1">
        <v>0</v>
      </c>
      <c r="U328" s="1">
        <f>Games[[#This Row],[PointsFor]]-Games[[#This Row],[PointsAgainst]]</f>
        <v>-24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0.59544371905863336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73</v>
      </c>
      <c r="Z328" s="4">
        <f>Games[[#This Row],[K]]*Games[[#This Row],[POMult]]</f>
        <v>73</v>
      </c>
      <c r="AA328" s="4">
        <f>(Games[[#This Row],[Keff]]*Games[[#This Row],[MOVMult]])*(Games[[#This Row],[Result]]-Games[[#This Row],[ExpectedWin%]])</f>
        <v>-11.264208178722264</v>
      </c>
      <c r="AB328" s="4">
        <f>Games[[#This Row],[PreGmRate]]+Games[[#This Row],[RatingChange]]</f>
        <v>1406.9493365939188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36722</v>
      </c>
      <c r="B329" s="2">
        <v>2000</v>
      </c>
      <c r="C329" s="2">
        <f>COUNTIFS(Games[Team],Games[[#This Row],[Team]],Games[Season],Games[[#This Row],[Season]],Games[Date],"&lt;=" &amp; Games[[#This Row],[Date]])</f>
        <v>20</v>
      </c>
      <c r="D329" s="2" t="s">
        <v>23</v>
      </c>
      <c r="E329" s="2" t="s">
        <v>29</v>
      </c>
      <c r="F329" s="1" t="s">
        <v>1</v>
      </c>
      <c r="G329" s="1" t="s">
        <v>85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9" s="2">
        <f>Games[[#This Row],[DaysOff]]-Games[[#This Row],[OppDaysOff]]</f>
        <v>2</v>
      </c>
      <c r="L329" s="2">
        <f>Games[[#This Row],[OppDaysOff]]-Games[[#This Row],[DaysOff]]</f>
        <v>-2</v>
      </c>
      <c r="M329" s="1">
        <f>MAX(-16, MIN(16, Games[[#This Row],[RestDiff]]*8))</f>
        <v>16</v>
      </c>
      <c r="N329" s="1">
        <f>MAX(-16, MIN(16, Games[[#This Row],[OppRestDiff]]*8))</f>
        <v>-16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1484.6927991511832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1418.2135447726412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0.74085842761045562</v>
      </c>
      <c r="R329" s="1">
        <v>79</v>
      </c>
      <c r="S329" s="1">
        <v>55</v>
      </c>
      <c r="T329" s="1">
        <v>0</v>
      </c>
      <c r="U329" s="1">
        <f>Games[[#This Row],[PointsFor]]-Games[[#This Row],[PointsAgainst]]</f>
        <v>24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0.59544371905863336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73</v>
      </c>
      <c r="Z329" s="4">
        <f>Games[[#This Row],[K]]*Games[[#This Row],[POMult]]</f>
        <v>73</v>
      </c>
      <c r="AA329" s="4">
        <f>(Games[[#This Row],[Keff]]*Games[[#This Row],[MOVMult]])*(Games[[#This Row],[Result]]-Games[[#This Row],[ExpectedWin%]])</f>
        <v>11.264208178722262</v>
      </c>
      <c r="AB329" s="4">
        <f>Games[[#This Row],[PreGmRate]]+Games[[#This Row],[RatingChange]]</f>
        <v>1495.9570073299055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36722</v>
      </c>
      <c r="B330" s="2">
        <v>2000</v>
      </c>
      <c r="C330" s="2">
        <f>COUNTIFS(Games[Team],Games[[#This Row],[Team]],Games[Season],Games[[#This Row],[Season]],Games[Date],"&lt;=" &amp; Games[[#This Row],[Date]])</f>
        <v>21</v>
      </c>
      <c r="D330" s="2" t="s">
        <v>23</v>
      </c>
      <c r="E330" s="2" t="s">
        <v>29</v>
      </c>
      <c r="F330" s="1" t="s">
        <v>80</v>
      </c>
      <c r="G330" s="1" t="s">
        <v>71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1486.1016496731588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1674.1953336621868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0.17274490291225769</v>
      </c>
      <c r="R330" s="1">
        <v>57</v>
      </c>
      <c r="S330" s="1">
        <v>58</v>
      </c>
      <c r="T330" s="1">
        <v>0</v>
      </c>
      <c r="U330" s="1">
        <f>Games[[#This Row],[PointsFor]]-Games[[#This Row],[PointsAgainst]]</f>
        <v>-1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0.21109209597172132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72.849999999999994</v>
      </c>
      <c r="Z330" s="4">
        <f>Games[[#This Row],[K]]*Games[[#This Row],[POMult]]</f>
        <v>72.849999999999994</v>
      </c>
      <c r="AA330" s="4">
        <f>(Games[[#This Row],[Keff]]*Games[[#This Row],[MOVMult]])*(Games[[#This Row],[Result]]-Games[[#This Row],[ExpectedWin%]])</f>
        <v>-2.6564813420215114</v>
      </c>
      <c r="AB330" s="4">
        <f>Games[[#This Row],[PreGmRate]]+Games[[#This Row],[RatingChange]]</f>
        <v>1483.4451683311372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36722</v>
      </c>
      <c r="B331" s="2">
        <v>2000</v>
      </c>
      <c r="C331" s="2">
        <f>COUNTIFS(Games[Team],Games[[#This Row],[Team]],Games[Season],Games[[#This Row],[Season]],Games[Date],"&lt;=" &amp; Games[[#This Row],[Date]])</f>
        <v>21</v>
      </c>
      <c r="D331" s="2" t="s">
        <v>23</v>
      </c>
      <c r="E331" s="2" t="s">
        <v>29</v>
      </c>
      <c r="F331" s="1" t="s">
        <v>71</v>
      </c>
      <c r="G331" s="1" t="s">
        <v>80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1674.1953336621868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1486.1016496731588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0.82725509708774225</v>
      </c>
      <c r="R331" s="1">
        <v>58</v>
      </c>
      <c r="S331" s="1">
        <v>57</v>
      </c>
      <c r="T331" s="1">
        <v>0</v>
      </c>
      <c r="U331" s="1">
        <f>Games[[#This Row],[PointsFor]]-Games[[#This Row],[PointsAgainst]]</f>
        <v>1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0.21109209597172132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72.849999999999994</v>
      </c>
      <c r="Z331" s="4">
        <f>Games[[#This Row],[K]]*Games[[#This Row],[POMult]]</f>
        <v>72.849999999999994</v>
      </c>
      <c r="AA331" s="4">
        <f>(Games[[#This Row],[Keff]]*Games[[#This Row],[MOVMult]])*(Games[[#This Row],[Result]]-Games[[#This Row],[ExpectedWin%]])</f>
        <v>2.6564813420215123</v>
      </c>
      <c r="AB331" s="4">
        <f>Games[[#This Row],[PreGmRate]]+Games[[#This Row],[RatingChange]]</f>
        <v>1676.8518150042084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36722</v>
      </c>
      <c r="B332" s="2">
        <v>2000</v>
      </c>
      <c r="C332" s="2">
        <f>COUNTIFS(Games[Team],Games[[#This Row],[Team]],Games[Season],Games[[#This Row],[Season]],Games[Date],"&lt;=" &amp; Games[[#This Row],[Date]])</f>
        <v>22</v>
      </c>
      <c r="D332" s="2" t="s">
        <v>23</v>
      </c>
      <c r="E332" s="2" t="s">
        <v>29</v>
      </c>
      <c r="F332" s="1" t="s">
        <v>43</v>
      </c>
      <c r="G332" s="1" t="s">
        <v>45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2" s="2">
        <f>Games[[#This Row],[DaysOff]]-Games[[#This Row],[OppDaysOff]]</f>
        <v>-1</v>
      </c>
      <c r="L332" s="2">
        <f>Games[[#This Row],[OppDaysOff]]-Games[[#This Row],[DaysOff]]</f>
        <v>1</v>
      </c>
      <c r="M332" s="1">
        <f>MAX(-16, MIN(16, Games[[#This Row],[RestDiff]]*8))</f>
        <v>-8</v>
      </c>
      <c r="N332" s="1">
        <f>MAX(-16, MIN(16, Games[[#This Row],[OppRestDiff]]*8))</f>
        <v>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1511.1721752916103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1584.3790656544165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0.26952004800434387</v>
      </c>
      <c r="R332" s="1">
        <v>75</v>
      </c>
      <c r="S332" s="1">
        <v>69</v>
      </c>
      <c r="T332" s="1">
        <v>0</v>
      </c>
      <c r="U332" s="1">
        <f>Games[[#This Row],[PointsFor]]-Games[[#This Row],[PointsAgainst]]</f>
        <v>6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0.33108280869346463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72.7</v>
      </c>
      <c r="Z332" s="4">
        <f>Games[[#This Row],[K]]*Games[[#This Row],[POMult]]</f>
        <v>72.7</v>
      </c>
      <c r="AA332" s="4">
        <f>(Games[[#This Row],[Keff]]*Games[[#This Row],[MOVMult]])*(Games[[#This Row],[Result]]-Games[[#This Row],[ExpectedWin%]])</f>
        <v>17.582448050411905</v>
      </c>
      <c r="AB332" s="4">
        <f>Games[[#This Row],[PreGmRate]]+Games[[#This Row],[RatingChange]]</f>
        <v>1528.7546233420221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36722</v>
      </c>
      <c r="B333" s="2">
        <v>2000</v>
      </c>
      <c r="C333" s="2">
        <f>COUNTIFS(Games[Team],Games[[#This Row],[Team]],Games[Season],Games[[#This Row],[Season]],Games[Date],"&lt;=" &amp; Games[[#This Row],[Date]])</f>
        <v>22</v>
      </c>
      <c r="D333" s="2" t="s">
        <v>23</v>
      </c>
      <c r="E333" s="2" t="s">
        <v>29</v>
      </c>
      <c r="F333" s="1" t="s">
        <v>45</v>
      </c>
      <c r="G333" s="1" t="s">
        <v>43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3" s="2">
        <f>Games[[#This Row],[DaysOff]]-Games[[#This Row],[OppDaysOff]]</f>
        <v>1</v>
      </c>
      <c r="L333" s="2">
        <f>Games[[#This Row],[OppDaysOff]]-Games[[#This Row],[DaysOff]]</f>
        <v>-1</v>
      </c>
      <c r="M333" s="1">
        <f>MAX(-16, MIN(16, Games[[#This Row],[RestDiff]]*8))</f>
        <v>8</v>
      </c>
      <c r="N333" s="1">
        <f>MAX(-16, MIN(16, Games[[#This Row],[OppRestDiff]]*8))</f>
        <v>-8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1584.3790656544165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1511.1721752916103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0.73047995199565607</v>
      </c>
      <c r="R333" s="1">
        <v>69</v>
      </c>
      <c r="S333" s="1">
        <v>75</v>
      </c>
      <c r="T333" s="1">
        <v>0</v>
      </c>
      <c r="U333" s="1">
        <f>Games[[#This Row],[PointsFor]]-Games[[#This Row],[PointsAgainst]]</f>
        <v>-6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0.33108280869346463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72.7</v>
      </c>
      <c r="Z333" s="4">
        <f>Games[[#This Row],[K]]*Games[[#This Row],[POMult]]</f>
        <v>72.7</v>
      </c>
      <c r="AA333" s="4">
        <f>(Games[[#This Row],[Keff]]*Games[[#This Row],[MOVMult]])*(Games[[#This Row],[Result]]-Games[[#This Row],[ExpectedWin%]])</f>
        <v>-17.582448050411905</v>
      </c>
      <c r="AB333" s="4">
        <f>Games[[#This Row],[PreGmRate]]+Games[[#This Row],[RatingChange]]</f>
        <v>1566.7966176040047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36722</v>
      </c>
      <c r="B334" s="2">
        <v>2000</v>
      </c>
      <c r="C334" s="2">
        <f>COUNTIFS(Games[Team],Games[[#This Row],[Team]],Games[Season],Games[[#This Row],[Season]],Games[Date],"&lt;=" &amp; Games[[#This Row],[Date]])</f>
        <v>21</v>
      </c>
      <c r="D334" s="2" t="s">
        <v>23</v>
      </c>
      <c r="E334" s="2" t="s">
        <v>29</v>
      </c>
      <c r="F334" s="1" t="s">
        <v>64</v>
      </c>
      <c r="G334" s="1" t="s">
        <v>75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1342.7720199351625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1437.808010749781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0.281201291549039</v>
      </c>
      <c r="R334" s="1">
        <v>76</v>
      </c>
      <c r="S334" s="1">
        <v>73</v>
      </c>
      <c r="T334" s="1">
        <v>0</v>
      </c>
      <c r="U334" s="1">
        <f>Games[[#This Row],[PointsFor]]-Games[[#This Row],[PointsAgainst]]</f>
        <v>3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0.26888845390266575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72.849999999999994</v>
      </c>
      <c r="Z334" s="4">
        <f>Games[[#This Row],[K]]*Games[[#This Row],[POMult]]</f>
        <v>72.849999999999994</v>
      </c>
      <c r="AA334" s="4">
        <f>(Games[[#This Row],[Keff]]*Games[[#This Row],[MOVMult]])*(Games[[#This Row],[Result]]-Games[[#This Row],[ExpectedWin%]])</f>
        <v>14.080205655923276</v>
      </c>
      <c r="AB334" s="4">
        <f>Games[[#This Row],[PreGmRate]]+Games[[#This Row],[RatingChange]]</f>
        <v>1356.8522255910857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36722</v>
      </c>
      <c r="B335" s="2">
        <v>2000</v>
      </c>
      <c r="C335" s="2">
        <f>COUNTIFS(Games[Team],Games[[#This Row],[Team]],Games[Season],Games[[#This Row],[Season]],Games[Date],"&lt;=" &amp; Games[[#This Row],[Date]])</f>
        <v>21</v>
      </c>
      <c r="D335" s="2" t="s">
        <v>23</v>
      </c>
      <c r="E335" s="2" t="s">
        <v>29</v>
      </c>
      <c r="F335" s="1" t="s">
        <v>75</v>
      </c>
      <c r="G335" s="1" t="s">
        <v>64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1437.808010749781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1342.7720199351625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0.71879870845096105</v>
      </c>
      <c r="R335" s="1">
        <v>73</v>
      </c>
      <c r="S335" s="1">
        <v>76</v>
      </c>
      <c r="T335" s="1">
        <v>0</v>
      </c>
      <c r="U335" s="1">
        <f>Games[[#This Row],[PointsFor]]-Games[[#This Row],[PointsAgainst]]</f>
        <v>-3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0.26888845390266575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72.849999999999994</v>
      </c>
      <c r="Z335" s="4">
        <f>Games[[#This Row],[K]]*Games[[#This Row],[POMult]]</f>
        <v>72.849999999999994</v>
      </c>
      <c r="AA335" s="4">
        <f>(Games[[#This Row],[Keff]]*Games[[#This Row],[MOVMult]])*(Games[[#This Row],[Result]]-Games[[#This Row],[ExpectedWin%]])</f>
        <v>-14.080205655923276</v>
      </c>
      <c r="AB335" s="4">
        <f>Games[[#This Row],[PreGmRate]]+Games[[#This Row],[RatingChange]]</f>
        <v>1423.7278050938578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36726</v>
      </c>
      <c r="B336" s="2">
        <v>2000</v>
      </c>
      <c r="C336" s="2">
        <f>COUNTIFS(Games[Team],Games[[#This Row],[Team]],Games[Season],Games[[#This Row],[Season]],Games[Date],"&lt;=" &amp; Games[[#This Row],[Date]])</f>
        <v>21</v>
      </c>
      <c r="D336" s="2" t="s">
        <v>23</v>
      </c>
      <c r="E336" s="2" t="s">
        <v>29</v>
      </c>
      <c r="F336" s="1" t="s">
        <v>89</v>
      </c>
      <c r="G336" s="1" t="s">
        <v>83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1466.7137259267088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1389.6260556016384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0.49005367024974378</v>
      </c>
      <c r="R336" s="1">
        <v>62</v>
      </c>
      <c r="S336" s="1">
        <v>69</v>
      </c>
      <c r="T336" s="1">
        <v>0</v>
      </c>
      <c r="U336" s="1">
        <f>Games[[#This Row],[PointsFor]]-Games[[#This Row],[PointsAgainst]]</f>
        <v>-7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0.3477667330947885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72.849999999999994</v>
      </c>
      <c r="Z336" s="4">
        <f>Games[[#This Row],[K]]*Games[[#This Row],[POMult]]</f>
        <v>72.849999999999994</v>
      </c>
      <c r="AA336" s="4">
        <f>(Games[[#This Row],[Keff]]*Games[[#This Row],[MOVMult]])*(Games[[#This Row],[Result]]-Games[[#This Row],[ExpectedWin%]])</f>
        <v>-12.415414913310503</v>
      </c>
      <c r="AB336" s="4">
        <f>Games[[#This Row],[PreGmRate]]+Games[[#This Row],[RatingChange]]</f>
        <v>1454.2983110133982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36726</v>
      </c>
      <c r="B337" s="2">
        <v>2000</v>
      </c>
      <c r="C337" s="2">
        <f>COUNTIFS(Games[Team],Games[[#This Row],[Team]],Games[Season],Games[[#This Row],[Season]],Games[Date],"&lt;=" &amp; Games[[#This Row],[Date]])</f>
        <v>22</v>
      </c>
      <c r="D337" s="2" t="s">
        <v>23</v>
      </c>
      <c r="E337" s="2" t="s">
        <v>29</v>
      </c>
      <c r="F337" s="1" t="s">
        <v>83</v>
      </c>
      <c r="G337" s="1" t="s">
        <v>89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1389.6260556016384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1466.7137259267088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0.50994632975025622</v>
      </c>
      <c r="R337" s="1">
        <v>69</v>
      </c>
      <c r="S337" s="1">
        <v>62</v>
      </c>
      <c r="T337" s="1">
        <v>0</v>
      </c>
      <c r="U337" s="1">
        <f>Games[[#This Row],[PointsFor]]-Games[[#This Row],[PointsAgainst]]</f>
        <v>7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0.3477667330947885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72.7</v>
      </c>
      <c r="Z337" s="4">
        <f>Games[[#This Row],[K]]*Games[[#This Row],[POMult]]</f>
        <v>72.7</v>
      </c>
      <c r="AA337" s="4">
        <f>(Games[[#This Row],[Keff]]*Games[[#This Row],[MOVMult]])*(Games[[#This Row],[Result]]-Games[[#This Row],[ExpectedWin%]])</f>
        <v>12.389851258718924</v>
      </c>
      <c r="AB337" s="4">
        <f>Games[[#This Row],[PreGmRate]]+Games[[#This Row],[RatingChange]]</f>
        <v>1402.0159068603573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36726</v>
      </c>
      <c r="B338" s="2">
        <v>2000</v>
      </c>
      <c r="C338" s="2">
        <f>COUNTIFS(Games[Team],Games[[#This Row],[Team]],Games[Season],Games[[#This Row],[Season]],Games[Date],"&lt;=" &amp; Games[[#This Row],[Date]])</f>
        <v>21</v>
      </c>
      <c r="D338" s="2" t="s">
        <v>23</v>
      </c>
      <c r="E338" s="2" t="s">
        <v>29</v>
      </c>
      <c r="F338" s="1" t="s">
        <v>77</v>
      </c>
      <c r="G338" s="1" t="s">
        <v>79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1482.7203700453615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1513.2840921580121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0.3408560283063643</v>
      </c>
      <c r="R338" s="1">
        <v>78</v>
      </c>
      <c r="S338" s="1">
        <v>88</v>
      </c>
      <c r="T338" s="1">
        <v>0</v>
      </c>
      <c r="U338" s="1">
        <f>Games[[#This Row],[PointsFor]]-Games[[#This Row],[PointsAgainst]]</f>
        <v>-10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0.41262035445593837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72.849999999999994</v>
      </c>
      <c r="Z338" s="4">
        <f>Games[[#This Row],[K]]*Games[[#This Row],[POMult]]</f>
        <v>72.849999999999994</v>
      </c>
      <c r="AA338" s="4">
        <f>(Games[[#This Row],[Keff]]*Games[[#This Row],[MOVMult]])*(Games[[#This Row],[Result]]-Games[[#This Row],[ExpectedWin%]])</f>
        <v>-10.245925250646991</v>
      </c>
      <c r="AB338" s="4">
        <f>Games[[#This Row],[PreGmRate]]+Games[[#This Row],[RatingChange]]</f>
        <v>1472.4744447947146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36726</v>
      </c>
      <c r="B339" s="2">
        <v>2000</v>
      </c>
      <c r="C339" s="2">
        <f>COUNTIFS(Games[Team],Games[[#This Row],[Team]],Games[Season],Games[[#This Row],[Season]],Games[Date],"&lt;=" &amp; Games[[#This Row],[Date]])</f>
        <v>22</v>
      </c>
      <c r="D339" s="2" t="s">
        <v>23</v>
      </c>
      <c r="E339" s="2" t="s">
        <v>29</v>
      </c>
      <c r="F339" s="1" t="s">
        <v>79</v>
      </c>
      <c r="G339" s="1" t="s">
        <v>77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1513.2840921580121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1482.7203700453615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0.6591439716936357</v>
      </c>
      <c r="R339" s="1">
        <v>88</v>
      </c>
      <c r="S339" s="1">
        <v>78</v>
      </c>
      <c r="T339" s="1">
        <v>0</v>
      </c>
      <c r="U339" s="1">
        <f>Games[[#This Row],[PointsFor]]-Games[[#This Row],[PointsAgainst]]</f>
        <v>10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0.41262035445593837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72.7</v>
      </c>
      <c r="Z339" s="4">
        <f>Games[[#This Row],[K]]*Games[[#This Row],[POMult]]</f>
        <v>72.7</v>
      </c>
      <c r="AA339" s="4">
        <f>(Games[[#This Row],[Keff]]*Games[[#This Row],[MOVMult]])*(Games[[#This Row],[Result]]-Games[[#This Row],[ExpectedWin%]])</f>
        <v>10.224828630364261</v>
      </c>
      <c r="AB339" s="4">
        <f>Games[[#This Row],[PreGmRate]]+Games[[#This Row],[RatingChange]]</f>
        <v>1523.5089207883764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36726</v>
      </c>
      <c r="B340" s="2">
        <v>2000</v>
      </c>
      <c r="C340" s="2">
        <f>COUNTIFS(Games[Team],Games[[#This Row],[Team]],Games[Season],Games[[#This Row],[Season]],Games[Date],"&lt;=" &amp; Games[[#This Row],[Date]])</f>
        <v>23</v>
      </c>
      <c r="D340" s="2" t="s">
        <v>23</v>
      </c>
      <c r="E340" s="2" t="s">
        <v>29</v>
      </c>
      <c r="F340" s="1" t="s">
        <v>43</v>
      </c>
      <c r="G340" s="1" t="s">
        <v>44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0" s="2">
        <f>Games[[#This Row],[DaysOff]]-Games[[#This Row],[OppDaysOff]]</f>
        <v>-1</v>
      </c>
      <c r="L340" s="2">
        <f>Games[[#This Row],[OppDaysOff]]-Games[[#This Row],[DaysOff]]</f>
        <v>1</v>
      </c>
      <c r="M340" s="1">
        <f>MAX(-16, MIN(16, Games[[#This Row],[RestDiff]]*8))</f>
        <v>-8</v>
      </c>
      <c r="N340" s="1">
        <f>MAX(-16, MIN(16, Games[[#This Row],[OppRestDiff]]*8))</f>
        <v>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1528.7546233420221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1599.7159653843617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0.27207255669470498</v>
      </c>
      <c r="R340" s="1">
        <v>76</v>
      </c>
      <c r="S340" s="1">
        <v>86</v>
      </c>
      <c r="T340" s="1">
        <v>0</v>
      </c>
      <c r="U340" s="1">
        <f>Games[[#This Row],[PointsFor]]-Games[[#This Row],[PointsAgainst]]</f>
        <v>-10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0.39950517958541171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72.55</v>
      </c>
      <c r="Z340" s="4">
        <f>Games[[#This Row],[K]]*Games[[#This Row],[POMult]]</f>
        <v>72.55</v>
      </c>
      <c r="AA340" s="4">
        <f>(Games[[#This Row],[Keff]]*Games[[#This Row],[MOVMult]])*(Games[[#This Row],[Result]]-Games[[#This Row],[ExpectedWin%]])</f>
        <v>-7.8857784024181949</v>
      </c>
      <c r="AB340" s="4">
        <f>Games[[#This Row],[PreGmRate]]+Games[[#This Row],[RatingChange]]</f>
        <v>1520.8688449396038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36726</v>
      </c>
      <c r="B341" s="2">
        <v>2000</v>
      </c>
      <c r="C341" s="2">
        <f>COUNTIFS(Games[Team],Games[[#This Row],[Team]],Games[Season],Games[[#This Row],[Season]],Games[Date],"&lt;=" &amp; Games[[#This Row],[Date]])</f>
        <v>21</v>
      </c>
      <c r="D341" s="2" t="s">
        <v>23</v>
      </c>
      <c r="E341" s="2" t="s">
        <v>29</v>
      </c>
      <c r="F341" s="1" t="s">
        <v>44</v>
      </c>
      <c r="G341" s="1" t="s">
        <v>43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1" s="2">
        <f>Games[[#This Row],[DaysOff]]-Games[[#This Row],[OppDaysOff]]</f>
        <v>1</v>
      </c>
      <c r="L341" s="2">
        <f>Games[[#This Row],[OppDaysOff]]-Games[[#This Row],[DaysOff]]</f>
        <v>-1</v>
      </c>
      <c r="M341" s="1">
        <f>MAX(-16, MIN(16, Games[[#This Row],[RestDiff]]*8))</f>
        <v>8</v>
      </c>
      <c r="N341" s="1">
        <f>MAX(-16, MIN(16, Games[[#This Row],[OppRestDiff]]*8))</f>
        <v>-8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1599.7159653843617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1528.7546233420221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0.72792744330529502</v>
      </c>
      <c r="R341" s="1">
        <v>86</v>
      </c>
      <c r="S341" s="1">
        <v>76</v>
      </c>
      <c r="T341" s="1">
        <v>0</v>
      </c>
      <c r="U341" s="1">
        <f>Games[[#This Row],[PointsFor]]-Games[[#This Row],[PointsAgainst]]</f>
        <v>10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0.39950517958541171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72.849999999999994</v>
      </c>
      <c r="Z341" s="4">
        <f>Games[[#This Row],[K]]*Games[[#This Row],[POMult]]</f>
        <v>72.849999999999994</v>
      </c>
      <c r="AA341" s="4">
        <f>(Games[[#This Row],[Keff]]*Games[[#This Row],[MOVMult]])*(Games[[#This Row],[Result]]-Games[[#This Row],[ExpectedWin%]])</f>
        <v>7.9183867211049686</v>
      </c>
      <c r="AB341" s="4">
        <f>Games[[#This Row],[PreGmRate]]+Games[[#This Row],[RatingChange]]</f>
        <v>1607.6343521054666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36726</v>
      </c>
      <c r="B342" s="2">
        <v>2000</v>
      </c>
      <c r="C342" s="2">
        <f>COUNTIFS(Games[Team],Games[[#This Row],[Team]],Games[Season],Games[[#This Row],[Season]],Games[Date],"&lt;=" &amp; Games[[#This Row],[Date]])</f>
        <v>22</v>
      </c>
      <c r="D342" s="2" t="s">
        <v>23</v>
      </c>
      <c r="E342" s="2" t="s">
        <v>29</v>
      </c>
      <c r="F342" s="1" t="s">
        <v>66</v>
      </c>
      <c r="G342" s="1" t="s">
        <v>87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1546.1842165644759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1340.619014940537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0.66814022472976198</v>
      </c>
      <c r="R342" s="1">
        <v>78</v>
      </c>
      <c r="S342" s="1">
        <v>55</v>
      </c>
      <c r="T342" s="1">
        <v>0</v>
      </c>
      <c r="U342" s="1">
        <f>Games[[#This Row],[PointsFor]]-Games[[#This Row],[PointsAgainst]]</f>
        <v>23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0.52534405534598849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72.7</v>
      </c>
      <c r="Z342" s="4">
        <f>Games[[#This Row],[K]]*Games[[#This Row],[POMult]]</f>
        <v>72.7</v>
      </c>
      <c r="AA342" s="4">
        <f>(Games[[#This Row],[Keff]]*Games[[#This Row],[MOVMult]])*(Games[[#This Row],[Result]]-Games[[#This Row],[ExpectedWin%]])</f>
        <v>12.67455872266329</v>
      </c>
      <c r="AB342" s="4">
        <f>Games[[#This Row],[PreGmRate]]+Games[[#This Row],[RatingChange]]</f>
        <v>1558.8587752871392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36726</v>
      </c>
      <c r="B343" s="2">
        <v>2000</v>
      </c>
      <c r="C343" s="2">
        <f>COUNTIFS(Games[Team],Games[[#This Row],[Team]],Games[Season],Games[[#This Row],[Season]],Games[Date],"&lt;=" &amp; Games[[#This Row],[Date]])</f>
        <v>22</v>
      </c>
      <c r="D343" s="2" t="s">
        <v>23</v>
      </c>
      <c r="E343" s="2" t="s">
        <v>29</v>
      </c>
      <c r="F343" s="1" t="s">
        <v>87</v>
      </c>
      <c r="G343" s="1" t="s">
        <v>66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1340.619014940537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1546.1842165644759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0.33185977527023797</v>
      </c>
      <c r="R343" s="1">
        <v>55</v>
      </c>
      <c r="S343" s="1">
        <v>78</v>
      </c>
      <c r="T343" s="1">
        <v>0</v>
      </c>
      <c r="U343" s="1">
        <f>Games[[#This Row],[PointsFor]]-Games[[#This Row],[PointsAgainst]]</f>
        <v>-23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0.52534405534598849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72.7</v>
      </c>
      <c r="Z343" s="4">
        <f>Games[[#This Row],[K]]*Games[[#This Row],[POMult]]</f>
        <v>72.7</v>
      </c>
      <c r="AA343" s="4">
        <f>(Games[[#This Row],[Keff]]*Games[[#This Row],[MOVMult]])*(Games[[#This Row],[Result]]-Games[[#This Row],[ExpectedWin%]])</f>
        <v>-12.674558722663289</v>
      </c>
      <c r="AB343" s="4">
        <f>Games[[#This Row],[PreGmRate]]+Games[[#This Row],[RatingChange]]</f>
        <v>1327.9444562178737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36727</v>
      </c>
      <c r="B344" s="2">
        <v>2000</v>
      </c>
      <c r="C344" s="2">
        <f>COUNTIFS(Games[Team],Games[[#This Row],[Team]],Games[Season],Games[[#This Row],[Season]],Games[Date],"&lt;=" &amp; Games[[#This Row],[Date]])</f>
        <v>23</v>
      </c>
      <c r="D344" s="2" t="s">
        <v>23</v>
      </c>
      <c r="E344" s="2" t="s">
        <v>29</v>
      </c>
      <c r="F344" s="1" t="s">
        <v>2</v>
      </c>
      <c r="G344" s="1" t="s">
        <v>1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4" s="2">
        <f>Games[[#This Row],[DaysOff]]-Games[[#This Row],[OppDaysOff]]</f>
        <v>1</v>
      </c>
      <c r="L344" s="2">
        <f>Games[[#This Row],[OppDaysOff]]-Games[[#This Row],[DaysOff]]</f>
        <v>-1</v>
      </c>
      <c r="M344" s="1">
        <f>MAX(-16, MIN(16, Games[[#This Row],[RestDiff]]*8))</f>
        <v>8</v>
      </c>
      <c r="N344" s="1">
        <f>MAX(-16, MIN(16, Games[[#This Row],[OppRestDiff]]*8))</f>
        <v>-8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1721.1112496765213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1495.9570073299055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0.71190466172056432</v>
      </c>
      <c r="R344" s="1">
        <v>74</v>
      </c>
      <c r="S344" s="1">
        <v>56</v>
      </c>
      <c r="T344" s="1">
        <v>0</v>
      </c>
      <c r="U344" s="1">
        <f>Games[[#This Row],[PointsFor]]-Games[[#This Row],[PointsAgainst]]</f>
        <v>18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0.4604418939743008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72.55</v>
      </c>
      <c r="Z344" s="4">
        <f>Games[[#This Row],[K]]*Games[[#This Row],[POMult]]</f>
        <v>72.55</v>
      </c>
      <c r="AA344" s="4">
        <f>(Games[[#This Row],[Keff]]*Games[[#This Row],[MOVMult]])*(Games[[#This Row],[Result]]-Games[[#This Row],[ExpectedWin%]])</f>
        <v>9.6238418903450196</v>
      </c>
      <c r="AB344" s="4">
        <f>Games[[#This Row],[PreGmRate]]+Games[[#This Row],[RatingChange]]</f>
        <v>1730.7350915668662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36727</v>
      </c>
      <c r="B345" s="2">
        <v>2000</v>
      </c>
      <c r="C345" s="2">
        <f>COUNTIFS(Games[Team],Games[[#This Row],[Team]],Games[Season],Games[[#This Row],[Season]],Games[Date],"&lt;=" &amp; Games[[#This Row],[Date]])</f>
        <v>21</v>
      </c>
      <c r="D345" s="2" t="s">
        <v>23</v>
      </c>
      <c r="E345" s="2" t="s">
        <v>29</v>
      </c>
      <c r="F345" s="1" t="s">
        <v>1</v>
      </c>
      <c r="G345" s="1" t="s">
        <v>2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5" s="2">
        <f>Games[[#This Row],[DaysOff]]-Games[[#This Row],[OppDaysOff]]</f>
        <v>-1</v>
      </c>
      <c r="L345" s="2">
        <f>Games[[#This Row],[OppDaysOff]]-Games[[#This Row],[DaysOff]]</f>
        <v>1</v>
      </c>
      <c r="M345" s="1">
        <f>MAX(-16, MIN(16, Games[[#This Row],[RestDiff]]*8))</f>
        <v>-8</v>
      </c>
      <c r="N345" s="1">
        <f>MAX(-16, MIN(16, Games[[#This Row],[OppRestDiff]]*8))</f>
        <v>8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1495.9570073299055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1721.1112496765213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0.28809533827943568</v>
      </c>
      <c r="R345" s="1">
        <v>56</v>
      </c>
      <c r="S345" s="1">
        <v>74</v>
      </c>
      <c r="T345" s="1">
        <v>0</v>
      </c>
      <c r="U345" s="1">
        <f>Games[[#This Row],[PointsFor]]-Games[[#This Row],[PointsAgainst]]</f>
        <v>-18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0.4604418939743008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72.849999999999994</v>
      </c>
      <c r="Z345" s="4">
        <f>Games[[#This Row],[K]]*Games[[#This Row],[POMult]]</f>
        <v>72.849999999999994</v>
      </c>
      <c r="AA345" s="4">
        <f>(Games[[#This Row],[Keff]]*Games[[#This Row],[MOVMult]])*(Games[[#This Row],[Result]]-Games[[#This Row],[ExpectedWin%]])</f>
        <v>-9.6636372393057854</v>
      </c>
      <c r="AB345" s="4">
        <f>Games[[#This Row],[PreGmRate]]+Games[[#This Row],[RatingChange]]</f>
        <v>1486.2933700905996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36727</v>
      </c>
      <c r="B346" s="2">
        <v>2000</v>
      </c>
      <c r="C346" s="2">
        <f>COUNTIFS(Games[Team],Games[[#This Row],[Team]],Games[Season],Games[[#This Row],[Season]],Games[Date],"&lt;=" &amp; Games[[#This Row],[Date]])</f>
        <v>23</v>
      </c>
      <c r="D346" s="2" t="s">
        <v>23</v>
      </c>
      <c r="E346" s="2" t="s">
        <v>29</v>
      </c>
      <c r="F346" s="1" t="s">
        <v>66</v>
      </c>
      <c r="G346" s="1" t="s">
        <v>71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6" s="2">
        <f>Games[[#This Row],[DaysOff]]-Games[[#This Row],[OppDaysOff]]</f>
        <v>-4</v>
      </c>
      <c r="L346" s="2">
        <f>Games[[#This Row],[OppDaysOff]]-Games[[#This Row],[DaysOff]]</f>
        <v>4</v>
      </c>
      <c r="M346" s="1">
        <f>MAX(-16, MIN(16, Games[[#This Row],[RestDiff]]*8))</f>
        <v>-16</v>
      </c>
      <c r="N346" s="1">
        <f>MAX(-16, MIN(16, Games[[#This Row],[OppRestDiff]]*8))</f>
        <v>16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1558.8587752871392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1676.8518150042084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0.20636581880253632</v>
      </c>
      <c r="R346" s="1">
        <v>66</v>
      </c>
      <c r="S346" s="1">
        <v>82</v>
      </c>
      <c r="T346" s="1">
        <v>0</v>
      </c>
      <c r="U346" s="1">
        <f>Games[[#This Row],[PointsFor]]-Games[[#This Row],[PointsAgainst]]</f>
        <v>-16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0.47143135055512642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72.55</v>
      </c>
      <c r="Z346" s="4">
        <f>Games[[#This Row],[K]]*Games[[#This Row],[POMult]]</f>
        <v>72.55</v>
      </c>
      <c r="AA346" s="4">
        <f>(Games[[#This Row],[Keff]]*Games[[#This Row],[MOVMult]])*(Games[[#This Row],[Result]]-Games[[#This Row],[ExpectedWin%]])</f>
        <v>-7.0581948241541541</v>
      </c>
      <c r="AB346" s="4">
        <f>Games[[#This Row],[PreGmRate]]+Games[[#This Row],[RatingChange]]</f>
        <v>1551.8005804629852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36727</v>
      </c>
      <c r="B347" s="2">
        <v>2000</v>
      </c>
      <c r="C347" s="2">
        <f>COUNTIFS(Games[Team],Games[[#This Row],[Team]],Games[Season],Games[[#This Row],[Season]],Games[Date],"&lt;=" &amp; Games[[#This Row],[Date]])</f>
        <v>22</v>
      </c>
      <c r="D347" s="2" t="s">
        <v>23</v>
      </c>
      <c r="E347" s="2" t="s">
        <v>29</v>
      </c>
      <c r="F347" s="1" t="s">
        <v>71</v>
      </c>
      <c r="G347" s="1" t="s">
        <v>66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7" s="2">
        <f>Games[[#This Row],[DaysOff]]-Games[[#This Row],[OppDaysOff]]</f>
        <v>4</v>
      </c>
      <c r="L347" s="2">
        <f>Games[[#This Row],[OppDaysOff]]-Games[[#This Row],[DaysOff]]</f>
        <v>-4</v>
      </c>
      <c r="M347" s="1">
        <f>MAX(-16, MIN(16, Games[[#This Row],[RestDiff]]*8))</f>
        <v>16</v>
      </c>
      <c r="N347" s="1">
        <f>MAX(-16, MIN(16, Games[[#This Row],[OppRestDiff]]*8))</f>
        <v>-16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1676.8518150042084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1558.8587752871392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0.79363418119746365</v>
      </c>
      <c r="R347" s="1">
        <v>82</v>
      </c>
      <c r="S347" s="1">
        <v>66</v>
      </c>
      <c r="T347" s="1">
        <v>0</v>
      </c>
      <c r="U347" s="1">
        <f>Games[[#This Row],[PointsFor]]-Games[[#This Row],[PointsAgainst]]</f>
        <v>16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0.47143135055512642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72.7</v>
      </c>
      <c r="Z347" s="4">
        <f>Games[[#This Row],[K]]*Games[[#This Row],[POMult]]</f>
        <v>72.7</v>
      </c>
      <c r="AA347" s="4">
        <f>(Games[[#This Row],[Keff]]*Games[[#This Row],[MOVMult]])*(Games[[#This Row],[Result]]-Games[[#This Row],[ExpectedWin%]])</f>
        <v>7.072787921654129</v>
      </c>
      <c r="AB347" s="4">
        <f>Games[[#This Row],[PreGmRate]]+Games[[#This Row],[RatingChange]]</f>
        <v>1683.9246029258625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36727</v>
      </c>
      <c r="B348" s="2">
        <v>2000</v>
      </c>
      <c r="C348" s="2">
        <f>COUNTIFS(Games[Team],Games[[#This Row],[Team]],Games[Season],Games[[#This Row],[Season]],Games[Date],"&lt;=" &amp; Games[[#This Row],[Date]])</f>
        <v>22</v>
      </c>
      <c r="D348" s="2" t="s">
        <v>23</v>
      </c>
      <c r="E348" s="2" t="s">
        <v>29</v>
      </c>
      <c r="F348" s="1" t="s">
        <v>80</v>
      </c>
      <c r="G348" s="1" t="s">
        <v>45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1483.4451683311372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1566.7966176040047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0.27620749465987759</v>
      </c>
      <c r="R348" s="1">
        <v>56</v>
      </c>
      <c r="S348" s="1">
        <v>73</v>
      </c>
      <c r="T348" s="1">
        <v>0</v>
      </c>
      <c r="U348" s="1">
        <f>Games[[#This Row],[PointsFor]]-Games[[#This Row],[PointsAgainst]]</f>
        <v>-17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0.49786088079022128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72.7</v>
      </c>
      <c r="Z348" s="4">
        <f>Games[[#This Row],[K]]*Games[[#This Row],[POMult]]</f>
        <v>72.7</v>
      </c>
      <c r="AA348" s="4">
        <f>(Games[[#This Row],[Keff]]*Games[[#This Row],[MOVMult]])*(Games[[#This Row],[Result]]-Games[[#This Row],[ExpectedWin%]])</f>
        <v>-9.9971883078009025</v>
      </c>
      <c r="AB348" s="4">
        <f>Games[[#This Row],[PreGmRate]]+Games[[#This Row],[RatingChange]]</f>
        <v>1473.4479800233364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36727</v>
      </c>
      <c r="B349" s="2">
        <v>2000</v>
      </c>
      <c r="C349" s="2">
        <f>COUNTIFS(Games[Team],Games[[#This Row],[Team]],Games[Season],Games[[#This Row],[Season]],Games[Date],"&lt;=" &amp; Games[[#This Row],[Date]])</f>
        <v>23</v>
      </c>
      <c r="D349" s="2" t="s">
        <v>23</v>
      </c>
      <c r="E349" s="2" t="s">
        <v>29</v>
      </c>
      <c r="F349" s="1" t="s">
        <v>45</v>
      </c>
      <c r="G349" s="1" t="s">
        <v>80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1566.7966176040047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1483.4451683311372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0.72379250534012241</v>
      </c>
      <c r="R349" s="1">
        <v>73</v>
      </c>
      <c r="S349" s="1">
        <v>56</v>
      </c>
      <c r="T349" s="1">
        <v>0</v>
      </c>
      <c r="U349" s="1">
        <f>Games[[#This Row],[PointsFor]]-Games[[#This Row],[PointsAgainst]]</f>
        <v>17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0.49786088079022128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72.55</v>
      </c>
      <c r="Z349" s="4">
        <f>Games[[#This Row],[K]]*Games[[#This Row],[POMult]]</f>
        <v>72.55</v>
      </c>
      <c r="AA349" s="4">
        <f>(Games[[#This Row],[Keff]]*Games[[#This Row],[MOVMult]])*(Games[[#This Row],[Result]]-Games[[#This Row],[ExpectedWin%]])</f>
        <v>9.9765613718150696</v>
      </c>
      <c r="AB349" s="4">
        <f>Games[[#This Row],[PreGmRate]]+Games[[#This Row],[RatingChange]]</f>
        <v>1576.7731789758197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36727</v>
      </c>
      <c r="B350" s="2">
        <v>2000</v>
      </c>
      <c r="C350" s="2">
        <f>COUNTIFS(Games[Team],Games[[#This Row],[Team]],Games[Season],Games[[#This Row],[Season]],Games[Date],"&lt;=" &amp; Games[[#This Row],[Date]])</f>
        <v>21</v>
      </c>
      <c r="D350" s="2" t="s">
        <v>23</v>
      </c>
      <c r="E350" s="2" t="s">
        <v>29</v>
      </c>
      <c r="F350" s="1" t="s">
        <v>85</v>
      </c>
      <c r="G350" s="1" t="s">
        <v>75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1406.9493365939188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1423.7278050938578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0.35890325686865832</v>
      </c>
      <c r="R350" s="1">
        <v>74</v>
      </c>
      <c r="S350" s="1">
        <v>85</v>
      </c>
      <c r="T350" s="1">
        <v>0</v>
      </c>
      <c r="U350" s="1">
        <f>Games[[#This Row],[PointsFor]]-Games[[#This Row],[PointsAgainst]]</f>
        <v>-11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0.43377095993475345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72.849999999999994</v>
      </c>
      <c r="Z350" s="4">
        <f>Games[[#This Row],[K]]*Games[[#This Row],[POMult]]</f>
        <v>72.849999999999994</v>
      </c>
      <c r="AA350" s="4">
        <f>(Games[[#This Row],[Keff]]*Games[[#This Row],[MOVMult]])*(Games[[#This Row],[Result]]-Games[[#This Row],[ExpectedWin%]])</f>
        <v>-11.341419877122449</v>
      </c>
      <c r="AB350" s="4">
        <f>Games[[#This Row],[PreGmRate]]+Games[[#This Row],[RatingChange]]</f>
        <v>1395.6079167167964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36727</v>
      </c>
      <c r="B351" s="2">
        <v>2000</v>
      </c>
      <c r="C351" s="2">
        <f>COUNTIFS(Games[Team],Games[[#This Row],[Team]],Games[Season],Games[[#This Row],[Season]],Games[Date],"&lt;=" &amp; Games[[#This Row],[Date]])</f>
        <v>22</v>
      </c>
      <c r="D351" s="2" t="s">
        <v>23</v>
      </c>
      <c r="E351" s="2" t="s">
        <v>29</v>
      </c>
      <c r="F351" s="1" t="s">
        <v>75</v>
      </c>
      <c r="G351" s="1" t="s">
        <v>85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1423.7278050938578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1406.9493365939188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0.64109674313134168</v>
      </c>
      <c r="R351" s="1">
        <v>85</v>
      </c>
      <c r="S351" s="1">
        <v>74</v>
      </c>
      <c r="T351" s="1">
        <v>0</v>
      </c>
      <c r="U351" s="1">
        <f>Games[[#This Row],[PointsFor]]-Games[[#This Row],[PointsAgainst]]</f>
        <v>11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0.43377095993475345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72.7</v>
      </c>
      <c r="Z351" s="4">
        <f>Games[[#This Row],[K]]*Games[[#This Row],[POMult]]</f>
        <v>72.7</v>
      </c>
      <c r="AA351" s="4">
        <f>(Games[[#This Row],[Keff]]*Games[[#This Row],[MOVMult]])*(Games[[#This Row],[Result]]-Games[[#This Row],[ExpectedWin%]])</f>
        <v>11.318067605584107</v>
      </c>
      <c r="AB351" s="4">
        <f>Games[[#This Row],[PreGmRate]]+Games[[#This Row],[RatingChange]]</f>
        <v>1435.0458726994418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36728</v>
      </c>
      <c r="B352" s="2">
        <v>2000</v>
      </c>
      <c r="C352" s="2">
        <f>COUNTIFS(Games[Team],Games[[#This Row],[Team]],Games[Season],Games[[#This Row],[Season]],Games[Date],"&lt;=" &amp; Games[[#This Row],[Date]])</f>
        <v>22</v>
      </c>
      <c r="D352" s="2" t="s">
        <v>23</v>
      </c>
      <c r="E352" s="2" t="s">
        <v>29</v>
      </c>
      <c r="F352" s="1" t="s">
        <v>89</v>
      </c>
      <c r="G352" s="1" t="s">
        <v>64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52" s="2">
        <f>Games[[#This Row],[DaysOff]]-Games[[#This Row],[OppDaysOff]]</f>
        <v>-4</v>
      </c>
      <c r="L352" s="2">
        <f>Games[[#This Row],[OppDaysOff]]-Games[[#This Row],[DaysOff]]</f>
        <v>4</v>
      </c>
      <c r="M352" s="1">
        <f>MAX(-16, MIN(16, Games[[#This Row],[RestDiff]]*8))</f>
        <v>-16</v>
      </c>
      <c r="N352" s="1">
        <f>MAX(-16, MIN(16, Games[[#This Row],[OppRestDiff]]*8))</f>
        <v>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1454.2983110133982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1356.8522255910857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0.47332412401692942</v>
      </c>
      <c r="R352" s="1">
        <v>64</v>
      </c>
      <c r="S352" s="1">
        <v>73</v>
      </c>
      <c r="T352" s="1">
        <v>0</v>
      </c>
      <c r="U352" s="1">
        <f>Games[[#This Row],[PointsFor]]-Games[[#This Row],[PointsAgainst]]</f>
        <v>-9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0.37548059842357245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72.7</v>
      </c>
      <c r="Z352" s="4">
        <f>Games[[#This Row],[K]]*Games[[#This Row],[POMult]]</f>
        <v>72.7</v>
      </c>
      <c r="AA352" s="4">
        <f>(Games[[#This Row],[Keff]]*Games[[#This Row],[MOVMult]])*(Games[[#This Row],[Result]]-Games[[#This Row],[ExpectedWin%]])</f>
        <v>-12.920536641795605</v>
      </c>
      <c r="AB352" s="4">
        <f>Games[[#This Row],[PreGmRate]]+Games[[#This Row],[RatingChange]]</f>
        <v>1441.3777743716025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36728</v>
      </c>
      <c r="B353" s="2">
        <v>2000</v>
      </c>
      <c r="C353" s="2">
        <f>COUNTIFS(Games[Team],Games[[#This Row],[Team]],Games[Season],Games[[#This Row],[Season]],Games[Date],"&lt;=" &amp; Games[[#This Row],[Date]])</f>
        <v>22</v>
      </c>
      <c r="D353" s="2" t="s">
        <v>23</v>
      </c>
      <c r="E353" s="2" t="s">
        <v>29</v>
      </c>
      <c r="F353" s="1" t="s">
        <v>64</v>
      </c>
      <c r="G353" s="1" t="s">
        <v>89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4</v>
      </c>
      <c r="L353" s="2">
        <f>Games[[#This Row],[OppDaysOff]]-Games[[#This Row],[DaysOff]]</f>
        <v>-4</v>
      </c>
      <c r="M353" s="1">
        <f>MAX(-16, MIN(16, Games[[#This Row],[RestDiff]]*8))</f>
        <v>16</v>
      </c>
      <c r="N353" s="1">
        <f>MAX(-16, MIN(16, Games[[#This Row],[OppRestDiff]]*8))</f>
        <v>-16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1356.8522255910857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1454.2983110133982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0.52667587598307064</v>
      </c>
      <c r="R353" s="1">
        <v>73</v>
      </c>
      <c r="S353" s="1">
        <v>64</v>
      </c>
      <c r="T353" s="1">
        <v>0</v>
      </c>
      <c r="U353" s="1">
        <f>Games[[#This Row],[PointsFor]]-Games[[#This Row],[PointsAgainst]]</f>
        <v>9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0.37548059842357245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72.7</v>
      </c>
      <c r="Z353" s="4">
        <f>Games[[#This Row],[K]]*Games[[#This Row],[POMult]]</f>
        <v>72.7</v>
      </c>
      <c r="AA353" s="4">
        <f>(Games[[#This Row],[Keff]]*Games[[#This Row],[MOVMult]])*(Games[[#This Row],[Result]]-Games[[#This Row],[ExpectedWin%]])</f>
        <v>12.920536641795604</v>
      </c>
      <c r="AB353" s="4">
        <f>Games[[#This Row],[PreGmRate]]+Games[[#This Row],[RatingChange]]</f>
        <v>1369.7727622328814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36728</v>
      </c>
      <c r="B354" s="2">
        <v>2000</v>
      </c>
      <c r="C354" s="2">
        <f>COUNTIFS(Games[Team],Games[[#This Row],[Team]],Games[Season],Games[[#This Row],[Season]],Games[Date],"&lt;=" &amp; Games[[#This Row],[Date]])</f>
        <v>24</v>
      </c>
      <c r="D354" s="2" t="s">
        <v>23</v>
      </c>
      <c r="E354" s="2" t="s">
        <v>29</v>
      </c>
      <c r="F354" s="1" t="s">
        <v>2</v>
      </c>
      <c r="G354" s="1" t="s">
        <v>77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1730.7350915668662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1472.4744447947146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0.7132091508603422</v>
      </c>
      <c r="R354" s="1">
        <v>76</v>
      </c>
      <c r="S354" s="1">
        <v>74</v>
      </c>
      <c r="T354" s="1">
        <v>1</v>
      </c>
      <c r="U354" s="1">
        <f>Games[[#This Row],[PointsFor]]-Games[[#This Row],[PointsAgainst]]</f>
        <v>2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0.19836551655887941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72.400000000000006</v>
      </c>
      <c r="Z354" s="4">
        <f>Games[[#This Row],[K]]*Games[[#This Row],[POMult]]</f>
        <v>72.400000000000006</v>
      </c>
      <c r="AA354" s="4">
        <f>(Games[[#This Row],[Keff]]*Games[[#This Row],[MOVMult]])*(Games[[#This Row],[Result]]-Games[[#This Row],[ExpectedWin%]])</f>
        <v>4.1187936412178265</v>
      </c>
      <c r="AB354" s="4">
        <f>Games[[#This Row],[PreGmRate]]+Games[[#This Row],[RatingChange]]</f>
        <v>1734.853885208084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36728</v>
      </c>
      <c r="B355" s="2">
        <v>2000</v>
      </c>
      <c r="C355" s="2">
        <f>COUNTIFS(Games[Team],Games[[#This Row],[Team]],Games[Season],Games[[#This Row],[Season]],Games[Date],"&lt;=" &amp; Games[[#This Row],[Date]])</f>
        <v>22</v>
      </c>
      <c r="D355" s="2" t="s">
        <v>23</v>
      </c>
      <c r="E355" s="2" t="s">
        <v>29</v>
      </c>
      <c r="F355" s="1" t="s">
        <v>77</v>
      </c>
      <c r="G355" s="1" t="s">
        <v>2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1472.4744447947146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1730.7350915668662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0.28679084913965786</v>
      </c>
      <c r="R355" s="1">
        <v>74</v>
      </c>
      <c r="S355" s="1">
        <v>76</v>
      </c>
      <c r="T355" s="1">
        <v>1</v>
      </c>
      <c r="U355" s="1">
        <f>Games[[#This Row],[PointsFor]]-Games[[#This Row],[PointsAgainst]]</f>
        <v>-2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0.19836551655887941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72.7</v>
      </c>
      <c r="Z355" s="4">
        <f>Games[[#This Row],[K]]*Games[[#This Row],[POMult]]</f>
        <v>72.7</v>
      </c>
      <c r="AA355" s="4">
        <f>(Games[[#This Row],[Keff]]*Games[[#This Row],[MOVMult]])*(Games[[#This Row],[Result]]-Games[[#This Row],[ExpectedWin%]])</f>
        <v>-4.1358604656980118</v>
      </c>
      <c r="AB355" s="4">
        <f>Games[[#This Row],[PreGmRate]]+Games[[#This Row],[RatingChange]]</f>
        <v>1468.3385843290166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36728</v>
      </c>
      <c r="B356" s="2">
        <v>2000</v>
      </c>
      <c r="C356" s="2">
        <f>COUNTIFS(Games[Team],Games[[#This Row],[Team]],Games[Season],Games[[#This Row],[Season]],Games[Date],"&lt;=" &amp; Games[[#This Row],[Date]])</f>
        <v>24</v>
      </c>
      <c r="D356" s="2" t="s">
        <v>23</v>
      </c>
      <c r="E356" s="2" t="s">
        <v>29</v>
      </c>
      <c r="F356" s="1" t="s">
        <v>43</v>
      </c>
      <c r="G356" s="1" t="s">
        <v>83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1520.8688449396038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1402.0159068603573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0.54998983854703098</v>
      </c>
      <c r="R356" s="1">
        <v>65</v>
      </c>
      <c r="S356" s="1">
        <v>76</v>
      </c>
      <c r="T356" s="1">
        <v>0</v>
      </c>
      <c r="U356" s="1">
        <f>Games[[#This Row],[PointsFor]]-Games[[#This Row],[PointsAgainst]]</f>
        <v>-11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0.40019864919726428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72.400000000000006</v>
      </c>
      <c r="Z356" s="4">
        <f>Games[[#This Row],[K]]*Games[[#This Row],[POMult]]</f>
        <v>72.400000000000006</v>
      </c>
      <c r="AA356" s="4">
        <f>(Games[[#This Row],[Keff]]*Games[[#This Row],[MOVMult]])*(Games[[#This Row],[Result]]-Games[[#This Row],[ExpectedWin%]])</f>
        <v>-15.935615789213015</v>
      </c>
      <c r="AB356" s="4">
        <f>Games[[#This Row],[PreGmRate]]+Games[[#This Row],[RatingChange]]</f>
        <v>1504.9332291503908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36728</v>
      </c>
      <c r="B357" s="2">
        <v>2000</v>
      </c>
      <c r="C357" s="2">
        <f>COUNTIFS(Games[Team],Games[[#This Row],[Team]],Games[Season],Games[[#This Row],[Season]],Games[Date],"&lt;=" &amp; Games[[#This Row],[Date]])</f>
        <v>23</v>
      </c>
      <c r="D357" s="2" t="s">
        <v>23</v>
      </c>
      <c r="E357" s="2" t="s">
        <v>29</v>
      </c>
      <c r="F357" s="1" t="s">
        <v>83</v>
      </c>
      <c r="G357" s="1" t="s">
        <v>43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1402.0159068603573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1520.8688449396038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0.45001016145296907</v>
      </c>
      <c r="R357" s="1">
        <v>76</v>
      </c>
      <c r="S357" s="1">
        <v>65</v>
      </c>
      <c r="T357" s="1">
        <v>0</v>
      </c>
      <c r="U357" s="1">
        <f>Games[[#This Row],[PointsFor]]-Games[[#This Row],[PointsAgainst]]</f>
        <v>11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0.40019864919726428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72.55</v>
      </c>
      <c r="Z357" s="4">
        <f>Games[[#This Row],[K]]*Games[[#This Row],[POMult]]</f>
        <v>72.55</v>
      </c>
      <c r="AA357" s="4">
        <f>(Games[[#This Row],[Keff]]*Games[[#This Row],[MOVMult]])*(Games[[#This Row],[Result]]-Games[[#This Row],[ExpectedWin%]])</f>
        <v>15.968631567781824</v>
      </c>
      <c r="AB357" s="4">
        <f>Games[[#This Row],[PreGmRate]]+Games[[#This Row],[RatingChange]]</f>
        <v>1417.9845384281391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36728</v>
      </c>
      <c r="B358" s="2">
        <v>2000</v>
      </c>
      <c r="C358" s="2">
        <f>COUNTIFS(Games[Team],Games[[#This Row],[Team]],Games[Season],Games[[#This Row],[Season]],Games[Date],"&lt;=" &amp; Games[[#This Row],[Date]])</f>
        <v>23</v>
      </c>
      <c r="D358" s="2" t="s">
        <v>23</v>
      </c>
      <c r="E358" s="2" t="s">
        <v>29</v>
      </c>
      <c r="F358" s="1" t="s">
        <v>71</v>
      </c>
      <c r="G358" s="1" t="s">
        <v>44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1683.9246029258625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1607.6343521054666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0.46593179679701463</v>
      </c>
      <c r="R358" s="1">
        <v>74</v>
      </c>
      <c r="S358" s="1">
        <v>68</v>
      </c>
      <c r="T358" s="1">
        <v>0</v>
      </c>
      <c r="U358" s="1">
        <f>Games[[#This Row],[PointsFor]]-Games[[#This Row],[PointsAgainst]]</f>
        <v>6</v>
      </c>
      <c r="V358" s="1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0.33028295330018176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72.55</v>
      </c>
      <c r="Z358" s="4">
        <f>Games[[#This Row],[K]]*Games[[#This Row],[POMult]]</f>
        <v>72.55</v>
      </c>
      <c r="AA358" s="4">
        <f>(Games[[#This Row],[Keff]]*Games[[#This Row],[MOVMult]])*(Games[[#This Row],[Result]]-Games[[#This Row],[ExpectedWin%]])</f>
        <v>12.79735737894714</v>
      </c>
      <c r="AB358" s="4">
        <f>Games[[#This Row],[PreGmRate]]+Games[[#This Row],[RatingChange]]</f>
        <v>1696.7219603048097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36728</v>
      </c>
      <c r="B359" s="2">
        <v>2000</v>
      </c>
      <c r="C359" s="2">
        <f>COUNTIFS(Games[Team],Games[[#This Row],[Team]],Games[Season],Games[[#This Row],[Season]],Games[Date],"&lt;=" &amp; Games[[#This Row],[Date]])</f>
        <v>22</v>
      </c>
      <c r="D359" s="2" t="s">
        <v>23</v>
      </c>
      <c r="E359" s="2" t="s">
        <v>29</v>
      </c>
      <c r="F359" s="1" t="s">
        <v>44</v>
      </c>
      <c r="G359" s="1" t="s">
        <v>71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1607.6343521054666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1683.9246029258625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0.53406820320298531</v>
      </c>
      <c r="R359" s="1">
        <v>68</v>
      </c>
      <c r="S359" s="1">
        <v>74</v>
      </c>
      <c r="T359" s="1">
        <v>0</v>
      </c>
      <c r="U359" s="1">
        <f>Games[[#This Row],[PointsFor]]-Games[[#This Row],[PointsAgainst]]</f>
        <v>-6</v>
      </c>
      <c r="V359" s="1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0.33028295330018176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72.7</v>
      </c>
      <c r="Z359" s="4">
        <f>Games[[#This Row],[K]]*Games[[#This Row],[POMult]]</f>
        <v>72.7</v>
      </c>
      <c r="AA359" s="4">
        <f>(Games[[#This Row],[Keff]]*Games[[#This Row],[MOVMult]])*(Games[[#This Row],[Result]]-Games[[#This Row],[ExpectedWin%]])</f>
        <v>-12.823816422459782</v>
      </c>
      <c r="AB359" s="4">
        <f>Games[[#This Row],[PreGmRate]]+Games[[#This Row],[RatingChange]]</f>
        <v>1594.8105356830069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36728</v>
      </c>
      <c r="B360" s="2">
        <v>2000</v>
      </c>
      <c r="C360" s="2">
        <f>COUNTIFS(Games[Team],Games[[#This Row],[Team]],Games[Season],Games[[#This Row],[Season]],Games[Date],"&lt;=" &amp; Games[[#This Row],[Date]])</f>
        <v>23</v>
      </c>
      <c r="D360" s="2" t="s">
        <v>23</v>
      </c>
      <c r="E360" s="2" t="s">
        <v>29</v>
      </c>
      <c r="F360" s="1" t="s">
        <v>80</v>
      </c>
      <c r="G360" s="1" t="s">
        <v>87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-1</v>
      </c>
      <c r="L360" s="2">
        <f>Games[[#This Row],[OppDaysOff]]-Games[[#This Row],[DaysOff]]</f>
        <v>1</v>
      </c>
      <c r="M360" s="1">
        <f>MAX(-16, MIN(16, Games[[#This Row],[RestDiff]]*8))</f>
        <v>-8</v>
      </c>
      <c r="N360" s="1">
        <f>MAX(-16, MIN(16, Games[[#This Row],[OppRestDiff]]*8))</f>
        <v>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1473.4479800233364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1327.9444562178737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0.56511296437985337</v>
      </c>
      <c r="R360" s="1">
        <v>61</v>
      </c>
      <c r="S360" s="1">
        <v>67</v>
      </c>
      <c r="T360" s="1">
        <v>0</v>
      </c>
      <c r="U360" s="1">
        <f>Games[[#This Row],[PointsFor]]-Games[[#This Row],[PointsAgainst]]</f>
        <v>-6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0.31329305784124961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72.55</v>
      </c>
      <c r="Z360" s="4">
        <f>Games[[#This Row],[K]]*Games[[#This Row],[POMult]]</f>
        <v>72.55</v>
      </c>
      <c r="AA360" s="4">
        <f>(Games[[#This Row],[Keff]]*Games[[#This Row],[MOVMult]])*(Games[[#This Row],[Result]]-Games[[#This Row],[ExpectedWin%]])</f>
        <v>-12.844685024563379</v>
      </c>
      <c r="AB360" s="4">
        <f>Games[[#This Row],[PreGmRate]]+Games[[#This Row],[RatingChange]]</f>
        <v>1460.603294998773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36728</v>
      </c>
      <c r="B361" s="2">
        <v>2000</v>
      </c>
      <c r="C361" s="2">
        <f>COUNTIFS(Games[Team],Games[[#This Row],[Team]],Games[Season],Games[[#This Row],[Season]],Games[Date],"&lt;=" &amp; Games[[#This Row],[Date]])</f>
        <v>23</v>
      </c>
      <c r="D361" s="2" t="s">
        <v>23</v>
      </c>
      <c r="E361" s="2" t="s">
        <v>29</v>
      </c>
      <c r="F361" s="1" t="s">
        <v>87</v>
      </c>
      <c r="G361" s="1" t="s">
        <v>80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1" s="2">
        <f>Games[[#This Row],[DaysOff]]-Games[[#This Row],[OppDaysOff]]</f>
        <v>1</v>
      </c>
      <c r="L361" s="2">
        <f>Games[[#This Row],[OppDaysOff]]-Games[[#This Row],[DaysOff]]</f>
        <v>-1</v>
      </c>
      <c r="M361" s="1">
        <f>MAX(-16, MIN(16, Games[[#This Row],[RestDiff]]*8))</f>
        <v>8</v>
      </c>
      <c r="N361" s="1">
        <f>MAX(-16, MIN(16, Games[[#This Row],[OppRestDiff]]*8))</f>
        <v>-8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1327.9444562178737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1473.4479800233364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0.43488703562014663</v>
      </c>
      <c r="R361" s="1">
        <v>67</v>
      </c>
      <c r="S361" s="1">
        <v>61</v>
      </c>
      <c r="T361" s="1">
        <v>0</v>
      </c>
      <c r="U361" s="1">
        <f>Games[[#This Row],[PointsFor]]-Games[[#This Row],[PointsAgainst]]</f>
        <v>6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0.31329305784124961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72.55</v>
      </c>
      <c r="Z361" s="4">
        <f>Games[[#This Row],[K]]*Games[[#This Row],[POMult]]</f>
        <v>72.55</v>
      </c>
      <c r="AA361" s="4">
        <f>(Games[[#This Row],[Keff]]*Games[[#This Row],[MOVMult]])*(Games[[#This Row],[Result]]-Games[[#This Row],[ExpectedWin%]])</f>
        <v>12.844685024563379</v>
      </c>
      <c r="AB361" s="4">
        <f>Games[[#This Row],[PreGmRate]]+Games[[#This Row],[RatingChange]]</f>
        <v>1340.7891412424372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36728</v>
      </c>
      <c r="B362" s="2">
        <v>2000</v>
      </c>
      <c r="C362" s="2">
        <f>COUNTIFS(Games[Team],Games[[#This Row],[Team]],Games[Season],Games[[#This Row],[Season]],Games[Date],"&lt;=" &amp; Games[[#This Row],[Date]])</f>
        <v>23</v>
      </c>
      <c r="D362" s="2" t="s">
        <v>23</v>
      </c>
      <c r="E362" s="2" t="s">
        <v>29</v>
      </c>
      <c r="F362" s="1" t="s">
        <v>79</v>
      </c>
      <c r="G362" s="1" t="s">
        <v>75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2" s="2">
        <f>Games[[#This Row],[DaysOff]]-Games[[#This Row],[OppDaysOff]]</f>
        <v>1</v>
      </c>
      <c r="L362" s="2">
        <f>Games[[#This Row],[OppDaysOff]]-Games[[#This Row],[DaysOff]]</f>
        <v>-1</v>
      </c>
      <c r="M362" s="1">
        <f>MAX(-16, MIN(16, Games[[#This Row],[RestDiff]]*8))</f>
        <v>8</v>
      </c>
      <c r="N362" s="1">
        <f>MAX(-16, MIN(16, Games[[#This Row],[OppRestDiff]]*8))</f>
        <v>-8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1523.5089207883764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1435.0458726994418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0.52941468906599576</v>
      </c>
      <c r="R362" s="1">
        <v>59</v>
      </c>
      <c r="S362" s="1">
        <v>61</v>
      </c>
      <c r="T362" s="1">
        <v>0</v>
      </c>
      <c r="U362" s="1">
        <f>Games[[#This Row],[PointsFor]]-Games[[#This Row],[PointsAgainst]]</f>
        <v>-2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0.24945192293121854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72.55</v>
      </c>
      <c r="Z362" s="4">
        <f>Games[[#This Row],[K]]*Games[[#This Row],[POMult]]</f>
        <v>72.55</v>
      </c>
      <c r="AA362" s="4">
        <f>(Games[[#This Row],[Keff]]*Games[[#This Row],[MOVMult]])*(Games[[#This Row],[Result]]-Games[[#This Row],[ExpectedWin%]])</f>
        <v>-9.5812078112378476</v>
      </c>
      <c r="AB362" s="4">
        <f>Games[[#This Row],[PreGmRate]]+Games[[#This Row],[RatingChange]]</f>
        <v>1513.9277129771385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36728</v>
      </c>
      <c r="B363" s="2">
        <v>2000</v>
      </c>
      <c r="C363" s="2">
        <f>COUNTIFS(Games[Team],Games[[#This Row],[Team]],Games[Season],Games[[#This Row],[Season]],Games[Date],"&lt;=" &amp; Games[[#This Row],[Date]])</f>
        <v>23</v>
      </c>
      <c r="D363" s="2" t="s">
        <v>23</v>
      </c>
      <c r="E363" s="2" t="s">
        <v>29</v>
      </c>
      <c r="F363" s="1" t="s">
        <v>75</v>
      </c>
      <c r="G363" s="1" t="s">
        <v>79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-1</v>
      </c>
      <c r="L363" s="2">
        <f>Games[[#This Row],[OppDaysOff]]-Games[[#This Row],[DaysOff]]</f>
        <v>1</v>
      </c>
      <c r="M363" s="1">
        <f>MAX(-16, MIN(16, Games[[#This Row],[RestDiff]]*8))</f>
        <v>-8</v>
      </c>
      <c r="N363" s="1">
        <f>MAX(-16, MIN(16, Games[[#This Row],[OppRestDiff]]*8))</f>
        <v>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1435.0458726994418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1523.5089207883764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0.47058531093400419</v>
      </c>
      <c r="R363" s="1">
        <v>61</v>
      </c>
      <c r="S363" s="1">
        <v>59</v>
      </c>
      <c r="T363" s="1">
        <v>0</v>
      </c>
      <c r="U363" s="1">
        <f>Games[[#This Row],[PointsFor]]-Games[[#This Row],[PointsAgainst]]</f>
        <v>2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0.24945192293121854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72.55</v>
      </c>
      <c r="Z363" s="4">
        <f>Games[[#This Row],[K]]*Games[[#This Row],[POMult]]</f>
        <v>72.55</v>
      </c>
      <c r="AA363" s="4">
        <f>(Games[[#This Row],[Keff]]*Games[[#This Row],[MOVMult]])*(Games[[#This Row],[Result]]-Games[[#This Row],[ExpectedWin%]])</f>
        <v>9.5812078112378494</v>
      </c>
      <c r="AB363" s="4">
        <f>Games[[#This Row],[PreGmRate]]+Games[[#This Row],[RatingChange]]</f>
        <v>1444.6270805106797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36729</v>
      </c>
      <c r="B364" s="2">
        <v>2000</v>
      </c>
      <c r="C364" s="2">
        <f>COUNTIFS(Games[Team],Games[[#This Row],[Team]],Games[Season],Games[[#This Row],[Season]],Games[Date],"&lt;=" &amp; Games[[#This Row],[Date]])</f>
        <v>24</v>
      </c>
      <c r="D364" s="2" t="s">
        <v>23</v>
      </c>
      <c r="E364" s="2" t="s">
        <v>29</v>
      </c>
      <c r="F364" s="1" t="s">
        <v>83</v>
      </c>
      <c r="G364" s="1" t="s">
        <v>1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-1</v>
      </c>
      <c r="L364" s="2">
        <f>Games[[#This Row],[OppDaysOff]]-Games[[#This Row],[DaysOff]]</f>
        <v>1</v>
      </c>
      <c r="M364" s="1">
        <f>MAX(-16, MIN(16, Games[[#This Row],[RestDiff]]*8))</f>
        <v>-8</v>
      </c>
      <c r="N364" s="1">
        <f>MAX(-16, MIN(16, Games[[#This Row],[OppRestDiff]]*8))</f>
        <v>8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1417.9845384281391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1486.2933700905996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0.27510708532187661</v>
      </c>
      <c r="R364" s="1">
        <v>47</v>
      </c>
      <c r="S364" s="1">
        <v>76</v>
      </c>
      <c r="T364" s="1">
        <v>0</v>
      </c>
      <c r="U364" s="1">
        <f>Games[[#This Row],[PointsFor]]-Games[[#This Row],[PointsAgainst]]</f>
        <v>-29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0.65412738861533293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72.400000000000006</v>
      </c>
      <c r="Z364" s="4">
        <f>Games[[#This Row],[K]]*Games[[#This Row],[POMult]]</f>
        <v>72.400000000000006</v>
      </c>
      <c r="AA364" s="4">
        <f>(Games[[#This Row],[Keff]]*Games[[#This Row],[MOVMult]])*(Games[[#This Row],[Result]]-Games[[#This Row],[ExpectedWin%]])</f>
        <v>-13.028747742129051</v>
      </c>
      <c r="AB364" s="4">
        <f>Games[[#This Row],[PreGmRate]]+Games[[#This Row],[RatingChange]]</f>
        <v>1404.95579068601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36729</v>
      </c>
      <c r="B365" s="2">
        <v>2000</v>
      </c>
      <c r="C365" s="2">
        <f>COUNTIFS(Games[Team],Games[[#This Row],[Team]],Games[Season],Games[[#This Row],[Season]],Games[Date],"&lt;=" &amp; Games[[#This Row],[Date]])</f>
        <v>22</v>
      </c>
      <c r="D365" s="2" t="s">
        <v>23</v>
      </c>
      <c r="E365" s="2" t="s">
        <v>29</v>
      </c>
      <c r="F365" s="1" t="s">
        <v>1</v>
      </c>
      <c r="G365" s="1" t="s">
        <v>83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5" s="2">
        <f>Games[[#This Row],[DaysOff]]-Games[[#This Row],[OppDaysOff]]</f>
        <v>1</v>
      </c>
      <c r="L365" s="2">
        <f>Games[[#This Row],[OppDaysOff]]-Games[[#This Row],[DaysOff]]</f>
        <v>-1</v>
      </c>
      <c r="M365" s="1">
        <f>MAX(-16, MIN(16, Games[[#This Row],[RestDiff]]*8))</f>
        <v>8</v>
      </c>
      <c r="N365" s="1">
        <f>MAX(-16, MIN(16, Games[[#This Row],[OppRestDiff]]*8))</f>
        <v>-8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1486.2933700905996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1417.9845384281391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0.72489291467812345</v>
      </c>
      <c r="R365" s="1">
        <v>76</v>
      </c>
      <c r="S365" s="1">
        <v>47</v>
      </c>
      <c r="T365" s="1">
        <v>0</v>
      </c>
      <c r="U365" s="1">
        <f>Games[[#This Row],[PointsFor]]-Games[[#This Row],[PointsAgainst]]</f>
        <v>29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0.65412738861533293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72.7</v>
      </c>
      <c r="Z365" s="4">
        <f>Games[[#This Row],[K]]*Games[[#This Row],[POMult]]</f>
        <v>72.7</v>
      </c>
      <c r="AA365" s="4">
        <f>(Games[[#This Row],[Keff]]*Games[[#This Row],[MOVMult]])*(Games[[#This Row],[Result]]-Games[[#This Row],[ExpectedWin%]])</f>
        <v>13.082734265922403</v>
      </c>
      <c r="AB365" s="4">
        <f>Games[[#This Row],[PreGmRate]]+Games[[#This Row],[RatingChange]]</f>
        <v>1499.3761043565221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36729</v>
      </c>
      <c r="B366" s="2">
        <v>2000</v>
      </c>
      <c r="C366" s="2">
        <f>COUNTIFS(Games[Team],Games[[#This Row],[Team]],Games[Season],Games[[#This Row],[Season]],Games[Date],"&lt;=" &amp; Games[[#This Row],[Date]])</f>
        <v>23</v>
      </c>
      <c r="D366" s="2" t="s">
        <v>23</v>
      </c>
      <c r="E366" s="2" t="s">
        <v>29</v>
      </c>
      <c r="F366" s="1" t="s">
        <v>64</v>
      </c>
      <c r="G366" s="1" t="s">
        <v>85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-1</v>
      </c>
      <c r="L366" s="2">
        <f>Games[[#This Row],[OppDaysOff]]-Games[[#This Row],[DaysOff]]</f>
        <v>1</v>
      </c>
      <c r="M366" s="1">
        <f>MAX(-16, MIN(16, Games[[#This Row],[RestDiff]]*8))</f>
        <v>-8</v>
      </c>
      <c r="N366" s="1">
        <f>MAX(-16, MIN(16, Games[[#This Row],[OppRestDiff]]*8))</f>
        <v>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1369.7727622328814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1395.6079167167964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0.32643242240875958</v>
      </c>
      <c r="R366" s="1">
        <v>59</v>
      </c>
      <c r="S366" s="1">
        <v>80</v>
      </c>
      <c r="T366" s="1">
        <v>0</v>
      </c>
      <c r="U366" s="1">
        <f>Games[[#This Row],[PointsFor]]-Games[[#This Row],[PointsAgainst]]</f>
        <v>-21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0.57617171831088354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72.55</v>
      </c>
      <c r="Z366" s="4">
        <f>Games[[#This Row],[K]]*Games[[#This Row],[POMult]]</f>
        <v>72.55</v>
      </c>
      <c r="AA366" s="4">
        <f>(Games[[#This Row],[Keff]]*Games[[#This Row],[MOVMult]])*(Games[[#This Row],[Result]]-Games[[#This Row],[ExpectedWin%]])</f>
        <v>-13.645285962030421</v>
      </c>
      <c r="AB366" s="4">
        <f>Games[[#This Row],[PreGmRate]]+Games[[#This Row],[RatingChange]]</f>
        <v>1356.127476270851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36729</v>
      </c>
      <c r="B367" s="2">
        <v>2000</v>
      </c>
      <c r="C367" s="2">
        <f>COUNTIFS(Games[Team],Games[[#This Row],[Team]],Games[Season],Games[[#This Row],[Season]],Games[Date],"&lt;=" &amp; Games[[#This Row],[Date]])</f>
        <v>22</v>
      </c>
      <c r="D367" s="2" t="s">
        <v>23</v>
      </c>
      <c r="E367" s="2" t="s">
        <v>29</v>
      </c>
      <c r="F367" s="1" t="s">
        <v>85</v>
      </c>
      <c r="G367" s="1" t="s">
        <v>64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7" s="2">
        <f>Games[[#This Row],[DaysOff]]-Games[[#This Row],[OppDaysOff]]</f>
        <v>1</v>
      </c>
      <c r="L367" s="2">
        <f>Games[[#This Row],[OppDaysOff]]-Games[[#This Row],[DaysOff]]</f>
        <v>-1</v>
      </c>
      <c r="M367" s="1">
        <f>MAX(-16, MIN(16, Games[[#This Row],[RestDiff]]*8))</f>
        <v>8</v>
      </c>
      <c r="N367" s="1">
        <f>MAX(-16, MIN(16, Games[[#This Row],[OppRestDiff]]*8))</f>
        <v>-8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1395.6079167167964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1369.7727622328814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0.67356757759124042</v>
      </c>
      <c r="R367" s="1">
        <v>80</v>
      </c>
      <c r="S367" s="1">
        <v>59</v>
      </c>
      <c r="T367" s="1">
        <v>0</v>
      </c>
      <c r="U367" s="1">
        <f>Games[[#This Row],[PointsFor]]-Games[[#This Row],[PointsAgainst]]</f>
        <v>21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0.57617171831088354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72.7</v>
      </c>
      <c r="Z367" s="4">
        <f>Games[[#This Row],[K]]*Games[[#This Row],[POMult]]</f>
        <v>72.7</v>
      </c>
      <c r="AA367" s="4">
        <f>(Games[[#This Row],[Keff]]*Games[[#This Row],[MOVMult]])*(Games[[#This Row],[Result]]-Games[[#This Row],[ExpectedWin%]])</f>
        <v>13.673498131490168</v>
      </c>
      <c r="AB367" s="4">
        <f>Games[[#This Row],[PreGmRate]]+Games[[#This Row],[RatingChange]]</f>
        <v>1409.2814148482864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36729</v>
      </c>
      <c r="B368" s="2">
        <v>2000</v>
      </c>
      <c r="C368" s="2">
        <f>COUNTIFS(Games[Team],Games[[#This Row],[Team]],Games[Season],Games[[#This Row],[Season]],Games[Date],"&lt;=" &amp; Games[[#This Row],[Date]])</f>
        <v>23</v>
      </c>
      <c r="D368" s="2" t="s">
        <v>23</v>
      </c>
      <c r="E368" s="2" t="s">
        <v>29</v>
      </c>
      <c r="F368" s="1" t="s">
        <v>44</v>
      </c>
      <c r="G368" s="1" t="s">
        <v>45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-1</v>
      </c>
      <c r="L368" s="2">
        <f>Games[[#This Row],[OppDaysOff]]-Games[[#This Row],[DaysOff]]</f>
        <v>1</v>
      </c>
      <c r="M368" s="1">
        <f>MAX(-16, MIN(16, Games[[#This Row],[RestDiff]]*8))</f>
        <v>-8</v>
      </c>
      <c r="N368" s="1">
        <f>MAX(-16, MIN(16, Games[[#This Row],[OppRestDiff]]*8))</f>
        <v>8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1594.8105356830069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1576.7731789758197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0.3841867708008847</v>
      </c>
      <c r="R368" s="1">
        <v>60</v>
      </c>
      <c r="S368" s="1">
        <v>61</v>
      </c>
      <c r="T368" s="1">
        <v>0</v>
      </c>
      <c r="U368" s="1">
        <f>Games[[#This Row],[PointsFor]]-Games[[#This Row],[PointsAgainst]]</f>
        <v>-1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0.24056372618199778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72.55</v>
      </c>
      <c r="Z368" s="4">
        <f>Games[[#This Row],[K]]*Games[[#This Row],[POMult]]</f>
        <v>72.55</v>
      </c>
      <c r="AA368" s="4">
        <f>(Games[[#This Row],[Keff]]*Games[[#This Row],[MOVMult]])*(Games[[#This Row],[Result]]-Games[[#This Row],[ExpectedWin%]])</f>
        <v>-6.7051726522492068</v>
      </c>
      <c r="AB368" s="4">
        <f>Games[[#This Row],[PreGmRate]]+Games[[#This Row],[RatingChange]]</f>
        <v>1588.1053630307576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36729</v>
      </c>
      <c r="B369" s="2">
        <v>2000</v>
      </c>
      <c r="C369" s="2">
        <f>COUNTIFS(Games[Team],Games[[#This Row],[Team]],Games[Season],Games[[#This Row],[Season]],Games[Date],"&lt;=" &amp; Games[[#This Row],[Date]])</f>
        <v>24</v>
      </c>
      <c r="D369" s="2" t="s">
        <v>23</v>
      </c>
      <c r="E369" s="2" t="s">
        <v>29</v>
      </c>
      <c r="F369" s="1" t="s">
        <v>45</v>
      </c>
      <c r="G369" s="1" t="s">
        <v>44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9" s="2">
        <f>Games[[#This Row],[DaysOff]]-Games[[#This Row],[OppDaysOff]]</f>
        <v>1</v>
      </c>
      <c r="L369" s="2">
        <f>Games[[#This Row],[OppDaysOff]]-Games[[#This Row],[DaysOff]]</f>
        <v>-1</v>
      </c>
      <c r="M369" s="1">
        <f>MAX(-16, MIN(16, Games[[#This Row],[RestDiff]]*8))</f>
        <v>8</v>
      </c>
      <c r="N369" s="1">
        <f>MAX(-16, MIN(16, Games[[#This Row],[OppRestDiff]]*8))</f>
        <v>-8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1576.7731789758197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1594.8105356830069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0.61581322919911541</v>
      </c>
      <c r="R369" s="1">
        <v>61</v>
      </c>
      <c r="S369" s="1">
        <v>60</v>
      </c>
      <c r="T369" s="1">
        <v>0</v>
      </c>
      <c r="U369" s="1">
        <f>Games[[#This Row],[PointsFor]]-Games[[#This Row],[PointsAgainst]]</f>
        <v>1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0.24056372618199778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72.400000000000006</v>
      </c>
      <c r="Z369" s="4">
        <f>Games[[#This Row],[K]]*Games[[#This Row],[POMult]]</f>
        <v>72.400000000000006</v>
      </c>
      <c r="AA369" s="4">
        <f>(Games[[#This Row],[Keff]]*Games[[#This Row],[MOVMult]])*(Games[[#This Row],[Result]]-Games[[#This Row],[ExpectedWin%]])</f>
        <v>6.6913094420791532</v>
      </c>
      <c r="AB369" s="4">
        <f>Games[[#This Row],[PreGmRate]]+Games[[#This Row],[RatingChange]]</f>
        <v>1583.4644884178988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36730</v>
      </c>
      <c r="B370" s="2">
        <v>2000</v>
      </c>
      <c r="C370" s="2">
        <f>COUNTIFS(Games[Team],Games[[#This Row],[Team]],Games[Season],Games[[#This Row],[Season]],Games[Date],"&lt;=" &amp; Games[[#This Row],[Date]])</f>
        <v>25</v>
      </c>
      <c r="D370" s="2" t="s">
        <v>23</v>
      </c>
      <c r="E370" s="2" t="s">
        <v>29</v>
      </c>
      <c r="F370" s="1" t="s">
        <v>45</v>
      </c>
      <c r="G370" s="1" t="s">
        <v>71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-1</v>
      </c>
      <c r="L370" s="2">
        <f>Games[[#This Row],[OppDaysOff]]-Games[[#This Row],[DaysOff]]</f>
        <v>1</v>
      </c>
      <c r="M370" s="1">
        <f>MAX(-16, MIN(16, Games[[#This Row],[RestDiff]]*8))</f>
        <v>-8</v>
      </c>
      <c r="N370" s="1">
        <f>MAX(-16, MIN(16, Games[[#This Row],[OppRestDiff]]*8))</f>
        <v>8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1583.4644884178988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1696.7219603048097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0.22660023505537019</v>
      </c>
      <c r="R370" s="1">
        <v>68</v>
      </c>
      <c r="S370" s="1">
        <v>73</v>
      </c>
      <c r="T370" s="1">
        <v>0</v>
      </c>
      <c r="U370" s="1">
        <f>Games[[#This Row],[PointsFor]]-Games[[#This Row],[PointsAgainst]]</f>
        <v>-5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0.30314479763171653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72.25</v>
      </c>
      <c r="Z370" s="4">
        <f>Games[[#This Row],[K]]*Games[[#This Row],[POMult]]</f>
        <v>72.25</v>
      </c>
      <c r="AA370" s="4">
        <f>(Games[[#This Row],[Keff]]*Games[[#This Row],[MOVMult]])*(Games[[#This Row],[Result]]-Games[[#This Row],[ExpectedWin%]])</f>
        <v>-4.9630463033392802</v>
      </c>
      <c r="AB370" s="4">
        <f>Games[[#This Row],[PreGmRate]]+Games[[#This Row],[RatingChange]]</f>
        <v>1578.5014421145595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36730</v>
      </c>
      <c r="B371" s="2">
        <v>2000</v>
      </c>
      <c r="C371" s="2">
        <f>COUNTIFS(Games[Team],Games[[#This Row],[Team]],Games[Season],Games[[#This Row],[Season]],Games[Date],"&lt;=" &amp; Games[[#This Row],[Date]])</f>
        <v>24</v>
      </c>
      <c r="D371" s="2" t="s">
        <v>23</v>
      </c>
      <c r="E371" s="2" t="s">
        <v>29</v>
      </c>
      <c r="F371" s="1" t="s">
        <v>71</v>
      </c>
      <c r="G371" s="1" t="s">
        <v>45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1" s="2">
        <f>Games[[#This Row],[DaysOff]]-Games[[#This Row],[OppDaysOff]]</f>
        <v>1</v>
      </c>
      <c r="L371" s="2">
        <f>Games[[#This Row],[OppDaysOff]]-Games[[#This Row],[DaysOff]]</f>
        <v>-1</v>
      </c>
      <c r="M371" s="1">
        <f>MAX(-16, MIN(16, Games[[#This Row],[RestDiff]]*8))</f>
        <v>8</v>
      </c>
      <c r="N371" s="1">
        <f>MAX(-16, MIN(16, Games[[#This Row],[OppRestDiff]]*8))</f>
        <v>-8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1696.7219603048097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1583.4644884178988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0.77339976494462981</v>
      </c>
      <c r="R371" s="1">
        <v>73</v>
      </c>
      <c r="S371" s="1">
        <v>68</v>
      </c>
      <c r="T371" s="1">
        <v>0</v>
      </c>
      <c r="U371" s="1">
        <f>Games[[#This Row],[PointsFor]]-Games[[#This Row],[PointsAgainst]]</f>
        <v>5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0.30314479763171653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72.400000000000006</v>
      </c>
      <c r="Z371" s="4">
        <f>Games[[#This Row],[K]]*Games[[#This Row],[POMult]]</f>
        <v>72.400000000000006</v>
      </c>
      <c r="AA371" s="4">
        <f>(Games[[#This Row],[Keff]]*Games[[#This Row],[MOVMult]])*(Games[[#This Row],[Result]]-Games[[#This Row],[ExpectedWin%]])</f>
        <v>4.9733502056991554</v>
      </c>
      <c r="AB371" s="4">
        <f>Games[[#This Row],[PreGmRate]]+Games[[#This Row],[RatingChange]]</f>
        <v>1701.695310510509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36730</v>
      </c>
      <c r="B372" s="2">
        <v>2000</v>
      </c>
      <c r="C372" s="2">
        <f>COUNTIFS(Games[Team],Games[[#This Row],[Team]],Games[Season],Games[[#This Row],[Season]],Games[Date],"&lt;=" &amp; Games[[#This Row],[Date]])</f>
        <v>23</v>
      </c>
      <c r="D372" s="2" t="s">
        <v>23</v>
      </c>
      <c r="E372" s="2" t="s">
        <v>29</v>
      </c>
      <c r="F372" s="1" t="s">
        <v>89</v>
      </c>
      <c r="G372" s="1" t="s">
        <v>80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1441.3777743716025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1460.603294998773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0.35566858374428634</v>
      </c>
      <c r="R372" s="1">
        <v>63</v>
      </c>
      <c r="S372" s="1">
        <v>80</v>
      </c>
      <c r="T372" s="1">
        <v>0</v>
      </c>
      <c r="U372" s="1">
        <f>Games[[#This Row],[PointsFor]]-Games[[#This Row],[PointsAgainst]]</f>
        <v>-17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0.52404618513048384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72.55</v>
      </c>
      <c r="Z372" s="4">
        <f>Games[[#This Row],[K]]*Games[[#This Row],[POMult]]</f>
        <v>72.55</v>
      </c>
      <c r="AA372" s="4">
        <f>(Games[[#This Row],[Keff]]*Games[[#This Row],[MOVMult]])*(Games[[#This Row],[Result]]-Games[[#This Row],[ExpectedWin%]])</f>
        <v>-13.522359763165856</v>
      </c>
      <c r="AB372" s="4">
        <f>Games[[#This Row],[PreGmRate]]+Games[[#This Row],[RatingChange]]</f>
        <v>1427.8554146084366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36730</v>
      </c>
      <c r="B373" s="2">
        <v>2000</v>
      </c>
      <c r="C373" s="2">
        <f>COUNTIFS(Games[Team],Games[[#This Row],[Team]],Games[Season],Games[[#This Row],[Season]],Games[Date],"&lt;=" &amp; Games[[#This Row],[Date]])</f>
        <v>24</v>
      </c>
      <c r="D373" s="2" t="s">
        <v>23</v>
      </c>
      <c r="E373" s="2" t="s">
        <v>29</v>
      </c>
      <c r="F373" s="1" t="s">
        <v>80</v>
      </c>
      <c r="G373" s="1" t="s">
        <v>89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1460.603294998773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1441.3777743716025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0.64433141625571355</v>
      </c>
      <c r="R373" s="1">
        <v>80</v>
      </c>
      <c r="S373" s="1">
        <v>63</v>
      </c>
      <c r="T373" s="1">
        <v>0</v>
      </c>
      <c r="U373" s="1">
        <f>Games[[#This Row],[PointsFor]]-Games[[#This Row],[PointsAgainst]]</f>
        <v>17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0.52404618513048384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72.400000000000006</v>
      </c>
      <c r="Z373" s="4">
        <f>Games[[#This Row],[K]]*Games[[#This Row],[POMult]]</f>
        <v>72.400000000000006</v>
      </c>
      <c r="AA373" s="4">
        <f>(Games[[#This Row],[Keff]]*Games[[#This Row],[MOVMult]])*(Games[[#This Row],[Result]]-Games[[#This Row],[ExpectedWin%]])</f>
        <v>13.494401748493567</v>
      </c>
      <c r="AB373" s="4">
        <f>Games[[#This Row],[PreGmRate]]+Games[[#This Row],[RatingChange]]</f>
        <v>1474.0976967472666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36730</v>
      </c>
      <c r="B374" s="2">
        <v>2000</v>
      </c>
      <c r="C374" s="2">
        <f>COUNTIFS(Games[Team],Games[[#This Row],[Team]],Games[Season],Games[[#This Row],[Season]],Games[Date],"&lt;=" &amp; Games[[#This Row],[Date]])</f>
        <v>25</v>
      </c>
      <c r="D374" s="2" t="s">
        <v>23</v>
      </c>
      <c r="E374" s="2" t="s">
        <v>29</v>
      </c>
      <c r="F374" s="1" t="s">
        <v>2</v>
      </c>
      <c r="G374" s="1" t="s">
        <v>66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-1</v>
      </c>
      <c r="L374" s="2">
        <f>Games[[#This Row],[OppDaysOff]]-Games[[#This Row],[DaysOff]]</f>
        <v>1</v>
      </c>
      <c r="M374" s="1">
        <f>MAX(-16, MIN(16, Games[[#This Row],[RestDiff]]*8))</f>
        <v>-8</v>
      </c>
      <c r="N374" s="1">
        <f>MAX(-16, MIN(16, Games[[#This Row],[OppRestDiff]]*8))</f>
        <v>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1734.853885208084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1551.8005804629852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0.61729752339267729</v>
      </c>
      <c r="R374" s="1">
        <v>64</v>
      </c>
      <c r="S374" s="1">
        <v>69</v>
      </c>
      <c r="T374" s="1">
        <v>0</v>
      </c>
      <c r="U374" s="1">
        <f>Games[[#This Row],[PointsFor]]-Games[[#This Row],[PointsAgainst]]</f>
        <v>-5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0.28784658493467807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72.25</v>
      </c>
      <c r="Z374" s="4">
        <f>Games[[#This Row],[K]]*Games[[#This Row],[POMult]]</f>
        <v>72.25</v>
      </c>
      <c r="AA374" s="4">
        <f>(Games[[#This Row],[Keff]]*Games[[#This Row],[MOVMult]])*(Games[[#This Row],[Result]]-Games[[#This Row],[ExpectedWin%]])</f>
        <v>-12.837884593798908</v>
      </c>
      <c r="AB374" s="4">
        <f>Games[[#This Row],[PreGmRate]]+Games[[#This Row],[RatingChange]]</f>
        <v>1722.0160006142851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36730</v>
      </c>
      <c r="B375" s="2">
        <v>2000</v>
      </c>
      <c r="C375" s="2">
        <f>COUNTIFS(Games[Team],Games[[#This Row],[Team]],Games[Season],Games[[#This Row],[Season]],Games[Date],"&lt;=" &amp; Games[[#This Row],[Date]])</f>
        <v>24</v>
      </c>
      <c r="D375" s="2" t="s">
        <v>23</v>
      </c>
      <c r="E375" s="2" t="s">
        <v>29</v>
      </c>
      <c r="F375" s="1" t="s">
        <v>66</v>
      </c>
      <c r="G375" s="1" t="s">
        <v>2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1</v>
      </c>
      <c r="L375" s="2">
        <f>Games[[#This Row],[OppDaysOff]]-Games[[#This Row],[DaysOff]]</f>
        <v>-1</v>
      </c>
      <c r="M375" s="1">
        <f>MAX(-16, MIN(16, Games[[#This Row],[RestDiff]]*8))</f>
        <v>8</v>
      </c>
      <c r="N375" s="1">
        <f>MAX(-16, MIN(16, Games[[#This Row],[OppRestDiff]]*8))</f>
        <v>-8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1551.8005804629852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1734.853885208084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0.38270247660732271</v>
      </c>
      <c r="R375" s="1">
        <v>69</v>
      </c>
      <c r="S375" s="1">
        <v>64</v>
      </c>
      <c r="T375" s="1">
        <v>0</v>
      </c>
      <c r="U375" s="1">
        <f>Games[[#This Row],[PointsFor]]-Games[[#This Row],[PointsAgainst]]</f>
        <v>5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0.28784658493467807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72.400000000000006</v>
      </c>
      <c r="Z375" s="4">
        <f>Games[[#This Row],[K]]*Games[[#This Row],[POMult]]</f>
        <v>72.400000000000006</v>
      </c>
      <c r="AA375" s="4">
        <f>(Games[[#This Row],[Keff]]*Games[[#This Row],[MOVMult]])*(Games[[#This Row],[Result]]-Games[[#This Row],[ExpectedWin%]])</f>
        <v>12.864537641398492</v>
      </c>
      <c r="AB375" s="4">
        <f>Games[[#This Row],[PreGmRate]]+Games[[#This Row],[RatingChange]]</f>
        <v>1564.6651181043837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36730</v>
      </c>
      <c r="B376" s="2">
        <v>2000</v>
      </c>
      <c r="C376" s="2">
        <f>COUNTIFS(Games[Team],Games[[#This Row],[Team]],Games[Season],Games[[#This Row],[Season]],Games[Date],"&lt;=" &amp; Games[[#This Row],[Date]])</f>
        <v>25</v>
      </c>
      <c r="D376" s="2" t="s">
        <v>23</v>
      </c>
      <c r="E376" s="2" t="s">
        <v>29</v>
      </c>
      <c r="F376" s="1" t="s">
        <v>43</v>
      </c>
      <c r="G376" s="1" t="s">
        <v>79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1504.9332291503908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1513.9277129771385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0.36927710714316342</v>
      </c>
      <c r="R376" s="1">
        <v>69</v>
      </c>
      <c r="S376" s="1">
        <v>66</v>
      </c>
      <c r="T376" s="1">
        <v>0</v>
      </c>
      <c r="U376" s="1">
        <f>Games[[#This Row],[PointsFor]]-Games[[#This Row],[PointsAgainst]]</f>
        <v>3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0.28802466014257727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72.25</v>
      </c>
      <c r="Z376" s="4">
        <f>Games[[#This Row],[K]]*Games[[#This Row],[POMult]]</f>
        <v>72.25</v>
      </c>
      <c r="AA376" s="4">
        <f>(Games[[#This Row],[Keff]]*Games[[#This Row],[MOVMult]])*(Games[[#This Row],[Result]]-Games[[#This Row],[ExpectedWin%]])</f>
        <v>13.125205710579623</v>
      </c>
      <c r="AB376" s="4">
        <f>Games[[#This Row],[PreGmRate]]+Games[[#This Row],[RatingChange]]</f>
        <v>1518.0584348609705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36730</v>
      </c>
      <c r="B377" s="2">
        <v>2000</v>
      </c>
      <c r="C377" s="2">
        <f>COUNTIFS(Games[Team],Games[[#This Row],[Team]],Games[Season],Games[[#This Row],[Season]],Games[Date],"&lt;=" &amp; Games[[#This Row],[Date]])</f>
        <v>24</v>
      </c>
      <c r="D377" s="2" t="s">
        <v>23</v>
      </c>
      <c r="E377" s="2" t="s">
        <v>29</v>
      </c>
      <c r="F377" s="1" t="s">
        <v>79</v>
      </c>
      <c r="G377" s="1" t="s">
        <v>43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1513.9277129771385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1504.9332291503908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0.63072289285683658</v>
      </c>
      <c r="R377" s="1">
        <v>66</v>
      </c>
      <c r="S377" s="1">
        <v>69</v>
      </c>
      <c r="T377" s="1">
        <v>0</v>
      </c>
      <c r="U377" s="1">
        <f>Games[[#This Row],[PointsFor]]-Games[[#This Row],[PointsAgainst]]</f>
        <v>-3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0.28802466014257727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72.400000000000006</v>
      </c>
      <c r="Z377" s="4">
        <f>Games[[#This Row],[K]]*Games[[#This Row],[POMult]]</f>
        <v>72.400000000000006</v>
      </c>
      <c r="AA377" s="4">
        <f>(Games[[#This Row],[Keff]]*Games[[#This Row],[MOVMult]])*(Games[[#This Row],[Result]]-Games[[#This Row],[ExpectedWin%]])</f>
        <v>-13.152455272608508</v>
      </c>
      <c r="AB377" s="4">
        <f>Games[[#This Row],[PreGmRate]]+Games[[#This Row],[RatingChange]]</f>
        <v>1500.7752577045301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36731</v>
      </c>
      <c r="B378" s="2">
        <v>2000</v>
      </c>
      <c r="C378" s="2">
        <f>COUNTIFS(Games[Team],Games[[#This Row],[Team]],Games[Season],Games[[#This Row],[Season]],Games[Date],"&lt;=" &amp; Games[[#This Row],[Date]])</f>
        <v>23</v>
      </c>
      <c r="D378" s="2" t="s">
        <v>23</v>
      </c>
      <c r="E378" s="2" t="s">
        <v>29</v>
      </c>
      <c r="F378" s="1" t="s">
        <v>85</v>
      </c>
      <c r="G378" s="1" t="s">
        <v>64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1409.2814148482864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1356.127476270851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0.45572521663551874</v>
      </c>
      <c r="R378" s="1">
        <v>78</v>
      </c>
      <c r="S378" s="1">
        <v>82</v>
      </c>
      <c r="T378" s="1">
        <v>1</v>
      </c>
      <c r="U378" s="1">
        <f>Games[[#This Row],[PointsFor]]-Games[[#This Row],[PointsAgainst]]</f>
        <v>-4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0.26840066758119679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72.55</v>
      </c>
      <c r="Z378" s="4">
        <f>Games[[#This Row],[K]]*Games[[#This Row],[POMult]]</f>
        <v>72.55</v>
      </c>
      <c r="AA378" s="4">
        <f>(Games[[#This Row],[Keff]]*Games[[#This Row],[MOVMult]])*(Games[[#This Row],[Result]]-Games[[#This Row],[ExpectedWin%]])</f>
        <v>-8.874094895064438</v>
      </c>
      <c r="AB378" s="4">
        <f>Games[[#This Row],[PreGmRate]]+Games[[#This Row],[RatingChange]]</f>
        <v>1400.407319953222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36731</v>
      </c>
      <c r="B379" s="2">
        <v>2000</v>
      </c>
      <c r="C379" s="2">
        <f>COUNTIFS(Games[Team],Games[[#This Row],[Team]],Games[Season],Games[[#This Row],[Season]],Games[Date],"&lt;=" &amp; Games[[#This Row],[Date]])</f>
        <v>24</v>
      </c>
      <c r="D379" s="2" t="s">
        <v>23</v>
      </c>
      <c r="E379" s="2" t="s">
        <v>29</v>
      </c>
      <c r="F379" s="1" t="s">
        <v>64</v>
      </c>
      <c r="G379" s="1" t="s">
        <v>85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1356.127476270851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1409.2814148482864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0.54427478336448132</v>
      </c>
      <c r="R379" s="1">
        <v>82</v>
      </c>
      <c r="S379" s="1">
        <v>78</v>
      </c>
      <c r="T379" s="1">
        <v>1</v>
      </c>
      <c r="U379" s="1">
        <f>Games[[#This Row],[PointsFor]]-Games[[#This Row],[PointsAgainst]]</f>
        <v>4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0.26840066758119679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72.400000000000006</v>
      </c>
      <c r="Z379" s="4">
        <f>Games[[#This Row],[K]]*Games[[#This Row],[POMult]]</f>
        <v>72.400000000000006</v>
      </c>
      <c r="AA379" s="4">
        <f>(Games[[#This Row],[Keff]]*Games[[#This Row],[MOVMult]])*(Games[[#This Row],[Result]]-Games[[#This Row],[ExpectedWin%]])</f>
        <v>8.8557473522076542</v>
      </c>
      <c r="AB379" s="4">
        <f>Games[[#This Row],[PreGmRate]]+Games[[#This Row],[RatingChange]]</f>
        <v>1364.9832236230586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36731</v>
      </c>
      <c r="B380" s="2">
        <v>2000</v>
      </c>
      <c r="C380" s="2">
        <f>COUNTIFS(Games[Team],Games[[#This Row],[Team]],Games[Season],Games[[#This Row],[Season]],Games[Date],"&lt;=" &amp; Games[[#This Row],[Date]])</f>
        <v>24</v>
      </c>
      <c r="D380" s="2" t="s">
        <v>23</v>
      </c>
      <c r="E380" s="2" t="s">
        <v>29</v>
      </c>
      <c r="F380" s="1" t="s">
        <v>89</v>
      </c>
      <c r="G380" s="1" t="s">
        <v>77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0" s="2">
        <f>Games[[#This Row],[DaysOff]]-Games[[#This Row],[OppDaysOff]]</f>
        <v>-2</v>
      </c>
      <c r="L380" s="2">
        <f>Games[[#This Row],[OppDaysOff]]-Games[[#This Row],[DaysOff]]</f>
        <v>2</v>
      </c>
      <c r="M380" s="1">
        <f>MAX(-16, MIN(16, Games[[#This Row],[RestDiff]]*8))</f>
        <v>-16</v>
      </c>
      <c r="N380" s="1">
        <f>MAX(-16, MIN(16, Games[[#This Row],[OppRestDiff]]*8))</f>
        <v>16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1427.8554146084366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1468.3385843290166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0.2888882747665602</v>
      </c>
      <c r="R380" s="1">
        <v>61</v>
      </c>
      <c r="S380" s="1">
        <v>57</v>
      </c>
      <c r="T380" s="1">
        <v>0</v>
      </c>
      <c r="U380" s="1">
        <f>Games[[#This Row],[PointsFor]]-Games[[#This Row],[PointsAgainst]]</f>
        <v>4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0.30126912722954219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72.400000000000006</v>
      </c>
      <c r="Z380" s="4">
        <f>Games[[#This Row],[K]]*Games[[#This Row],[POMult]]</f>
        <v>72.400000000000006</v>
      </c>
      <c r="AA380" s="4">
        <f>(Games[[#This Row],[Keff]]*Games[[#This Row],[MOVMult]])*(Games[[#This Row],[Result]]-Games[[#This Row],[ExpectedWin%]])</f>
        <v>15.510687038841125</v>
      </c>
      <c r="AB380" s="4">
        <f>Games[[#This Row],[PreGmRate]]+Games[[#This Row],[RatingChange]]</f>
        <v>1443.3661016472777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36731</v>
      </c>
      <c r="B381" s="2">
        <v>2000</v>
      </c>
      <c r="C381" s="2">
        <f>COUNTIFS(Games[Team],Games[[#This Row],[Team]],Games[Season],Games[[#This Row],[Season]],Games[Date],"&lt;=" &amp; Games[[#This Row],[Date]])</f>
        <v>23</v>
      </c>
      <c r="D381" s="2" t="s">
        <v>23</v>
      </c>
      <c r="E381" s="2" t="s">
        <v>29</v>
      </c>
      <c r="F381" s="1" t="s">
        <v>77</v>
      </c>
      <c r="G381" s="1" t="s">
        <v>89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1" s="2">
        <f>Games[[#This Row],[DaysOff]]-Games[[#This Row],[OppDaysOff]]</f>
        <v>2</v>
      </c>
      <c r="L381" s="2">
        <f>Games[[#This Row],[OppDaysOff]]-Games[[#This Row],[DaysOff]]</f>
        <v>-2</v>
      </c>
      <c r="M381" s="1">
        <f>MAX(-16, MIN(16, Games[[#This Row],[RestDiff]]*8))</f>
        <v>16</v>
      </c>
      <c r="N381" s="1">
        <f>MAX(-16, MIN(16, Games[[#This Row],[OppRestDiff]]*8))</f>
        <v>-16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1468.3385843290166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1427.8554146084366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0.7111117252334398</v>
      </c>
      <c r="R381" s="1">
        <v>57</v>
      </c>
      <c r="S381" s="1">
        <v>61</v>
      </c>
      <c r="T381" s="1">
        <v>0</v>
      </c>
      <c r="U381" s="1">
        <f>Games[[#This Row],[PointsFor]]-Games[[#This Row],[PointsAgainst]]</f>
        <v>-4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0.30126912722954219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72.55</v>
      </c>
      <c r="Z381" s="4">
        <f>Games[[#This Row],[K]]*Games[[#This Row],[POMult]]</f>
        <v>72.55</v>
      </c>
      <c r="AA381" s="4">
        <f>(Games[[#This Row],[Keff]]*Games[[#This Row],[MOVMult]])*(Games[[#This Row],[Result]]-Games[[#This Row],[ExpectedWin%]])</f>
        <v>-15.542822440164688</v>
      </c>
      <c r="AB381" s="4">
        <f>Games[[#This Row],[PreGmRate]]+Games[[#This Row],[RatingChange]]</f>
        <v>1452.795761888852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36731</v>
      </c>
      <c r="B382" s="2">
        <v>2000</v>
      </c>
      <c r="C382" s="2">
        <f>COUNTIFS(Games[Team],Games[[#This Row],[Team]],Games[Season],Games[[#This Row],[Season]],Games[Date],"&lt;=" &amp; Games[[#This Row],[Date]])</f>
        <v>23</v>
      </c>
      <c r="D382" s="2" t="s">
        <v>23</v>
      </c>
      <c r="E382" s="2" t="s">
        <v>29</v>
      </c>
      <c r="F382" s="1" t="s">
        <v>1</v>
      </c>
      <c r="G382" s="1" t="s">
        <v>44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1499.3761043565221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1588.1053630307576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0.27006170359638981</v>
      </c>
      <c r="R382" s="1">
        <v>57</v>
      </c>
      <c r="S382" s="1">
        <v>67</v>
      </c>
      <c r="T382" s="1">
        <v>0</v>
      </c>
      <c r="U382" s="1">
        <f>Games[[#This Row],[PointsFor]]-Games[[#This Row],[PointsAgainst]]</f>
        <v>-10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0.39399713770841843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72.55</v>
      </c>
      <c r="Z382" s="4">
        <f>Games[[#This Row],[K]]*Games[[#This Row],[POMult]]</f>
        <v>72.55</v>
      </c>
      <c r="AA382" s="4">
        <f>(Games[[#This Row],[Keff]]*Games[[#This Row],[MOVMult]])*(Games[[#This Row],[Result]]-Games[[#This Row],[ExpectedWin%]])</f>
        <v>-7.7195766979797558</v>
      </c>
      <c r="AB382" s="4">
        <f>Games[[#This Row],[PreGmRate]]+Games[[#This Row],[RatingChange]]</f>
        <v>1491.6565276585422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36731</v>
      </c>
      <c r="B383" s="2">
        <v>2000</v>
      </c>
      <c r="C383" s="2">
        <f>COUNTIFS(Games[Team],Games[[#This Row],[Team]],Games[Season],Games[[#This Row],[Season]],Games[Date],"&lt;=" &amp; Games[[#This Row],[Date]])</f>
        <v>24</v>
      </c>
      <c r="D383" s="2" t="s">
        <v>23</v>
      </c>
      <c r="E383" s="2" t="s">
        <v>29</v>
      </c>
      <c r="F383" s="1" t="s">
        <v>44</v>
      </c>
      <c r="G383" s="1" t="s">
        <v>1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1588.1053630307576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1499.3761043565221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0.72993829640361019</v>
      </c>
      <c r="R383" s="1">
        <v>67</v>
      </c>
      <c r="S383" s="1">
        <v>57</v>
      </c>
      <c r="T383" s="1">
        <v>0</v>
      </c>
      <c r="U383" s="1">
        <f>Games[[#This Row],[PointsFor]]-Games[[#This Row],[PointsAgainst]]</f>
        <v>10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0.39399713770841843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72.400000000000006</v>
      </c>
      <c r="Z383" s="4">
        <f>Games[[#This Row],[K]]*Games[[#This Row],[POMult]]</f>
        <v>72.400000000000006</v>
      </c>
      <c r="AA383" s="4">
        <f>(Games[[#This Row],[Keff]]*Games[[#This Row],[MOVMult]])*(Games[[#This Row],[Result]]-Games[[#This Row],[ExpectedWin%]])</f>
        <v>7.7036161672465102</v>
      </c>
      <c r="AB383" s="4">
        <f>Games[[#This Row],[PreGmRate]]+Games[[#This Row],[RatingChange]]</f>
        <v>1595.8089791980042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36731</v>
      </c>
      <c r="B384" s="2">
        <v>2000</v>
      </c>
      <c r="C384" s="2">
        <f>COUNTIFS(Games[Team],Games[[#This Row],[Team]],Games[Season],Games[[#This Row],[Season]],Games[Date],"&lt;=" &amp; Games[[#This Row],[Date]])</f>
        <v>25</v>
      </c>
      <c r="D384" s="2" t="s">
        <v>23</v>
      </c>
      <c r="E384" s="2" t="s">
        <v>29</v>
      </c>
      <c r="F384" s="1" t="s">
        <v>66</v>
      </c>
      <c r="G384" s="1" t="s">
        <v>75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4" s="2">
        <f>Games[[#This Row],[DaysOff]]-Games[[#This Row],[OppDaysOff]]</f>
        <v>-2</v>
      </c>
      <c r="L384" s="2">
        <f>Games[[#This Row],[OppDaysOff]]-Games[[#This Row],[DaysOff]]</f>
        <v>2</v>
      </c>
      <c r="M384" s="1">
        <f>MAX(-16, MIN(16, Games[[#This Row],[RestDiff]]*8))</f>
        <v>-16</v>
      </c>
      <c r="N384" s="1">
        <f>MAX(-16, MIN(16, Games[[#This Row],[OppRestDiff]]*8))</f>
        <v>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1564.6651181043837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1444.6270805106797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0.50581094158451634</v>
      </c>
      <c r="R384" s="1">
        <v>78</v>
      </c>
      <c r="S384" s="1">
        <v>64</v>
      </c>
      <c r="T384" s="1">
        <v>0</v>
      </c>
      <c r="U384" s="1">
        <f>Games[[#This Row],[PointsFor]]-Games[[#This Row],[PointsAgainst]]</f>
        <v>14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0.44326732077172099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72.25</v>
      </c>
      <c r="Z384" s="4">
        <f>Games[[#This Row],[K]]*Games[[#This Row],[POMult]]</f>
        <v>72.25</v>
      </c>
      <c r="AA384" s="4">
        <f>(Games[[#This Row],[Keff]]*Games[[#This Row],[MOVMult]])*(Games[[#This Row],[Result]]-Games[[#This Row],[ExpectedWin%]])</f>
        <v>15.826930376223864</v>
      </c>
      <c r="AB384" s="4">
        <f>Games[[#This Row],[PreGmRate]]+Games[[#This Row],[RatingChange]]</f>
        <v>1580.4920484806075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36731</v>
      </c>
      <c r="B385" s="2">
        <v>2000</v>
      </c>
      <c r="C385" s="2">
        <f>COUNTIFS(Games[Team],Games[[#This Row],[Team]],Games[Season],Games[[#This Row],[Season]],Games[Date],"&lt;=" &amp; Games[[#This Row],[Date]])</f>
        <v>24</v>
      </c>
      <c r="D385" s="2" t="s">
        <v>23</v>
      </c>
      <c r="E385" s="2" t="s">
        <v>29</v>
      </c>
      <c r="F385" s="1" t="s">
        <v>75</v>
      </c>
      <c r="G385" s="1" t="s">
        <v>66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5" s="2">
        <f>Games[[#This Row],[DaysOff]]-Games[[#This Row],[OppDaysOff]]</f>
        <v>2</v>
      </c>
      <c r="L385" s="2">
        <f>Games[[#This Row],[OppDaysOff]]-Games[[#This Row],[DaysOff]]</f>
        <v>-2</v>
      </c>
      <c r="M385" s="1">
        <f>MAX(-16, MIN(16, Games[[#This Row],[RestDiff]]*8))</f>
        <v>16</v>
      </c>
      <c r="N385" s="1">
        <f>MAX(-16, MIN(16, Games[[#This Row],[OppRestDiff]]*8))</f>
        <v>-16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1444.6270805106797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1564.6651181043837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0.49418905841548366</v>
      </c>
      <c r="R385" s="1">
        <v>64</v>
      </c>
      <c r="S385" s="1">
        <v>78</v>
      </c>
      <c r="T385" s="1">
        <v>0</v>
      </c>
      <c r="U385" s="1">
        <f>Games[[#This Row],[PointsFor]]-Games[[#This Row],[PointsAgainst]]</f>
        <v>-14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0.44326732077172099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72.400000000000006</v>
      </c>
      <c r="Z385" s="4">
        <f>Games[[#This Row],[K]]*Games[[#This Row],[POMult]]</f>
        <v>72.400000000000006</v>
      </c>
      <c r="AA385" s="4">
        <f>(Games[[#This Row],[Keff]]*Games[[#This Row],[MOVMult]])*(Games[[#This Row],[Result]]-Games[[#This Row],[ExpectedWin%]])</f>
        <v>-15.859789055205642</v>
      </c>
      <c r="AB385" s="4">
        <f>Games[[#This Row],[PreGmRate]]+Games[[#This Row],[RatingChange]]</f>
        <v>1428.7672914554739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36732</v>
      </c>
      <c r="B386" s="2">
        <v>2000</v>
      </c>
      <c r="C386" s="2">
        <f>COUNTIFS(Games[Team],Games[[#This Row],[Team]],Games[Season],Games[[#This Row],[Season]],Games[Date],"&lt;=" &amp; Games[[#This Row],[Date]])</f>
        <v>24</v>
      </c>
      <c r="D386" s="2" t="s">
        <v>23</v>
      </c>
      <c r="E386" s="2" t="s">
        <v>29</v>
      </c>
      <c r="F386" s="1" t="s">
        <v>87</v>
      </c>
      <c r="G386" s="1" t="s">
        <v>2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2</v>
      </c>
      <c r="L386" s="2">
        <f>Games[[#This Row],[OppDaysOff]]-Games[[#This Row],[DaysOff]]</f>
        <v>-2</v>
      </c>
      <c r="M386" s="1">
        <f>MAX(-16, MIN(16, Games[[#This Row],[RestDiff]]*8))</f>
        <v>16</v>
      </c>
      <c r="N386" s="1">
        <f>MAX(-16, MIN(16, Games[[#This Row],[OppRestDiff]]*8))</f>
        <v>-16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1340.7891412424372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1722.0160006142851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7.6290143108714098E-2</v>
      </c>
      <c r="R386" s="1">
        <v>53</v>
      </c>
      <c r="S386" s="1">
        <v>79</v>
      </c>
      <c r="T386" s="1">
        <v>0</v>
      </c>
      <c r="U386" s="1">
        <f>Games[[#This Row],[PointsFor]]-Games[[#This Row],[PointsAgainst]]</f>
        <v>-26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0.49638978238202441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72.400000000000006</v>
      </c>
      <c r="Z386" s="4">
        <f>Games[[#This Row],[K]]*Games[[#This Row],[POMult]]</f>
        <v>72.400000000000006</v>
      </c>
      <c r="AA386" s="4">
        <f>(Games[[#This Row],[Keff]]*Games[[#This Row],[MOVMult]])*(Games[[#This Row],[Result]]-Games[[#This Row],[ExpectedWin%]])</f>
        <v>-2.7417624815794737</v>
      </c>
      <c r="AB386" s="4">
        <f>Games[[#This Row],[PreGmRate]]+Games[[#This Row],[RatingChange]]</f>
        <v>1338.0473787608578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36732</v>
      </c>
      <c r="B387" s="2">
        <v>2000</v>
      </c>
      <c r="C387" s="2">
        <f>COUNTIFS(Games[Team],Games[[#This Row],[Team]],Games[Season],Games[[#This Row],[Season]],Games[Date],"&lt;=" &amp; Games[[#This Row],[Date]])</f>
        <v>26</v>
      </c>
      <c r="D387" s="2" t="s">
        <v>23</v>
      </c>
      <c r="E387" s="2" t="s">
        <v>29</v>
      </c>
      <c r="F387" s="1" t="s">
        <v>2</v>
      </c>
      <c r="G387" s="1" t="s">
        <v>87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7" s="2">
        <f>Games[[#This Row],[DaysOff]]-Games[[#This Row],[OppDaysOff]]</f>
        <v>-2</v>
      </c>
      <c r="L387" s="2">
        <f>Games[[#This Row],[OppDaysOff]]-Games[[#This Row],[DaysOff]]</f>
        <v>2</v>
      </c>
      <c r="M387" s="1">
        <f>MAX(-16, MIN(16, Games[[#This Row],[RestDiff]]*8))</f>
        <v>-16</v>
      </c>
      <c r="N387" s="1">
        <f>MAX(-16, MIN(16, Games[[#This Row],[OppRestDiff]]*8))</f>
        <v>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1722.0160006142851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1340.7891412424372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0.92370985689128593</v>
      </c>
      <c r="R387" s="1">
        <v>79</v>
      </c>
      <c r="S387" s="1">
        <v>53</v>
      </c>
      <c r="T387" s="1">
        <v>0</v>
      </c>
      <c r="U387" s="1">
        <f>Games[[#This Row],[PointsFor]]-Games[[#This Row],[PointsAgainst]]</f>
        <v>26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0.49638978238202441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72.099999999999994</v>
      </c>
      <c r="Z387" s="4">
        <f>Games[[#This Row],[K]]*Games[[#This Row],[POMult]]</f>
        <v>72.099999999999994</v>
      </c>
      <c r="AA387" s="4">
        <f>(Games[[#This Row],[Keff]]*Games[[#This Row],[MOVMult]])*(Games[[#This Row],[Result]]-Games[[#This Row],[ExpectedWin%]])</f>
        <v>2.7304015873187839</v>
      </c>
      <c r="AB387" s="4">
        <f>Games[[#This Row],[PreGmRate]]+Games[[#This Row],[RatingChange]]</f>
        <v>1724.7464022016038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36732</v>
      </c>
      <c r="B388" s="2">
        <v>2000</v>
      </c>
      <c r="C388" s="2">
        <f>COUNTIFS(Games[Team],Games[[#This Row],[Team]],Games[Season],Games[[#This Row],[Season]],Games[Date],"&lt;=" &amp; Games[[#This Row],[Date]])</f>
        <v>25</v>
      </c>
      <c r="D388" s="2" t="s">
        <v>23</v>
      </c>
      <c r="E388" s="2" t="s">
        <v>29</v>
      </c>
      <c r="F388" s="1" t="s">
        <v>79</v>
      </c>
      <c r="G388" s="1" t="s">
        <v>71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1500.7752577045301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1701.695310510509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0.1624471476011542</v>
      </c>
      <c r="R388" s="1">
        <v>63</v>
      </c>
      <c r="S388" s="1">
        <v>78</v>
      </c>
      <c r="T388" s="1">
        <v>0</v>
      </c>
      <c r="U388" s="1">
        <f>Games[[#This Row],[PointsFor]]-Games[[#This Row],[PointsAgainst]]</f>
        <v>-15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0.43072952838807482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72.25</v>
      </c>
      <c r="Z388" s="4">
        <f>Games[[#This Row],[K]]*Games[[#This Row],[POMult]]</f>
        <v>72.25</v>
      </c>
      <c r="AA388" s="4">
        <f>(Games[[#This Row],[Keff]]*Games[[#This Row],[MOVMult]])*(Games[[#This Row],[Result]]-Games[[#This Row],[ExpectedWin%]])</f>
        <v>-5.0553890915633435</v>
      </c>
      <c r="AB388" s="4">
        <f>Games[[#This Row],[PreGmRate]]+Games[[#This Row],[RatingChange]]</f>
        <v>1495.7198686129668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36732</v>
      </c>
      <c r="B389" s="2">
        <v>2000</v>
      </c>
      <c r="C389" s="2">
        <f>COUNTIFS(Games[Team],Games[[#This Row],[Team]],Games[Season],Games[[#This Row],[Season]],Games[Date],"&lt;=" &amp; Games[[#This Row],[Date]])</f>
        <v>25</v>
      </c>
      <c r="D389" s="2" t="s">
        <v>23</v>
      </c>
      <c r="E389" s="2" t="s">
        <v>29</v>
      </c>
      <c r="F389" s="1" t="s">
        <v>71</v>
      </c>
      <c r="G389" s="1" t="s">
        <v>79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1701.695310510509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1500.7752577045301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0.8375528523988458</v>
      </c>
      <c r="R389" s="1">
        <v>78</v>
      </c>
      <c r="S389" s="1">
        <v>63</v>
      </c>
      <c r="T389" s="1">
        <v>0</v>
      </c>
      <c r="U389" s="1">
        <f>Games[[#This Row],[PointsFor]]-Games[[#This Row],[PointsAgainst]]</f>
        <v>15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0.43072952838807482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72.25</v>
      </c>
      <c r="Z389" s="4">
        <f>Games[[#This Row],[K]]*Games[[#This Row],[POMult]]</f>
        <v>72.25</v>
      </c>
      <c r="AA389" s="4">
        <f>(Games[[#This Row],[Keff]]*Games[[#This Row],[MOVMult]])*(Games[[#This Row],[Result]]-Games[[#This Row],[ExpectedWin%]])</f>
        <v>5.0553890915633435</v>
      </c>
      <c r="AB389" s="4">
        <f>Games[[#This Row],[PreGmRate]]+Games[[#This Row],[RatingChange]]</f>
        <v>1706.7506996020722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36733</v>
      </c>
      <c r="B390" s="2">
        <v>2000</v>
      </c>
      <c r="C390" s="2">
        <f>COUNTIFS(Games[Team],Games[[#This Row],[Team]],Games[Season],Games[[#This Row],[Season]],Games[Date],"&lt;=" &amp; Games[[#This Row],[Date]])</f>
        <v>25</v>
      </c>
      <c r="D390" s="2" t="s">
        <v>23</v>
      </c>
      <c r="E390" s="2" t="s">
        <v>29</v>
      </c>
      <c r="F390" s="1" t="s">
        <v>75</v>
      </c>
      <c r="G390" s="1" t="s">
        <v>64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1428.7672914554739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1364.9832236230586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0.47093972330900358</v>
      </c>
      <c r="R390" s="1">
        <v>80</v>
      </c>
      <c r="S390" s="1">
        <v>87</v>
      </c>
      <c r="T390" s="1">
        <v>0</v>
      </c>
      <c r="U390" s="1">
        <f>Games[[#This Row],[PointsFor]]-Games[[#This Row],[PointsAgainst]]</f>
        <v>-7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0.3514276040418306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72.25</v>
      </c>
      <c r="Z390" s="4">
        <f>Games[[#This Row],[K]]*Games[[#This Row],[POMult]]</f>
        <v>72.25</v>
      </c>
      <c r="AA390" s="4">
        <f>(Games[[#This Row],[Keff]]*Games[[#This Row],[MOVMult]])*(Games[[#This Row],[Result]]-Games[[#This Row],[ExpectedWin%]])</f>
        <v>-11.957463044616267</v>
      </c>
      <c r="AB390" s="4">
        <f>Games[[#This Row],[PreGmRate]]+Games[[#This Row],[RatingChange]]</f>
        <v>1416.8098284108576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36733</v>
      </c>
      <c r="B391" s="2">
        <v>2000</v>
      </c>
      <c r="C391" s="2">
        <f>COUNTIFS(Games[Team],Games[[#This Row],[Team]],Games[Season],Games[[#This Row],[Season]],Games[Date],"&lt;=" &amp; Games[[#This Row],[Date]])</f>
        <v>25</v>
      </c>
      <c r="D391" s="2" t="s">
        <v>23</v>
      </c>
      <c r="E391" s="2" t="s">
        <v>29</v>
      </c>
      <c r="F391" s="1" t="s">
        <v>64</v>
      </c>
      <c r="G391" s="1" t="s">
        <v>75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1364.9832236230586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1428.7672914554739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0.52906027669099653</v>
      </c>
      <c r="R391" s="1">
        <v>87</v>
      </c>
      <c r="S391" s="1">
        <v>80</v>
      </c>
      <c r="T391" s="1">
        <v>0</v>
      </c>
      <c r="U391" s="1">
        <f>Games[[#This Row],[PointsFor]]-Games[[#This Row],[PointsAgainst]]</f>
        <v>7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0.3514276040418306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72.25</v>
      </c>
      <c r="Z391" s="4">
        <f>Games[[#This Row],[K]]*Games[[#This Row],[POMult]]</f>
        <v>72.25</v>
      </c>
      <c r="AA391" s="4">
        <f>(Games[[#This Row],[Keff]]*Games[[#This Row],[MOVMult]])*(Games[[#This Row],[Result]]-Games[[#This Row],[ExpectedWin%]])</f>
        <v>11.957463044616263</v>
      </c>
      <c r="AB391" s="4">
        <f>Games[[#This Row],[PreGmRate]]+Games[[#This Row],[RatingChange]]</f>
        <v>1376.940686667675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36733</v>
      </c>
      <c r="B392" s="2">
        <v>2000</v>
      </c>
      <c r="C392" s="2">
        <f>COUNTIFS(Games[Team],Games[[#This Row],[Team]],Games[Season],Games[[#This Row],[Season]],Games[Date],"&lt;=" &amp; Games[[#This Row],[Date]])</f>
        <v>25</v>
      </c>
      <c r="D392" s="2" t="s">
        <v>23</v>
      </c>
      <c r="E392" s="2" t="s">
        <v>29</v>
      </c>
      <c r="F392" s="1" t="s">
        <v>83</v>
      </c>
      <c r="G392" s="1" t="s">
        <v>77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2</v>
      </c>
      <c r="L392" s="2">
        <f>Games[[#This Row],[OppDaysOff]]-Games[[#This Row],[DaysOff]]</f>
        <v>-2</v>
      </c>
      <c r="M392" s="1">
        <f>MAX(-16, MIN(16, Games[[#This Row],[RestDiff]]*8))</f>
        <v>16</v>
      </c>
      <c r="N392" s="1">
        <f>MAX(-16, MIN(16, Games[[#This Row],[OppRestDiff]]*8))</f>
        <v>-16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1404.95579068601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1452.795761888852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0.36014725523476304</v>
      </c>
      <c r="R392" s="1">
        <v>62</v>
      </c>
      <c r="S392" s="1">
        <v>78</v>
      </c>
      <c r="T392" s="1">
        <v>0</v>
      </c>
      <c r="U392" s="1">
        <f>Games[[#This Row],[PointsFor]]-Games[[#This Row],[PointsAgainst]]</f>
        <v>-16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0.49793503419924678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72.25</v>
      </c>
      <c r="Z392" s="4">
        <f>Games[[#This Row],[K]]*Games[[#This Row],[POMult]]</f>
        <v>72.25</v>
      </c>
      <c r="AA392" s="4">
        <f>(Games[[#This Row],[Keff]]*Games[[#This Row],[MOVMult]])*(Games[[#This Row],[Result]]-Games[[#This Row],[ExpectedWin%]])</f>
        <v>-12.956587865313256</v>
      </c>
      <c r="AB392" s="4">
        <f>Games[[#This Row],[PreGmRate]]+Games[[#This Row],[RatingChange]]</f>
        <v>1391.9992028206968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36733</v>
      </c>
      <c r="B393" s="2">
        <v>2000</v>
      </c>
      <c r="C393" s="2">
        <f>COUNTIFS(Games[Team],Games[[#This Row],[Team]],Games[Season],Games[[#This Row],[Season]],Games[Date],"&lt;=" &amp; Games[[#This Row],[Date]])</f>
        <v>24</v>
      </c>
      <c r="D393" s="2" t="s">
        <v>23</v>
      </c>
      <c r="E393" s="2" t="s">
        <v>29</v>
      </c>
      <c r="F393" s="1" t="s">
        <v>77</v>
      </c>
      <c r="G393" s="1" t="s">
        <v>83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3" s="2">
        <f>Games[[#This Row],[DaysOff]]-Games[[#This Row],[OppDaysOff]]</f>
        <v>-2</v>
      </c>
      <c r="L393" s="2">
        <f>Games[[#This Row],[OppDaysOff]]-Games[[#This Row],[DaysOff]]</f>
        <v>2</v>
      </c>
      <c r="M393" s="1">
        <f>MAX(-16, MIN(16, Games[[#This Row],[RestDiff]]*8))</f>
        <v>-16</v>
      </c>
      <c r="N393" s="1">
        <f>MAX(-16, MIN(16, Games[[#This Row],[OppRestDiff]]*8))</f>
        <v>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1452.795761888852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1404.95579068601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0.6398527447652369</v>
      </c>
      <c r="R393" s="1">
        <v>78</v>
      </c>
      <c r="S393" s="1">
        <v>62</v>
      </c>
      <c r="T393" s="1">
        <v>0</v>
      </c>
      <c r="U393" s="1">
        <f>Games[[#This Row],[PointsFor]]-Games[[#This Row],[PointsAgainst]]</f>
        <v>16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0.49793503419924678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72.400000000000006</v>
      </c>
      <c r="Z393" s="4">
        <f>Games[[#This Row],[K]]*Games[[#This Row],[POMult]]</f>
        <v>72.400000000000006</v>
      </c>
      <c r="AA393" s="4">
        <f>(Games[[#This Row],[Keff]]*Games[[#This Row],[MOVMult]])*(Games[[#This Row],[Result]]-Games[[#This Row],[ExpectedWin%]])</f>
        <v>12.983487355691073</v>
      </c>
      <c r="AB393" s="4">
        <f>Games[[#This Row],[PreGmRate]]+Games[[#This Row],[RatingChange]]</f>
        <v>1465.7792492445431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36733</v>
      </c>
      <c r="B394" s="2">
        <v>2000</v>
      </c>
      <c r="C394" s="2">
        <f>COUNTIFS(Games[Team],Games[[#This Row],[Team]],Games[Season],Games[[#This Row],[Season]],Games[Date],"&lt;=" &amp; Games[[#This Row],[Date]])</f>
        <v>24</v>
      </c>
      <c r="D394" s="2" t="s">
        <v>23</v>
      </c>
      <c r="E394" s="2" t="s">
        <v>29</v>
      </c>
      <c r="F394" s="1" t="s">
        <v>85</v>
      </c>
      <c r="G394" s="1" t="s">
        <v>44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1400.407319953222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1595.8089791980042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0.16681570238529839</v>
      </c>
      <c r="R394" s="1">
        <v>65</v>
      </c>
      <c r="S394" s="1">
        <v>79</v>
      </c>
      <c r="T394" s="1">
        <v>0</v>
      </c>
      <c r="U394" s="1">
        <f>Games[[#This Row],[PointsFor]]-Games[[#This Row],[PointsAgainst]]</f>
        <v>-14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0.41932709507999638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72.400000000000006</v>
      </c>
      <c r="Z394" s="4">
        <f>Games[[#This Row],[K]]*Games[[#This Row],[POMult]]</f>
        <v>72.400000000000006</v>
      </c>
      <c r="AA394" s="4">
        <f>(Games[[#This Row],[Keff]]*Games[[#This Row],[MOVMult]])*(Games[[#This Row],[Result]]-Games[[#This Row],[ExpectedWin%]])</f>
        <v>-5.0644048979948435</v>
      </c>
      <c r="AB394" s="4">
        <f>Games[[#This Row],[PreGmRate]]+Games[[#This Row],[RatingChange]]</f>
        <v>1395.3429150552272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36733</v>
      </c>
      <c r="B395" s="2">
        <v>2000</v>
      </c>
      <c r="C395" s="2">
        <f>COUNTIFS(Games[Team],Games[[#This Row],[Team]],Games[Season],Games[[#This Row],[Season]],Games[Date],"&lt;=" &amp; Games[[#This Row],[Date]])</f>
        <v>25</v>
      </c>
      <c r="D395" s="2" t="s">
        <v>23</v>
      </c>
      <c r="E395" s="2" t="s">
        <v>29</v>
      </c>
      <c r="F395" s="1" t="s">
        <v>44</v>
      </c>
      <c r="G395" s="1" t="s">
        <v>85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1595.8089791980042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1400.407319953222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0.83318429761470159</v>
      </c>
      <c r="R395" s="1">
        <v>79</v>
      </c>
      <c r="S395" s="1">
        <v>65</v>
      </c>
      <c r="T395" s="1">
        <v>0</v>
      </c>
      <c r="U395" s="1">
        <f>Games[[#This Row],[PointsFor]]-Games[[#This Row],[PointsAgainst]]</f>
        <v>14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0.41932709507999638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72.25</v>
      </c>
      <c r="Z395" s="4">
        <f>Games[[#This Row],[K]]*Games[[#This Row],[POMult]]</f>
        <v>72.25</v>
      </c>
      <c r="AA395" s="4">
        <f>(Games[[#This Row],[Keff]]*Games[[#This Row],[MOVMult]])*(Games[[#This Row],[Result]]-Games[[#This Row],[ExpectedWin%]])</f>
        <v>5.0539123464106002</v>
      </c>
      <c r="AB395" s="4">
        <f>Games[[#This Row],[PreGmRate]]+Games[[#This Row],[RatingChange]]</f>
        <v>1600.8628915444149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36733</v>
      </c>
      <c r="B396" s="2">
        <v>2000</v>
      </c>
      <c r="C396" s="2">
        <f>COUNTIFS(Games[Team],Games[[#This Row],[Team]],Games[Season],Games[[#This Row],[Season]],Games[Date],"&lt;=" &amp; Games[[#This Row],[Date]])</f>
        <v>26</v>
      </c>
      <c r="D396" s="2" t="s">
        <v>23</v>
      </c>
      <c r="E396" s="2" t="s">
        <v>29</v>
      </c>
      <c r="F396" s="1" t="s">
        <v>45</v>
      </c>
      <c r="G396" s="1" t="s">
        <v>89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1</v>
      </c>
      <c r="L396" s="2">
        <f>Games[[#This Row],[OppDaysOff]]-Games[[#This Row],[DaysOff]]</f>
        <v>-1</v>
      </c>
      <c r="M396" s="1">
        <f>MAX(-16, MIN(16, Games[[#This Row],[RestDiff]]*8))</f>
        <v>8</v>
      </c>
      <c r="N396" s="1">
        <f>MAX(-16, MIN(16, Games[[#This Row],[OppRestDiff]]*8))</f>
        <v>-8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1578.5014421145595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1443.3661016472777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0.59543072906375794</v>
      </c>
      <c r="R396" s="1">
        <v>73</v>
      </c>
      <c r="S396" s="1">
        <v>70</v>
      </c>
      <c r="T396" s="1">
        <v>0</v>
      </c>
      <c r="U396" s="1">
        <f>Games[[#This Row],[PointsFor]]-Games[[#This Row],[PointsAgainst]]</f>
        <v>3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0.2608126792573528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72.099999999999994</v>
      </c>
      <c r="Z396" s="4">
        <f>Games[[#This Row],[K]]*Games[[#This Row],[POMult]]</f>
        <v>72.099999999999994</v>
      </c>
      <c r="AA396" s="4">
        <f>(Games[[#This Row],[Keff]]*Games[[#This Row],[MOVMult]])*(Games[[#This Row],[Result]]-Games[[#This Row],[ExpectedWin%]])</f>
        <v>7.6077609554112193</v>
      </c>
      <c r="AB396" s="4">
        <f>Games[[#This Row],[PreGmRate]]+Games[[#This Row],[RatingChange]]</f>
        <v>1586.1092030699708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36733</v>
      </c>
      <c r="B397" s="2">
        <v>2000</v>
      </c>
      <c r="C397" s="2">
        <f>COUNTIFS(Games[Team],Games[[#This Row],[Team]],Games[Season],Games[[#This Row],[Season]],Games[Date],"&lt;=" &amp; Games[[#This Row],[Date]])</f>
        <v>25</v>
      </c>
      <c r="D397" s="2" t="s">
        <v>23</v>
      </c>
      <c r="E397" s="2" t="s">
        <v>29</v>
      </c>
      <c r="F397" s="1" t="s">
        <v>89</v>
      </c>
      <c r="G397" s="1" t="s">
        <v>45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7" s="2">
        <f>Games[[#This Row],[DaysOff]]-Games[[#This Row],[OppDaysOff]]</f>
        <v>-1</v>
      </c>
      <c r="L397" s="2">
        <f>Games[[#This Row],[OppDaysOff]]-Games[[#This Row],[DaysOff]]</f>
        <v>1</v>
      </c>
      <c r="M397" s="1">
        <f>MAX(-16, MIN(16, Games[[#This Row],[RestDiff]]*8))</f>
        <v>-8</v>
      </c>
      <c r="N397" s="1">
        <f>MAX(-16, MIN(16, Games[[#This Row],[OppRestDiff]]*8))</f>
        <v>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1443.3661016472777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1578.5014421145595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0.40456927093624212</v>
      </c>
      <c r="R397" s="1">
        <v>70</v>
      </c>
      <c r="S397" s="1">
        <v>73</v>
      </c>
      <c r="T397" s="1">
        <v>0</v>
      </c>
      <c r="U397" s="1">
        <f>Games[[#This Row],[PointsFor]]-Games[[#This Row],[PointsAgainst]]</f>
        <v>-3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0.2608126792573528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72.25</v>
      </c>
      <c r="Z397" s="4">
        <f>Games[[#This Row],[K]]*Games[[#This Row],[POMult]]</f>
        <v>72.25</v>
      </c>
      <c r="AA397" s="4">
        <f>(Games[[#This Row],[Keff]]*Games[[#This Row],[MOVMult]])*(Games[[#This Row],[Result]]-Games[[#This Row],[ExpectedWin%]])</f>
        <v>-7.6235884747359313</v>
      </c>
      <c r="AB397" s="4">
        <f>Games[[#This Row],[PreGmRate]]+Games[[#This Row],[RatingChange]]</f>
        <v>1435.7425131725417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36733</v>
      </c>
      <c r="B398" s="2">
        <v>2000</v>
      </c>
      <c r="C398" s="2">
        <f>COUNTIFS(Games[Team],Games[[#This Row],[Team]],Games[Season],Games[[#This Row],[Season]],Games[Date],"&lt;=" &amp; Games[[#This Row],[Date]])</f>
        <v>24</v>
      </c>
      <c r="D398" s="2" t="s">
        <v>23</v>
      </c>
      <c r="E398" s="2" t="s">
        <v>29</v>
      </c>
      <c r="F398" s="1" t="s">
        <v>1</v>
      </c>
      <c r="G398" s="1" t="s">
        <v>43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-1</v>
      </c>
      <c r="L398" s="2">
        <f>Games[[#This Row],[OppDaysOff]]-Games[[#This Row],[DaysOff]]</f>
        <v>1</v>
      </c>
      <c r="M398" s="1">
        <f>MAX(-16, MIN(16, Games[[#This Row],[RestDiff]]*8))</f>
        <v>-8</v>
      </c>
      <c r="N398" s="1">
        <f>MAX(-16, MIN(16, Games[[#This Row],[OppRestDiff]]*8))</f>
        <v>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1491.6565276585422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1518.0584348609705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0.32571549112561388</v>
      </c>
      <c r="R398" s="1">
        <v>77</v>
      </c>
      <c r="S398" s="1">
        <v>84</v>
      </c>
      <c r="T398" s="1">
        <v>0</v>
      </c>
      <c r="U398" s="1">
        <f>Games[[#This Row],[PointsFor]]-Games[[#This Row],[PointsAgainst]]</f>
        <v>-7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0.36213952732485172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72.400000000000006</v>
      </c>
      <c r="Z398" s="4">
        <f>Games[[#This Row],[K]]*Games[[#This Row],[POMult]]</f>
        <v>72.400000000000006</v>
      </c>
      <c r="AA398" s="4">
        <f>(Games[[#This Row],[Keff]]*Games[[#This Row],[MOVMult]])*(Games[[#This Row],[Result]]-Games[[#This Row],[ExpectedWin%]])</f>
        <v>-8.5399024694994914</v>
      </c>
      <c r="AB398" s="4">
        <f>Games[[#This Row],[PreGmRate]]+Games[[#This Row],[RatingChange]]</f>
        <v>1483.1166251890427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36733</v>
      </c>
      <c r="B399" s="2">
        <v>2000</v>
      </c>
      <c r="C399" s="2">
        <f>COUNTIFS(Games[Team],Games[[#This Row],[Team]],Games[Season],Games[[#This Row],[Season]],Games[Date],"&lt;=" &amp; Games[[#This Row],[Date]])</f>
        <v>26</v>
      </c>
      <c r="D399" s="2" t="s">
        <v>23</v>
      </c>
      <c r="E399" s="2" t="s">
        <v>29</v>
      </c>
      <c r="F399" s="1" t="s">
        <v>43</v>
      </c>
      <c r="G399" s="1" t="s">
        <v>1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1</v>
      </c>
      <c r="L399" s="2">
        <f>Games[[#This Row],[OppDaysOff]]-Games[[#This Row],[DaysOff]]</f>
        <v>-1</v>
      </c>
      <c r="M399" s="1">
        <f>MAX(-16, MIN(16, Games[[#This Row],[RestDiff]]*8))</f>
        <v>8</v>
      </c>
      <c r="N399" s="1">
        <f>MAX(-16, MIN(16, Games[[#This Row],[OppRestDiff]]*8))</f>
        <v>-8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1518.0584348609705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1491.6565276585422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0.67428450887438607</v>
      </c>
      <c r="R399" s="1">
        <v>84</v>
      </c>
      <c r="S399" s="1">
        <v>77</v>
      </c>
      <c r="T399" s="1">
        <v>0</v>
      </c>
      <c r="U399" s="1">
        <f>Games[[#This Row],[PointsFor]]-Games[[#This Row],[PointsAgainst]]</f>
        <v>7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0.36213952732485172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72.099999999999994</v>
      </c>
      <c r="Z399" s="4">
        <f>Games[[#This Row],[K]]*Games[[#This Row],[POMult]]</f>
        <v>72.099999999999994</v>
      </c>
      <c r="AA399" s="4">
        <f>(Games[[#This Row],[Keff]]*Games[[#This Row],[MOVMult]])*(Games[[#This Row],[Result]]-Games[[#This Row],[ExpectedWin%]])</f>
        <v>8.5045161332999069</v>
      </c>
      <c r="AB399" s="4">
        <f>Games[[#This Row],[PreGmRate]]+Games[[#This Row],[RatingChange]]</f>
        <v>1526.5629509942703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36734</v>
      </c>
      <c r="B400" s="2">
        <v>2000</v>
      </c>
      <c r="C400" s="2">
        <f>COUNTIFS(Games[Team],Games[[#This Row],[Team]],Games[Season],Games[[#This Row],[Season]],Games[Date],"&lt;=" &amp; Games[[#This Row],[Date]])</f>
        <v>25</v>
      </c>
      <c r="D400" s="2" t="s">
        <v>23</v>
      </c>
      <c r="E400" s="2" t="s">
        <v>29</v>
      </c>
      <c r="F400" s="1" t="s">
        <v>87</v>
      </c>
      <c r="G400" s="1" t="s">
        <v>71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1338.0473787608578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1706.7506996020722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6.8755201308783723E-2</v>
      </c>
      <c r="R400" s="1">
        <v>63</v>
      </c>
      <c r="S400" s="1">
        <v>76</v>
      </c>
      <c r="T400" s="1">
        <v>0</v>
      </c>
      <c r="U400" s="1">
        <f>Games[[#This Row],[PointsFor]]-Games[[#This Row],[PointsAgainst]]</f>
        <v>-13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0.36109600792658603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72.25</v>
      </c>
      <c r="Z400" s="4">
        <f>Games[[#This Row],[K]]*Games[[#This Row],[POMult]]</f>
        <v>72.25</v>
      </c>
      <c r="AA400" s="4">
        <f>(Games[[#This Row],[Keff]]*Games[[#This Row],[MOVMult]])*(Games[[#This Row],[Result]]-Games[[#This Row],[ExpectedWin%]])</f>
        <v>-1.7937672747881197</v>
      </c>
      <c r="AB400" s="4">
        <f>Games[[#This Row],[PreGmRate]]+Games[[#This Row],[RatingChange]]</f>
        <v>1336.2536114860698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36734</v>
      </c>
      <c r="B401" s="2">
        <v>2000</v>
      </c>
      <c r="C401" s="2">
        <f>COUNTIFS(Games[Team],Games[[#This Row],[Team]],Games[Season],Games[[#This Row],[Season]],Games[Date],"&lt;=" &amp; Games[[#This Row],[Date]])</f>
        <v>26</v>
      </c>
      <c r="D401" s="2" t="s">
        <v>23</v>
      </c>
      <c r="E401" s="2" t="s">
        <v>29</v>
      </c>
      <c r="F401" s="1" t="s">
        <v>71</v>
      </c>
      <c r="G401" s="1" t="s">
        <v>87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1706.7506996020722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1338.0473787608578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0.93124479869121624</v>
      </c>
      <c r="R401" s="1">
        <v>76</v>
      </c>
      <c r="S401" s="1">
        <v>63</v>
      </c>
      <c r="T401" s="1">
        <v>0</v>
      </c>
      <c r="U401" s="1">
        <f>Games[[#This Row],[PointsFor]]-Games[[#This Row],[PointsAgainst]]</f>
        <v>13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0.36109600792658603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72.099999999999994</v>
      </c>
      <c r="Z401" s="4">
        <f>Games[[#This Row],[K]]*Games[[#This Row],[POMult]]</f>
        <v>72.099999999999994</v>
      </c>
      <c r="AA401" s="4">
        <f>(Games[[#This Row],[Keff]]*Games[[#This Row],[MOVMult]])*(Games[[#This Row],[Result]]-Games[[#This Row],[ExpectedWin%]])</f>
        <v>1.790043190480602</v>
      </c>
      <c r="AB401" s="4">
        <f>Games[[#This Row],[PreGmRate]]+Games[[#This Row],[RatingChange]]</f>
        <v>1708.5407427925529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36734</v>
      </c>
      <c r="B402" s="2">
        <v>2000</v>
      </c>
      <c r="C402" s="2">
        <f>COUNTIFS(Games[Team],Games[[#This Row],[Team]],Games[Season],Games[[#This Row],[Season]],Games[Date],"&lt;=" &amp; Games[[#This Row],[Date]])</f>
        <v>26</v>
      </c>
      <c r="D402" s="2" t="s">
        <v>23</v>
      </c>
      <c r="E402" s="2" t="s">
        <v>29</v>
      </c>
      <c r="F402" s="1" t="s">
        <v>79</v>
      </c>
      <c r="G402" s="1" t="s">
        <v>45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2" s="2">
        <f>Games[[#This Row],[DaysOff]]-Games[[#This Row],[OppDaysOff]]</f>
        <v>1</v>
      </c>
      <c r="L402" s="2">
        <f>Games[[#This Row],[OppDaysOff]]-Games[[#This Row],[DaysOff]]</f>
        <v>-1</v>
      </c>
      <c r="M402" s="1">
        <f>MAX(-16, MIN(16, Games[[#This Row],[RestDiff]]*8))</f>
        <v>8</v>
      </c>
      <c r="N402" s="1">
        <f>MAX(-16, MIN(16, Games[[#This Row],[OppRestDiff]]*8))</f>
        <v>-8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1495.7198686129668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1586.1092030699708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0.28663935135791552</v>
      </c>
      <c r="R402" s="1">
        <v>66</v>
      </c>
      <c r="S402" s="1">
        <v>73</v>
      </c>
      <c r="T402" s="1">
        <v>0</v>
      </c>
      <c r="U402" s="1">
        <f>Games[[#This Row],[PointsFor]]-Games[[#This Row],[PointsAgainst]]</f>
        <v>-7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0.34418186443820337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72.099999999999994</v>
      </c>
      <c r="Z402" s="4">
        <f>Games[[#This Row],[K]]*Games[[#This Row],[POMult]]</f>
        <v>72.099999999999994</v>
      </c>
      <c r="AA402" s="4">
        <f>(Games[[#This Row],[Keff]]*Games[[#This Row],[MOVMult]])*(Games[[#This Row],[Result]]-Games[[#This Row],[ExpectedWin%]])</f>
        <v>-7.1131023854013442</v>
      </c>
      <c r="AB402" s="4">
        <f>Games[[#This Row],[PreGmRate]]+Games[[#This Row],[RatingChange]]</f>
        <v>1488.6067662275655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36734</v>
      </c>
      <c r="B403" s="2">
        <v>2000</v>
      </c>
      <c r="C403" s="2">
        <f>COUNTIFS(Games[Team],Games[[#This Row],[Team]],Games[Season],Games[[#This Row],[Season]],Games[Date],"&lt;=" &amp; Games[[#This Row],[Date]])</f>
        <v>27</v>
      </c>
      <c r="D403" s="2" t="s">
        <v>23</v>
      </c>
      <c r="E403" s="2" t="s">
        <v>29</v>
      </c>
      <c r="F403" s="1" t="s">
        <v>45</v>
      </c>
      <c r="G403" s="1" t="s">
        <v>79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-1</v>
      </c>
      <c r="L403" s="2">
        <f>Games[[#This Row],[OppDaysOff]]-Games[[#This Row],[DaysOff]]</f>
        <v>1</v>
      </c>
      <c r="M403" s="1">
        <f>MAX(-16, MIN(16, Games[[#This Row],[RestDiff]]*8))</f>
        <v>-8</v>
      </c>
      <c r="N403" s="1">
        <f>MAX(-16, MIN(16, Games[[#This Row],[OppRestDiff]]*8))</f>
        <v>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1586.1092030699708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1495.7198686129668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0.71336064864208448</v>
      </c>
      <c r="R403" s="1">
        <v>73</v>
      </c>
      <c r="S403" s="1">
        <v>66</v>
      </c>
      <c r="T403" s="1">
        <v>0</v>
      </c>
      <c r="U403" s="1">
        <f>Games[[#This Row],[PointsFor]]-Games[[#This Row],[PointsAgainst]]</f>
        <v>7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0.34418186443820337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71.95</v>
      </c>
      <c r="Z403" s="4">
        <f>Games[[#This Row],[K]]*Games[[#This Row],[POMult]]</f>
        <v>71.95</v>
      </c>
      <c r="AA403" s="4">
        <f>(Games[[#This Row],[Keff]]*Games[[#This Row],[MOVMult]])*(Games[[#This Row],[Result]]-Games[[#This Row],[ExpectedWin%]])</f>
        <v>7.098303975445587</v>
      </c>
      <c r="AB403" s="4">
        <f>Games[[#This Row],[PreGmRate]]+Games[[#This Row],[RatingChange]]</f>
        <v>1593.2075070454164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36735</v>
      </c>
      <c r="B404" s="2">
        <v>2000</v>
      </c>
      <c r="C404" s="2">
        <f>COUNTIFS(Games[Team],Games[[#This Row],[Team]],Games[Season],Games[[#This Row],[Season]],Games[Date],"&lt;=" &amp; Games[[#This Row],[Date]])</f>
        <v>26</v>
      </c>
      <c r="D404" s="2" t="s">
        <v>23</v>
      </c>
      <c r="E404" s="2" t="s">
        <v>29</v>
      </c>
      <c r="F404" s="1" t="s">
        <v>66</v>
      </c>
      <c r="G404" s="1" t="s">
        <v>64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2</v>
      </c>
      <c r="L404" s="2">
        <f>Games[[#This Row],[OppDaysOff]]-Games[[#This Row],[DaysOff]]</f>
        <v>-2</v>
      </c>
      <c r="M404" s="1">
        <f>MAX(-16, MIN(16, Games[[#This Row],[RestDiff]]*8))</f>
        <v>16</v>
      </c>
      <c r="N404" s="1">
        <f>MAX(-16, MIN(16, Games[[#This Row],[OppRestDiff]]*8))</f>
        <v>-16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1580.4920484806075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1376.940686667675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0.70524479398866069</v>
      </c>
      <c r="R404" s="1">
        <v>66</v>
      </c>
      <c r="S404" s="1">
        <v>56</v>
      </c>
      <c r="T404" s="1">
        <v>0</v>
      </c>
      <c r="U404" s="1">
        <f>Games[[#This Row],[PointsFor]]-Games[[#This Row],[PointsAgainst]]</f>
        <v>10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0.36176491506722303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72.099999999999994</v>
      </c>
      <c r="Z404" s="4">
        <f>Games[[#This Row],[K]]*Games[[#This Row],[POMult]]</f>
        <v>72.099999999999994</v>
      </c>
      <c r="AA404" s="4">
        <f>(Games[[#This Row],[Keff]]*Games[[#This Row],[MOVMult]])*(Games[[#This Row],[Result]]-Games[[#This Row],[ExpectedWin%]])</f>
        <v>7.6881738381254383</v>
      </c>
      <c r="AB404" s="4">
        <f>Games[[#This Row],[PreGmRate]]+Games[[#This Row],[RatingChange]]</f>
        <v>1588.1802223187331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36735</v>
      </c>
      <c r="B405" s="2">
        <v>2000</v>
      </c>
      <c r="C405" s="2">
        <f>COUNTIFS(Games[Team],Games[[#This Row],[Team]],Games[Season],Games[[#This Row],[Season]],Games[Date],"&lt;=" &amp; Games[[#This Row],[Date]])</f>
        <v>26</v>
      </c>
      <c r="D405" s="2" t="s">
        <v>23</v>
      </c>
      <c r="E405" s="2" t="s">
        <v>29</v>
      </c>
      <c r="F405" s="1" t="s">
        <v>64</v>
      </c>
      <c r="G405" s="1" t="s">
        <v>66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5" s="2">
        <f>Games[[#This Row],[DaysOff]]-Games[[#This Row],[OppDaysOff]]</f>
        <v>-2</v>
      </c>
      <c r="L405" s="2">
        <f>Games[[#This Row],[OppDaysOff]]-Games[[#This Row],[DaysOff]]</f>
        <v>2</v>
      </c>
      <c r="M405" s="1">
        <f>MAX(-16, MIN(16, Games[[#This Row],[RestDiff]]*8))</f>
        <v>-16</v>
      </c>
      <c r="N405" s="1">
        <f>MAX(-16, MIN(16, Games[[#This Row],[OppRestDiff]]*8))</f>
        <v>16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1376.940686667675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1580.4920484806075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0.29475520601133942</v>
      </c>
      <c r="R405" s="1">
        <v>56</v>
      </c>
      <c r="S405" s="1">
        <v>66</v>
      </c>
      <c r="T405" s="1">
        <v>0</v>
      </c>
      <c r="U405" s="1">
        <f>Games[[#This Row],[PointsFor]]-Games[[#This Row],[PointsAgainst]]</f>
        <v>-10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0.36176491506722303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72.099999999999994</v>
      </c>
      <c r="Z405" s="4">
        <f>Games[[#This Row],[K]]*Games[[#This Row],[POMult]]</f>
        <v>72.099999999999994</v>
      </c>
      <c r="AA405" s="4">
        <f>(Games[[#This Row],[Keff]]*Games[[#This Row],[MOVMult]])*(Games[[#This Row],[Result]]-Games[[#This Row],[ExpectedWin%]])</f>
        <v>-7.688173838125441</v>
      </c>
      <c r="AB405" s="4">
        <f>Games[[#This Row],[PreGmRate]]+Games[[#This Row],[RatingChange]]</f>
        <v>1369.2525128295495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36735</v>
      </c>
      <c r="B406" s="2">
        <v>2000</v>
      </c>
      <c r="C406" s="2">
        <f>COUNTIFS(Games[Team],Games[[#This Row],[Team]],Games[Season],Games[[#This Row],[Season]],Games[Date],"&lt;=" &amp; Games[[#This Row],[Date]])</f>
        <v>25</v>
      </c>
      <c r="D406" s="2" t="s">
        <v>23</v>
      </c>
      <c r="E406" s="2" t="s">
        <v>29</v>
      </c>
      <c r="F406" s="1" t="s">
        <v>77</v>
      </c>
      <c r="G406" s="1" t="s">
        <v>1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1465.7792492445431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1483.1166251890427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0.35816331247849253</v>
      </c>
      <c r="R406" s="1">
        <v>60</v>
      </c>
      <c r="S406" s="1">
        <v>80</v>
      </c>
      <c r="T406" s="1">
        <v>0</v>
      </c>
      <c r="U406" s="1">
        <f>Games[[#This Row],[PointsFor]]-Games[[#This Row],[PointsAgainst]]</f>
        <v>-20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0.56669978624073669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72.25</v>
      </c>
      <c r="Z406" s="4">
        <f>Games[[#This Row],[K]]*Games[[#This Row],[POMult]]</f>
        <v>72.25</v>
      </c>
      <c r="AA406" s="4">
        <f>(Games[[#This Row],[Keff]]*Games[[#This Row],[MOVMult]])*(Games[[#This Row],[Result]]-Games[[#This Row],[ExpectedWin%]])</f>
        <v>-14.664659996855393</v>
      </c>
      <c r="AB406" s="4">
        <f>Games[[#This Row],[PreGmRate]]+Games[[#This Row],[RatingChange]]</f>
        <v>1451.1145892476877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36735</v>
      </c>
      <c r="B407" s="2">
        <v>2000</v>
      </c>
      <c r="C407" s="2">
        <f>COUNTIFS(Games[Team],Games[[#This Row],[Team]],Games[Season],Games[[#This Row],[Season]],Games[Date],"&lt;=" &amp; Games[[#This Row],[Date]])</f>
        <v>25</v>
      </c>
      <c r="D407" s="2" t="s">
        <v>23</v>
      </c>
      <c r="E407" s="2" t="s">
        <v>29</v>
      </c>
      <c r="F407" s="1" t="s">
        <v>1</v>
      </c>
      <c r="G407" s="1" t="s">
        <v>77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1483.1166251890427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1465.7792492445431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0.64183668752150747</v>
      </c>
      <c r="R407" s="1">
        <v>80</v>
      </c>
      <c r="S407" s="1">
        <v>60</v>
      </c>
      <c r="T407" s="1">
        <v>0</v>
      </c>
      <c r="U407" s="1">
        <f>Games[[#This Row],[PointsFor]]-Games[[#This Row],[PointsAgainst]]</f>
        <v>20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0.56669978624073669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72.25</v>
      </c>
      <c r="Z407" s="4">
        <f>Games[[#This Row],[K]]*Games[[#This Row],[POMult]]</f>
        <v>72.25</v>
      </c>
      <c r="AA407" s="4">
        <f>(Games[[#This Row],[Keff]]*Games[[#This Row],[MOVMult]])*(Games[[#This Row],[Result]]-Games[[#This Row],[ExpectedWin%]])</f>
        <v>14.664659996855393</v>
      </c>
      <c r="AB407" s="4">
        <f>Games[[#This Row],[PreGmRate]]+Games[[#This Row],[RatingChange]]</f>
        <v>1497.781285185898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36735</v>
      </c>
      <c r="B408" s="2">
        <v>2000</v>
      </c>
      <c r="C408" s="2">
        <f>COUNTIFS(Games[Team],Games[[#This Row],[Team]],Games[Season],Games[[#This Row],[Season]],Games[Date],"&lt;=" &amp; Games[[#This Row],[Date]])</f>
        <v>26</v>
      </c>
      <c r="D408" s="2" t="s">
        <v>23</v>
      </c>
      <c r="E408" s="2" t="s">
        <v>29</v>
      </c>
      <c r="F408" s="1" t="s">
        <v>83</v>
      </c>
      <c r="G408" s="1" t="s">
        <v>80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8" s="2">
        <f>Games[[#This Row],[DaysOff]]-Games[[#This Row],[OppDaysOff]]</f>
        <v>-3</v>
      </c>
      <c r="L408" s="2">
        <f>Games[[#This Row],[OppDaysOff]]-Games[[#This Row],[DaysOff]]</f>
        <v>3</v>
      </c>
      <c r="M408" s="16">
        <f>MAX(-16, MIN(16, Games[[#This Row],[RestDiff]]*8))</f>
        <v>-16</v>
      </c>
      <c r="N408" s="16">
        <f>MAX(-16, MIN(16, Games[[#This Row],[OppRestDiff]]*8))</f>
        <v>16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1391.9992028206968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1474.0976967472666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0.24225673093413685</v>
      </c>
      <c r="R408" s="1">
        <v>44</v>
      </c>
      <c r="S408" s="1">
        <v>68</v>
      </c>
      <c r="T408" s="1">
        <v>0</v>
      </c>
      <c r="U408" s="16">
        <f>Games[[#This Row],[PointsFor]]-Games[[#This Row],[PointsAgainst]]</f>
        <v>-24</v>
      </c>
      <c r="V408" s="16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0.5881896912835427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72.099999999999994</v>
      </c>
      <c r="Z408" s="4">
        <f>Games[[#This Row],[K]]*Games[[#This Row],[POMult]]</f>
        <v>72.099999999999994</v>
      </c>
      <c r="AA408" s="4">
        <f>(Games[[#This Row],[Keff]]*Games[[#This Row],[MOVMult]])*(Games[[#This Row],[Result]]-Games[[#This Row],[ExpectedWin%]])</f>
        <v>-10.273738939302687</v>
      </c>
      <c r="AB408" s="4">
        <f>Games[[#This Row],[PreGmRate]]+Games[[#This Row],[RatingChange]]</f>
        <v>1381.7254638813943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36735</v>
      </c>
      <c r="B409" s="2">
        <v>2000</v>
      </c>
      <c r="C409" s="2">
        <f>COUNTIFS(Games[Team],Games[[#This Row],[Team]],Games[Season],Games[[#This Row],[Season]],Games[Date],"&lt;=" &amp; Games[[#This Row],[Date]])</f>
        <v>25</v>
      </c>
      <c r="D409" s="2" t="s">
        <v>23</v>
      </c>
      <c r="E409" s="2" t="s">
        <v>29</v>
      </c>
      <c r="F409" s="1" t="s">
        <v>80</v>
      </c>
      <c r="G409" s="1" t="s">
        <v>83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3</v>
      </c>
      <c r="L409" s="2">
        <f>Games[[#This Row],[OppDaysOff]]-Games[[#This Row],[DaysOff]]</f>
        <v>-3</v>
      </c>
      <c r="M409" s="16">
        <f>MAX(-16, MIN(16, Games[[#This Row],[RestDiff]]*8))</f>
        <v>16</v>
      </c>
      <c r="N409" s="16">
        <f>MAX(-16, MIN(16, Games[[#This Row],[OppRestDiff]]*8))</f>
        <v>-16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1474.0976967472666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1391.9992028206968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0.7577432690658632</v>
      </c>
      <c r="R409" s="1">
        <v>68</v>
      </c>
      <c r="S409" s="1">
        <v>44</v>
      </c>
      <c r="T409" s="1">
        <v>0</v>
      </c>
      <c r="U409" s="16">
        <f>Games[[#This Row],[PointsFor]]-Games[[#This Row],[PointsAgainst]]</f>
        <v>24</v>
      </c>
      <c r="V409" s="16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0.5881896912835427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72.25</v>
      </c>
      <c r="Z409" s="4">
        <f>Games[[#This Row],[K]]*Games[[#This Row],[POMult]]</f>
        <v>72.25</v>
      </c>
      <c r="AA409" s="4">
        <f>(Games[[#This Row],[Keff]]*Games[[#This Row],[MOVMult]])*(Games[[#This Row],[Result]]-Games[[#This Row],[ExpectedWin%]])</f>
        <v>10.295112876069611</v>
      </c>
      <c r="AB409" s="4">
        <f>Games[[#This Row],[PreGmRate]]+Games[[#This Row],[RatingChange]]</f>
        <v>1484.3928096233362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36735</v>
      </c>
      <c r="B410" s="2">
        <v>2000</v>
      </c>
      <c r="C410" s="2">
        <f>COUNTIFS(Games[Team],Games[[#This Row],[Team]],Games[Season],Games[[#This Row],[Season]],Games[Date],"&lt;=" &amp; Games[[#This Row],[Date]])</f>
        <v>25</v>
      </c>
      <c r="D410" s="2" t="s">
        <v>23</v>
      </c>
      <c r="E410" s="2" t="s">
        <v>29</v>
      </c>
      <c r="F410" s="1" t="s">
        <v>85</v>
      </c>
      <c r="G410" s="1" t="s">
        <v>89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6">
        <f>MAX(-16, MIN(16, Games[[#This Row],[RestDiff]]*8))</f>
        <v>0</v>
      </c>
      <c r="N410" s="16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1395.3429150552272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1435.7425131725417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0.3282520030017666</v>
      </c>
      <c r="R410" s="1">
        <v>73</v>
      </c>
      <c r="S410" s="1">
        <v>58</v>
      </c>
      <c r="T410" s="1">
        <v>0</v>
      </c>
      <c r="U410" s="16">
        <f>Games[[#This Row],[PointsFor]]-Games[[#This Row],[PointsAgainst]]</f>
        <v>15</v>
      </c>
      <c r="V410" s="16">
        <f>IF(Games[[#This Row],[MOV]]&gt;0,1,IF(Games[[#This Row],[MOV]]=0,0.5,0))</f>
        <v>1</v>
      </c>
      <c r="W410" s="4">
        <f>((ABS(Games[[#This Row],[MOV]])+5)^0.6)/(12+0.01*(ABS(Games[[#This Row],[PreGmRate]]-Games[[#This Row],[OppPreGmRate]])))*IF(Games[[#This Row],[OT]]=1,0.9,1)</f>
        <v>0.48647035565827884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72.25</v>
      </c>
      <c r="Z410" s="4">
        <f>Games[[#This Row],[K]]*Games[[#This Row],[POMult]]</f>
        <v>72.25</v>
      </c>
      <c r="AA410" s="4">
        <f>(Games[[#This Row],[Keff]]*Games[[#This Row],[MOVMult]])*(Games[[#This Row],[Result]]-Games[[#This Row],[ExpectedWin%]])</f>
        <v>23.610251436650742</v>
      </c>
      <c r="AB410" s="4">
        <f>Games[[#This Row],[PreGmRate]]+Games[[#This Row],[RatingChange]]</f>
        <v>1418.9531664918779</v>
      </c>
      <c r="AC410" s="2">
        <f>IF(Games[[#This Row],[Type]]="R",IF(Games[[#This Row],[Result]]&gt;0.5,1,0),0)</f>
        <v>1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36735</v>
      </c>
      <c r="B411" s="2">
        <v>2000</v>
      </c>
      <c r="C411" s="2">
        <f>COUNTIFS(Games[Team],Games[[#This Row],[Team]],Games[Season],Games[[#This Row],[Season]],Games[Date],"&lt;=" &amp; Games[[#This Row],[Date]])</f>
        <v>26</v>
      </c>
      <c r="D411" s="2" t="s">
        <v>23</v>
      </c>
      <c r="E411" s="2" t="s">
        <v>29</v>
      </c>
      <c r="F411" s="1" t="s">
        <v>89</v>
      </c>
      <c r="G411" s="1" t="s">
        <v>85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6">
        <f>MAX(-16, MIN(16, Games[[#This Row],[RestDiff]]*8))</f>
        <v>0</v>
      </c>
      <c r="N411" s="16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1435.7425131725417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1395.3429150552272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0.6717479969982334</v>
      </c>
      <c r="R411" s="1">
        <v>58</v>
      </c>
      <c r="S411" s="1">
        <v>73</v>
      </c>
      <c r="T411" s="1">
        <v>0</v>
      </c>
      <c r="U411" s="16">
        <f>Games[[#This Row],[PointsFor]]-Games[[#This Row],[PointsAgainst]]</f>
        <v>-15</v>
      </c>
      <c r="V411" s="16">
        <f>IF(Games[[#This Row],[MOV]]&gt;0,1,IF(Games[[#This Row],[MOV]]=0,0.5,0))</f>
        <v>0</v>
      </c>
      <c r="W411" s="4">
        <f>((ABS(Games[[#This Row],[MOV]])+5)^0.6)/(12+0.01*(ABS(Games[[#This Row],[PreGmRate]]-Games[[#This Row],[OppPreGmRate]])))*IF(Games[[#This Row],[OT]]=1,0.9,1)</f>
        <v>0.48647035565827884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72.099999999999994</v>
      </c>
      <c r="Z411" s="4">
        <f>Games[[#This Row],[K]]*Games[[#This Row],[POMult]]</f>
        <v>72.099999999999994</v>
      </c>
      <c r="AA411" s="4">
        <f>(Games[[#This Row],[Keff]]*Games[[#This Row],[MOVMult]])*(Games[[#This Row],[Result]]-Games[[#This Row],[ExpectedWin%]])</f>
        <v>-23.561233613598869</v>
      </c>
      <c r="AB411" s="4">
        <f>Games[[#This Row],[PreGmRate]]+Games[[#This Row],[RatingChange]]</f>
        <v>1412.1812795589428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1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36735</v>
      </c>
      <c r="B412" s="2">
        <v>2000</v>
      </c>
      <c r="C412" s="2">
        <f>COUNTIFS(Games[Team],Games[[#This Row],[Team]],Games[Season],Games[[#This Row],[Season]],Games[Date],"&lt;=" &amp; Games[[#This Row],[Date]])</f>
        <v>26</v>
      </c>
      <c r="D412" s="2" t="s">
        <v>23</v>
      </c>
      <c r="E412" s="2" t="s">
        <v>29</v>
      </c>
      <c r="F412" s="1" t="s">
        <v>44</v>
      </c>
      <c r="G412" s="1" t="s">
        <v>87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2" s="2">
        <f>Games[[#This Row],[DaysOff]]-Games[[#This Row],[OppDaysOff]]</f>
        <v>1</v>
      </c>
      <c r="L412" s="2">
        <f>Games[[#This Row],[OppDaysOff]]-Games[[#This Row],[DaysOff]]</f>
        <v>-1</v>
      </c>
      <c r="M412" s="16">
        <f>MAX(-16, MIN(16, Games[[#This Row],[RestDiff]]*8))</f>
        <v>8</v>
      </c>
      <c r="N412" s="16">
        <f>MAX(-16, MIN(16, Games[[#This Row],[OppRestDiff]]*8))</f>
        <v>-8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1600.8628915444149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1336.2536114860698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0.75616613471043859</v>
      </c>
      <c r="R412" s="1">
        <v>65</v>
      </c>
      <c r="S412" s="1">
        <v>55</v>
      </c>
      <c r="T412" s="1">
        <v>0</v>
      </c>
      <c r="U412" s="16">
        <f>Games[[#This Row],[PointsFor]]-Games[[#This Row],[PointsAgainst]]</f>
        <v>10</v>
      </c>
      <c r="V412" s="16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0.34668334149740843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72.099999999999994</v>
      </c>
      <c r="Z412" s="4">
        <f>Games[[#This Row],[K]]*Games[[#This Row],[POMult]]</f>
        <v>72.099999999999994</v>
      </c>
      <c r="AA412" s="4">
        <f>(Games[[#This Row],[Keff]]*Games[[#This Row],[MOVMult]])*(Games[[#This Row],[Result]]-Games[[#This Row],[ExpectedWin%]])</f>
        <v>6.0948393355134955</v>
      </c>
      <c r="AB412" s="4">
        <f>Games[[#This Row],[PreGmRate]]+Games[[#This Row],[RatingChange]]</f>
        <v>1606.9577308799285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36735</v>
      </c>
      <c r="B413" s="2">
        <v>2000</v>
      </c>
      <c r="C413" s="2">
        <f>COUNTIFS(Games[Team],Games[[#This Row],[Team]],Games[Season],Games[[#This Row],[Season]],Games[Date],"&lt;=" &amp; Games[[#This Row],[Date]])</f>
        <v>26</v>
      </c>
      <c r="D413" s="2" t="s">
        <v>23</v>
      </c>
      <c r="E413" s="2" t="s">
        <v>29</v>
      </c>
      <c r="F413" s="1" t="s">
        <v>87</v>
      </c>
      <c r="G413" s="1" t="s">
        <v>44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-1</v>
      </c>
      <c r="L413" s="2">
        <f>Games[[#This Row],[OppDaysOff]]-Games[[#This Row],[DaysOff]]</f>
        <v>1</v>
      </c>
      <c r="M413" s="16">
        <f>MAX(-16, MIN(16, Games[[#This Row],[RestDiff]]*8))</f>
        <v>-8</v>
      </c>
      <c r="N413" s="16">
        <f>MAX(-16, MIN(16, Games[[#This Row],[OppRestDiff]]*8))</f>
        <v>8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1336.2536114860698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1600.8628915444149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0.24383386528956133</v>
      </c>
      <c r="R413" s="1">
        <v>55</v>
      </c>
      <c r="S413" s="1">
        <v>65</v>
      </c>
      <c r="T413" s="1">
        <v>0</v>
      </c>
      <c r="U413" s="16">
        <f>Games[[#This Row],[PointsFor]]-Games[[#This Row],[PointsAgainst]]</f>
        <v>-10</v>
      </c>
      <c r="V413" s="16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0.34668334149740843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72.099999999999994</v>
      </c>
      <c r="Z413" s="4">
        <f>Games[[#This Row],[K]]*Games[[#This Row],[POMult]]</f>
        <v>72.099999999999994</v>
      </c>
      <c r="AA413" s="4">
        <f>(Games[[#This Row],[Keff]]*Games[[#This Row],[MOVMult]])*(Games[[#This Row],[Result]]-Games[[#This Row],[ExpectedWin%]])</f>
        <v>-6.0948393355134938</v>
      </c>
      <c r="AB413" s="4">
        <f>Games[[#This Row],[PreGmRate]]+Games[[#This Row],[RatingChange]]</f>
        <v>1330.1587721505562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36736</v>
      </c>
      <c r="B414" s="2">
        <v>2000</v>
      </c>
      <c r="C414" s="2">
        <f>COUNTIFS(Games[Team],Games[[#This Row],[Team]],Games[Season],Games[[#This Row],[Season]],Games[Date],"&lt;=" &amp; Games[[#This Row],[Date]])</f>
        <v>27</v>
      </c>
      <c r="D414" s="2" t="s">
        <v>23</v>
      </c>
      <c r="E414" s="2" t="s">
        <v>29</v>
      </c>
      <c r="F414" s="1" t="s">
        <v>64</v>
      </c>
      <c r="G414" s="1" t="s">
        <v>77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6">
        <f>MAX(-16, MIN(16, Games[[#This Row],[RestDiff]]*8))</f>
        <v>0</v>
      </c>
      <c r="N414" s="16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1369.2525128295495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1451.1145892476877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0.27792477059182807</v>
      </c>
      <c r="R414" s="1">
        <v>72</v>
      </c>
      <c r="S414" s="1">
        <v>75</v>
      </c>
      <c r="T414" s="1">
        <v>0</v>
      </c>
      <c r="U414" s="16">
        <f>Games[[#This Row],[PointsFor]]-Games[[#This Row],[PointsAgainst]]</f>
        <v>-3</v>
      </c>
      <c r="V414" s="16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0.2716518662378008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71.95</v>
      </c>
      <c r="Z414" s="4">
        <f>Games[[#This Row],[K]]*Games[[#This Row],[POMult]]</f>
        <v>71.95</v>
      </c>
      <c r="AA414" s="4">
        <f>(Games[[#This Row],[Keff]]*Games[[#This Row],[MOVMult]])*(Games[[#This Row],[Result]]-Games[[#This Row],[ExpectedWin%]])</f>
        <v>-5.4321374084285088</v>
      </c>
      <c r="AB414" s="4">
        <f>Games[[#This Row],[PreGmRate]]+Games[[#This Row],[RatingChange]]</f>
        <v>1363.8203754211208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36736</v>
      </c>
      <c r="B415" s="2">
        <v>2000</v>
      </c>
      <c r="C415" s="2">
        <f>COUNTIFS(Games[Team],Games[[#This Row],[Team]],Games[Season],Games[[#This Row],[Season]],Games[Date],"&lt;=" &amp; Games[[#This Row],[Date]])</f>
        <v>26</v>
      </c>
      <c r="D415" s="2" t="s">
        <v>23</v>
      </c>
      <c r="E415" s="2" t="s">
        <v>29</v>
      </c>
      <c r="F415" s="1" t="s">
        <v>77</v>
      </c>
      <c r="G415" s="1" t="s">
        <v>64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6">
        <f>MAX(-16, MIN(16, Games[[#This Row],[RestDiff]]*8))</f>
        <v>0</v>
      </c>
      <c r="N415" s="16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1451.1145892476877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1369.2525128295495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0.72207522940817193</v>
      </c>
      <c r="R415" s="1">
        <v>75</v>
      </c>
      <c r="S415" s="1">
        <v>72</v>
      </c>
      <c r="T415" s="1">
        <v>0</v>
      </c>
      <c r="U415" s="16">
        <f>Games[[#This Row],[PointsFor]]-Games[[#This Row],[PointsAgainst]]</f>
        <v>3</v>
      </c>
      <c r="V415" s="16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0.2716518662378008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72.099999999999994</v>
      </c>
      <c r="Z415" s="4">
        <f>Games[[#This Row],[K]]*Games[[#This Row],[POMult]]</f>
        <v>72.099999999999994</v>
      </c>
      <c r="AA415" s="4">
        <f>(Games[[#This Row],[Keff]]*Games[[#This Row],[MOVMult]])*(Games[[#This Row],[Result]]-Games[[#This Row],[ExpectedWin%]])</f>
        <v>5.443462225819256</v>
      </c>
      <c r="AB415" s="4">
        <f>Games[[#This Row],[PreGmRate]]+Games[[#This Row],[RatingChange]]</f>
        <v>1456.558051473507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36736</v>
      </c>
      <c r="B416" s="2">
        <v>2000</v>
      </c>
      <c r="C416" s="2">
        <f>COUNTIFS(Games[Team],Games[[#This Row],[Team]],Games[Season],Games[[#This Row],[Season]],Games[Date],"&lt;=" &amp; Games[[#This Row],[Date]])</f>
        <v>27</v>
      </c>
      <c r="D416" s="2" t="s">
        <v>23</v>
      </c>
      <c r="E416" s="2" t="s">
        <v>29</v>
      </c>
      <c r="F416" s="1" t="s">
        <v>71</v>
      </c>
      <c r="G416" s="1" t="s">
        <v>2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6" s="2">
        <f>Games[[#This Row],[DaysOff]]-Games[[#This Row],[OppDaysOff]]</f>
        <v>-2</v>
      </c>
      <c r="L416" s="2">
        <f>Games[[#This Row],[OppDaysOff]]-Games[[#This Row],[DaysOff]]</f>
        <v>2</v>
      </c>
      <c r="M416" s="16">
        <f>MAX(-16, MIN(16, Games[[#This Row],[RestDiff]]*8))</f>
        <v>-16</v>
      </c>
      <c r="N416" s="16">
        <f>MAX(-16, MIN(16, Games[[#This Row],[OppRestDiff]]*8))</f>
        <v>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1708.5407427925529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1724.7464022016038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0.31842117518595764</v>
      </c>
      <c r="R416" s="1">
        <v>84</v>
      </c>
      <c r="S416" s="1">
        <v>74</v>
      </c>
      <c r="T416" s="1">
        <v>0</v>
      </c>
      <c r="U416" s="16">
        <f>Games[[#This Row],[PointsFor]]-Games[[#This Row],[PointsAgainst]]</f>
        <v>10</v>
      </c>
      <c r="V416" s="16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0.41749159385219198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71.95</v>
      </c>
      <c r="Z416" s="4">
        <f>Games[[#This Row],[K]]*Games[[#This Row],[POMult]]</f>
        <v>71.95</v>
      </c>
      <c r="AA416" s="4">
        <f>(Games[[#This Row],[Keff]]*Games[[#This Row],[MOVMult]])*(Games[[#This Row],[Result]]-Games[[#This Row],[ExpectedWin%]])</f>
        <v>20.473619281845956</v>
      </c>
      <c r="AB416" s="4">
        <f>Games[[#This Row],[PreGmRate]]+Games[[#This Row],[RatingChange]]</f>
        <v>1729.0143620743988</v>
      </c>
      <c r="AC416" s="2">
        <f>IF(Games[[#This Row],[Type]]="R",IF(Games[[#This Row],[Result]]&gt;0.5,1,0),0)</f>
        <v>1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36736</v>
      </c>
      <c r="B417" s="2">
        <v>2000</v>
      </c>
      <c r="C417" s="2">
        <f>COUNTIFS(Games[Team],Games[[#This Row],[Team]],Games[Season],Games[[#This Row],[Season]],Games[Date],"&lt;=" &amp; Games[[#This Row],[Date]])</f>
        <v>27</v>
      </c>
      <c r="D417" s="2" t="s">
        <v>23</v>
      </c>
      <c r="E417" s="2" t="s">
        <v>29</v>
      </c>
      <c r="F417" s="1" t="s">
        <v>2</v>
      </c>
      <c r="G417" s="1" t="s">
        <v>71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7" s="2">
        <f>Games[[#This Row],[DaysOff]]-Games[[#This Row],[OppDaysOff]]</f>
        <v>2</v>
      </c>
      <c r="L417" s="2">
        <f>Games[[#This Row],[OppDaysOff]]-Games[[#This Row],[DaysOff]]</f>
        <v>-2</v>
      </c>
      <c r="M417" s="16">
        <f>MAX(-16, MIN(16, Games[[#This Row],[RestDiff]]*8))</f>
        <v>16</v>
      </c>
      <c r="N417" s="16">
        <f>MAX(-16, MIN(16, Games[[#This Row],[OppRestDiff]]*8))</f>
        <v>-16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1724.7464022016038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1708.5407427925529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0.68157882481404231</v>
      </c>
      <c r="R417" s="1">
        <v>74</v>
      </c>
      <c r="S417" s="1">
        <v>84</v>
      </c>
      <c r="T417" s="1">
        <v>0</v>
      </c>
      <c r="U417" s="16">
        <f>Games[[#This Row],[PointsFor]]-Games[[#This Row],[PointsAgainst]]</f>
        <v>-10</v>
      </c>
      <c r="V417" s="16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0.41749159385219198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71.95</v>
      </c>
      <c r="Z417" s="4">
        <f>Games[[#This Row],[K]]*Games[[#This Row],[POMult]]</f>
        <v>71.95</v>
      </c>
      <c r="AA417" s="4">
        <f>(Games[[#This Row],[Keff]]*Games[[#This Row],[MOVMult]])*(Games[[#This Row],[Result]]-Games[[#This Row],[ExpectedWin%]])</f>
        <v>-20.473619281845952</v>
      </c>
      <c r="AB417" s="4">
        <f>Games[[#This Row],[PreGmRate]]+Games[[#This Row],[RatingChange]]</f>
        <v>1704.2727829197579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1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36736</v>
      </c>
      <c r="B418" s="2">
        <v>2000</v>
      </c>
      <c r="C418" s="2">
        <f>COUNTIFS(Games[Team],Games[[#This Row],[Team]],Games[Season],Games[[#This Row],[Season]],Games[Date],"&lt;=" &amp; Games[[#This Row],[Date]])</f>
        <v>26</v>
      </c>
      <c r="D418" s="2" t="s">
        <v>23</v>
      </c>
      <c r="E418" s="2" t="s">
        <v>29</v>
      </c>
      <c r="F418" s="1" t="s">
        <v>1</v>
      </c>
      <c r="G418" s="1" t="s">
        <v>66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6">
        <f>MAX(-16, MIN(16, Games[[#This Row],[RestDiff]]*8))</f>
        <v>0</v>
      </c>
      <c r="N418" s="16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1497.781285185898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1588.1802223187331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0.26817120826318613</v>
      </c>
      <c r="R418" s="1">
        <v>67</v>
      </c>
      <c r="S418" s="1">
        <v>81</v>
      </c>
      <c r="T418" s="1">
        <v>0</v>
      </c>
      <c r="U418" s="16">
        <f>Games[[#This Row],[PointsFor]]-Games[[#This Row],[PointsAgainst]]</f>
        <v>-14</v>
      </c>
      <c r="V418" s="16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0.45344870288023775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72.099999999999994</v>
      </c>
      <c r="Z418" s="4">
        <f>Games[[#This Row],[K]]*Games[[#This Row],[POMult]]</f>
        <v>72.099999999999994</v>
      </c>
      <c r="AA418" s="4">
        <f>(Games[[#This Row],[Keff]]*Games[[#This Row],[MOVMult]])*(Games[[#This Row],[Result]]-Games[[#This Row],[ExpectedWin%]])</f>
        <v>-8.7674960193009621</v>
      </c>
      <c r="AB418" s="4">
        <f>Games[[#This Row],[PreGmRate]]+Games[[#This Row],[RatingChange]]</f>
        <v>1489.013789166597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36736</v>
      </c>
      <c r="B419" s="2">
        <v>2000</v>
      </c>
      <c r="C419" s="2">
        <f>COUNTIFS(Games[Team],Games[[#This Row],[Team]],Games[Season],Games[[#This Row],[Season]],Games[Date],"&lt;=" &amp; Games[[#This Row],[Date]])</f>
        <v>27</v>
      </c>
      <c r="D419" s="2" t="s">
        <v>23</v>
      </c>
      <c r="E419" s="2" t="s">
        <v>29</v>
      </c>
      <c r="F419" s="1" t="s">
        <v>66</v>
      </c>
      <c r="G419" s="1" t="s">
        <v>1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6">
        <f>MAX(-16, MIN(16, Games[[#This Row],[RestDiff]]*8))</f>
        <v>0</v>
      </c>
      <c r="N419" s="16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1588.1802223187331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1497.781285185898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0.73182879173681392</v>
      </c>
      <c r="R419" s="1">
        <v>81</v>
      </c>
      <c r="S419" s="1">
        <v>67</v>
      </c>
      <c r="T419" s="1">
        <v>0</v>
      </c>
      <c r="U419" s="16">
        <f>Games[[#This Row],[PointsFor]]-Games[[#This Row],[PointsAgainst]]</f>
        <v>14</v>
      </c>
      <c r="V419" s="16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0.45344870288023775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71.95</v>
      </c>
      <c r="Z419" s="4">
        <f>Games[[#This Row],[K]]*Games[[#This Row],[POMult]]</f>
        <v>71.95</v>
      </c>
      <c r="AA419" s="4">
        <f>(Games[[#This Row],[Keff]]*Games[[#This Row],[MOVMult]])*(Games[[#This Row],[Result]]-Games[[#This Row],[ExpectedWin%]])</f>
        <v>8.7492557363204444</v>
      </c>
      <c r="AB419" s="4">
        <f>Games[[#This Row],[PreGmRate]]+Games[[#This Row],[RatingChange]]</f>
        <v>1596.9294780550536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36736</v>
      </c>
      <c r="B420" s="2">
        <v>2000</v>
      </c>
      <c r="C420" s="2">
        <f>COUNTIFS(Games[Team],Games[[#This Row],[Team]],Games[Season],Games[[#This Row],[Season]],Games[Date],"&lt;=" &amp; Games[[#This Row],[Date]])</f>
        <v>26</v>
      </c>
      <c r="D420" s="2" t="s">
        <v>23</v>
      </c>
      <c r="E420" s="2" t="s">
        <v>29</v>
      </c>
      <c r="F420" s="1" t="s">
        <v>85</v>
      </c>
      <c r="G420" s="1" t="s">
        <v>43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0" s="2">
        <f>Games[[#This Row],[DaysOff]]-Games[[#This Row],[OppDaysOff]]</f>
        <v>-2</v>
      </c>
      <c r="L420" s="2">
        <f>Games[[#This Row],[OppDaysOff]]-Games[[#This Row],[DaysOff]]</f>
        <v>2</v>
      </c>
      <c r="M420" s="16">
        <f>MAX(-16, MIN(16, Games[[#This Row],[RestDiff]]*8))</f>
        <v>-16</v>
      </c>
      <c r="N420" s="16">
        <f>MAX(-16, MIN(16, Games[[#This Row],[OppRestDiff]]*8))</f>
        <v>16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1418.9531664918779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1526.5629509942703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0.21632688109213355</v>
      </c>
      <c r="R420" s="1">
        <v>71</v>
      </c>
      <c r="S420" s="1">
        <v>79</v>
      </c>
      <c r="T420" s="1">
        <v>0</v>
      </c>
      <c r="U420" s="16">
        <f>Games[[#This Row],[PointsFor]]-Games[[#This Row],[PointsAgainst]]</f>
        <v>-8</v>
      </c>
      <c r="V420" s="16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0.356359096977034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72.099999999999994</v>
      </c>
      <c r="Z420" s="4">
        <f>Games[[#This Row],[K]]*Games[[#This Row],[POMult]]</f>
        <v>72.099999999999994</v>
      </c>
      <c r="AA420" s="4">
        <f>(Games[[#This Row],[Keff]]*Games[[#This Row],[MOVMult]])*(Games[[#This Row],[Result]]-Games[[#This Row],[ExpectedWin%]])</f>
        <v>-5.5581927490450509</v>
      </c>
      <c r="AB420" s="4">
        <f>Games[[#This Row],[PreGmRate]]+Games[[#This Row],[RatingChange]]</f>
        <v>1413.3949737428329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36736</v>
      </c>
      <c r="B421" s="2">
        <v>2000</v>
      </c>
      <c r="C421" s="2">
        <f>COUNTIFS(Games[Team],Games[[#This Row],[Team]],Games[Season],Games[[#This Row],[Season]],Games[Date],"&lt;=" &amp; Games[[#This Row],[Date]])</f>
        <v>27</v>
      </c>
      <c r="D421" s="2" t="s">
        <v>23</v>
      </c>
      <c r="E421" s="2" t="s">
        <v>29</v>
      </c>
      <c r="F421" s="1" t="s">
        <v>43</v>
      </c>
      <c r="G421" s="1" t="s">
        <v>85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1" s="2">
        <f>Games[[#This Row],[DaysOff]]-Games[[#This Row],[OppDaysOff]]</f>
        <v>2</v>
      </c>
      <c r="L421" s="2">
        <f>Games[[#This Row],[OppDaysOff]]-Games[[#This Row],[DaysOff]]</f>
        <v>-2</v>
      </c>
      <c r="M421" s="16">
        <f>MAX(-16, MIN(16, Games[[#This Row],[RestDiff]]*8))</f>
        <v>16</v>
      </c>
      <c r="N421" s="16">
        <f>MAX(-16, MIN(16, Games[[#This Row],[OppRestDiff]]*8))</f>
        <v>-16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1526.5629509942703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1418.9531664918779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0.7836731189078664</v>
      </c>
      <c r="R421" s="1">
        <v>79</v>
      </c>
      <c r="S421" s="1">
        <v>71</v>
      </c>
      <c r="T421" s="1">
        <v>0</v>
      </c>
      <c r="U421" s="16">
        <f>Games[[#This Row],[PointsFor]]-Games[[#This Row],[PointsAgainst]]</f>
        <v>8</v>
      </c>
      <c r="V421" s="16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0.356359096977034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71.95</v>
      </c>
      <c r="Z421" s="4">
        <f>Games[[#This Row],[K]]*Games[[#This Row],[POMult]]</f>
        <v>71.95</v>
      </c>
      <c r="AA421" s="4">
        <f>(Games[[#This Row],[Keff]]*Games[[#This Row],[MOVMult]])*(Games[[#This Row],[Result]]-Games[[#This Row],[ExpectedWin%]])</f>
        <v>5.5466292412453759</v>
      </c>
      <c r="AB421" s="4">
        <f>Games[[#This Row],[PreGmRate]]+Games[[#This Row],[RatingChange]]</f>
        <v>1532.1095802355158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36736</v>
      </c>
      <c r="B422" s="2">
        <v>2000</v>
      </c>
      <c r="C422" s="2">
        <f>COUNTIFS(Games[Team],Games[[#This Row],[Team]],Games[Season],Games[[#This Row],[Season]],Games[Date],"&lt;=" &amp; Games[[#This Row],[Date]])</f>
        <v>26</v>
      </c>
      <c r="D422" s="2" t="s">
        <v>23</v>
      </c>
      <c r="E422" s="2" t="s">
        <v>29</v>
      </c>
      <c r="F422" s="1" t="s">
        <v>80</v>
      </c>
      <c r="G422" s="1" t="s">
        <v>75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2" s="2">
        <f>Games[[#This Row],[DaysOff]]-Games[[#This Row],[OppDaysOff]]</f>
        <v>-2</v>
      </c>
      <c r="L422" s="2">
        <f>Games[[#This Row],[OppDaysOff]]-Games[[#This Row],[DaysOff]]</f>
        <v>2</v>
      </c>
      <c r="M422" s="16">
        <f>MAX(-16, MIN(16, Games[[#This Row],[RestDiff]]*8))</f>
        <v>-16</v>
      </c>
      <c r="N422" s="16">
        <f>MAX(-16, MIN(16, Games[[#This Row],[OppRestDiff]]*8))</f>
        <v>16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1484.3928096233362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1416.8098284108576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0.43076987767487429</v>
      </c>
      <c r="R422" s="1">
        <v>87</v>
      </c>
      <c r="S422" s="1">
        <v>85</v>
      </c>
      <c r="T422" s="1">
        <v>0</v>
      </c>
      <c r="U422" s="16">
        <f>Games[[#This Row],[PointsFor]]-Games[[#This Row],[PointsAgainst]]</f>
        <v>2</v>
      </c>
      <c r="V422" s="16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0.25356098159677604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72.099999999999994</v>
      </c>
      <c r="Z422" s="4">
        <f>Games[[#This Row],[K]]*Games[[#This Row],[POMult]]</f>
        <v>72.099999999999994</v>
      </c>
      <c r="AA422" s="4">
        <f>(Games[[#This Row],[Keff]]*Games[[#This Row],[MOVMult]])*(Games[[#This Row],[Result]]-Games[[#This Row],[ExpectedWin%]])</f>
        <v>10.406520951984369</v>
      </c>
      <c r="AB422" s="4">
        <f>Games[[#This Row],[PreGmRate]]+Games[[#This Row],[RatingChange]]</f>
        <v>1494.7993305753207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36736</v>
      </c>
      <c r="B423" s="2">
        <v>2000</v>
      </c>
      <c r="C423" s="2">
        <f>COUNTIFS(Games[Team],Games[[#This Row],[Team]],Games[Season],Games[[#This Row],[Season]],Games[Date],"&lt;=" &amp; Games[[#This Row],[Date]])</f>
        <v>26</v>
      </c>
      <c r="D423" s="2" t="s">
        <v>23</v>
      </c>
      <c r="E423" s="2" t="s">
        <v>29</v>
      </c>
      <c r="F423" s="1" t="s">
        <v>75</v>
      </c>
      <c r="G423" s="1" t="s">
        <v>80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3" s="2">
        <f>Games[[#This Row],[DaysOff]]-Games[[#This Row],[OppDaysOff]]</f>
        <v>2</v>
      </c>
      <c r="L423" s="2">
        <f>Games[[#This Row],[OppDaysOff]]-Games[[#This Row],[DaysOff]]</f>
        <v>-2</v>
      </c>
      <c r="M423" s="16">
        <f>MAX(-16, MIN(16, Games[[#This Row],[RestDiff]]*8))</f>
        <v>16</v>
      </c>
      <c r="N423" s="16">
        <f>MAX(-16, MIN(16, Games[[#This Row],[OppRestDiff]]*8))</f>
        <v>-16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1416.8098284108576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1484.3928096233362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0.5692301223251256</v>
      </c>
      <c r="R423" s="1">
        <v>85</v>
      </c>
      <c r="S423" s="1">
        <v>87</v>
      </c>
      <c r="T423" s="1">
        <v>0</v>
      </c>
      <c r="U423" s="16">
        <f>Games[[#This Row],[PointsFor]]-Games[[#This Row],[PointsAgainst]]</f>
        <v>-2</v>
      </c>
      <c r="V423" s="16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0.25356098159677604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72.099999999999994</v>
      </c>
      <c r="Z423" s="4">
        <f>Games[[#This Row],[K]]*Games[[#This Row],[POMult]]</f>
        <v>72.099999999999994</v>
      </c>
      <c r="AA423" s="4">
        <f>(Games[[#This Row],[Keff]]*Games[[#This Row],[MOVMult]])*(Games[[#This Row],[Result]]-Games[[#This Row],[ExpectedWin%]])</f>
        <v>-10.406520951984366</v>
      </c>
      <c r="AB423" s="4">
        <f>Games[[#This Row],[PreGmRate]]+Games[[#This Row],[RatingChange]]</f>
        <v>1406.4033074588731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36737</v>
      </c>
      <c r="B424" s="2">
        <v>2000</v>
      </c>
      <c r="C424" s="2">
        <f>COUNTIFS(Games[Team],Games[[#This Row],[Team]],Games[Season],Games[[#This Row],[Season]],Games[Date],"&lt;=" &amp; Games[[#This Row],[Date]])</f>
        <v>28</v>
      </c>
      <c r="D424" s="2" t="s">
        <v>23</v>
      </c>
      <c r="E424" s="2" t="s">
        <v>29</v>
      </c>
      <c r="F424" s="1" t="s">
        <v>45</v>
      </c>
      <c r="G424" s="1" t="s">
        <v>44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1</v>
      </c>
      <c r="L424" s="2">
        <f>Games[[#This Row],[OppDaysOff]]-Games[[#This Row],[DaysOff]]</f>
        <v>-1</v>
      </c>
      <c r="M424" s="16">
        <f>MAX(-16, MIN(16, Games[[#This Row],[RestDiff]]*8))</f>
        <v>8</v>
      </c>
      <c r="N424" s="16">
        <f>MAX(-16, MIN(16, Games[[#This Row],[OppRestDiff]]*8))</f>
        <v>-8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1593.2075070454164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1606.9577308799285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0.38447610706368091</v>
      </c>
      <c r="R424" s="1">
        <v>70</v>
      </c>
      <c r="S424" s="1">
        <v>63</v>
      </c>
      <c r="T424" s="1">
        <v>0</v>
      </c>
      <c r="U424" s="16">
        <f>Games[[#This Row],[PointsFor]]-Games[[#This Row],[PointsAgainst]]</f>
        <v>7</v>
      </c>
      <c r="V424" s="16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0.3659143358025353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71.8</v>
      </c>
      <c r="Z424" s="4">
        <f>Games[[#This Row],[K]]*Games[[#This Row],[POMult]]</f>
        <v>71.8</v>
      </c>
      <c r="AA424" s="4">
        <f>(Games[[#This Row],[Keff]]*Games[[#This Row],[MOVMult]])*(Games[[#This Row],[Result]]-Games[[#This Row],[ExpectedWin%]])</f>
        <v>16.171443381424776</v>
      </c>
      <c r="AB424" s="4">
        <f>Games[[#This Row],[PreGmRate]]+Games[[#This Row],[RatingChange]]</f>
        <v>1609.3789504268411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36737</v>
      </c>
      <c r="B425" s="2">
        <v>2000</v>
      </c>
      <c r="C425" s="2">
        <f>COUNTIFS(Games[Team],Games[[#This Row],[Team]],Games[Season],Games[[#This Row],[Season]],Games[Date],"&lt;=" &amp; Games[[#This Row],[Date]])</f>
        <v>27</v>
      </c>
      <c r="D425" s="2" t="s">
        <v>23</v>
      </c>
      <c r="E425" s="2" t="s">
        <v>29</v>
      </c>
      <c r="F425" s="1" t="s">
        <v>44</v>
      </c>
      <c r="G425" s="1" t="s">
        <v>45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5" s="2">
        <f>Games[[#This Row],[DaysOff]]-Games[[#This Row],[OppDaysOff]]</f>
        <v>-1</v>
      </c>
      <c r="L425" s="2">
        <f>Games[[#This Row],[OppDaysOff]]-Games[[#This Row],[DaysOff]]</f>
        <v>1</v>
      </c>
      <c r="M425" s="16">
        <f>MAX(-16, MIN(16, Games[[#This Row],[RestDiff]]*8))</f>
        <v>-8</v>
      </c>
      <c r="N425" s="16">
        <f>MAX(-16, MIN(16, Games[[#This Row],[OppRestDiff]]*8))</f>
        <v>8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1606.9577308799285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1593.2075070454164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0.61552389293631904</v>
      </c>
      <c r="R425" s="1">
        <v>63</v>
      </c>
      <c r="S425" s="1">
        <v>70</v>
      </c>
      <c r="T425" s="1">
        <v>0</v>
      </c>
      <c r="U425" s="16">
        <f>Games[[#This Row],[PointsFor]]-Games[[#This Row],[PointsAgainst]]</f>
        <v>-7</v>
      </c>
      <c r="V425" s="16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0.3659143358025353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71.95</v>
      </c>
      <c r="Z425" s="4">
        <f>Games[[#This Row],[K]]*Games[[#This Row],[POMult]]</f>
        <v>71.95</v>
      </c>
      <c r="AA425" s="4">
        <f>(Games[[#This Row],[Keff]]*Games[[#This Row],[MOVMult]])*(Games[[#This Row],[Result]]-Games[[#This Row],[ExpectedWin%]])</f>
        <v>-16.205227733892933</v>
      </c>
      <c r="AB425" s="4">
        <f>Games[[#This Row],[PreGmRate]]+Games[[#This Row],[RatingChange]]</f>
        <v>1590.7525031460355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36737</v>
      </c>
      <c r="B426" s="2">
        <v>2000</v>
      </c>
      <c r="C426" s="2">
        <f>COUNTIFS(Games[Team],Games[[#This Row],[Team]],Games[Season],Games[[#This Row],[Season]],Games[Date],"&lt;=" &amp; Games[[#This Row],[Date]])</f>
        <v>27</v>
      </c>
      <c r="D426" s="2" t="s">
        <v>23</v>
      </c>
      <c r="E426" s="2" t="s">
        <v>29</v>
      </c>
      <c r="F426" s="1" t="s">
        <v>79</v>
      </c>
      <c r="G426" s="1" t="s">
        <v>89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1</v>
      </c>
      <c r="L426" s="2">
        <f>Games[[#This Row],[OppDaysOff]]-Games[[#This Row],[DaysOff]]</f>
        <v>-1</v>
      </c>
      <c r="M426" s="16">
        <f>MAX(-16, MIN(16, Games[[#This Row],[RestDiff]]*8))</f>
        <v>8</v>
      </c>
      <c r="N426" s="16">
        <f>MAX(-16, MIN(16, Games[[#This Row],[OppRestDiff]]*8))</f>
        <v>-8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1488.6067662275655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1412.1812795589428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0.51212287366211584</v>
      </c>
      <c r="R426" s="1">
        <v>55</v>
      </c>
      <c r="S426" s="1">
        <v>76</v>
      </c>
      <c r="T426" s="1">
        <v>0</v>
      </c>
      <c r="U426" s="16">
        <f>Games[[#This Row],[PointsFor]]-Games[[#This Row],[PointsAgainst]]</f>
        <v>-21</v>
      </c>
      <c r="V426" s="16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0.55333550975094836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71.95</v>
      </c>
      <c r="Z426" s="4">
        <f>Games[[#This Row],[K]]*Games[[#This Row],[POMult]]</f>
        <v>71.95</v>
      </c>
      <c r="AA426" s="4">
        <f>(Games[[#This Row],[Keff]]*Games[[#This Row],[MOVMult]])*(Games[[#This Row],[Result]]-Games[[#This Row],[ExpectedWin%]])</f>
        <v>-20.388886748844566</v>
      </c>
      <c r="AB426" s="4">
        <f>Games[[#This Row],[PreGmRate]]+Games[[#This Row],[RatingChange]]</f>
        <v>1468.217879478721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36737</v>
      </c>
      <c r="B427" s="2">
        <v>2000</v>
      </c>
      <c r="C427" s="2">
        <f>COUNTIFS(Games[Team],Games[[#This Row],[Team]],Games[Season],Games[[#This Row],[Season]],Games[Date],"&lt;=" &amp; Games[[#This Row],[Date]])</f>
        <v>27</v>
      </c>
      <c r="D427" s="2" t="s">
        <v>23</v>
      </c>
      <c r="E427" s="2" t="s">
        <v>29</v>
      </c>
      <c r="F427" s="1" t="s">
        <v>89</v>
      </c>
      <c r="G427" s="1" t="s">
        <v>79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7" s="2">
        <f>Games[[#This Row],[DaysOff]]-Games[[#This Row],[OppDaysOff]]</f>
        <v>-1</v>
      </c>
      <c r="L427" s="2">
        <f>Games[[#This Row],[OppDaysOff]]-Games[[#This Row],[DaysOff]]</f>
        <v>1</v>
      </c>
      <c r="M427" s="16">
        <f>MAX(-16, MIN(16, Games[[#This Row],[RestDiff]]*8))</f>
        <v>-8</v>
      </c>
      <c r="N427" s="16">
        <f>MAX(-16, MIN(16, Games[[#This Row],[OppRestDiff]]*8))</f>
        <v>8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1412.1812795589428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1488.6067662275655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0.48787712633788421</v>
      </c>
      <c r="R427" s="1">
        <v>76</v>
      </c>
      <c r="S427" s="1">
        <v>55</v>
      </c>
      <c r="T427" s="1">
        <v>0</v>
      </c>
      <c r="U427" s="16">
        <f>Games[[#This Row],[PointsFor]]-Games[[#This Row],[PointsAgainst]]</f>
        <v>21</v>
      </c>
      <c r="V427" s="16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0.55333550975094836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71.95</v>
      </c>
      <c r="Z427" s="4">
        <f>Games[[#This Row],[K]]*Games[[#This Row],[POMult]]</f>
        <v>71.95</v>
      </c>
      <c r="AA427" s="4">
        <f>(Games[[#This Row],[Keff]]*Games[[#This Row],[MOVMult]])*(Games[[#This Row],[Result]]-Games[[#This Row],[ExpectedWin%]])</f>
        <v>20.388886748844563</v>
      </c>
      <c r="AB427" s="4">
        <f>Games[[#This Row],[PreGmRate]]+Games[[#This Row],[RatingChange]]</f>
        <v>1432.5701663077873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36737</v>
      </c>
      <c r="B428" s="2">
        <v>2000</v>
      </c>
      <c r="C428" s="2">
        <f>COUNTIFS(Games[Team],Games[[#This Row],[Team]],Games[Season],Games[[#This Row],[Season]],Games[Date],"&lt;=" &amp; Games[[#This Row],[Date]])</f>
        <v>27</v>
      </c>
      <c r="D428" s="2" t="s">
        <v>23</v>
      </c>
      <c r="E428" s="2" t="s">
        <v>29</v>
      </c>
      <c r="F428" s="1" t="s">
        <v>83</v>
      </c>
      <c r="G428" s="1" t="s">
        <v>87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6">
        <f>MAX(-16, MIN(16, Games[[#This Row],[RestDiff]]*8))</f>
        <v>0</v>
      </c>
      <c r="N428" s="16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1381.7254638813943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1330.1587721505562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0.45345982771660581</v>
      </c>
      <c r="R428" s="1">
        <v>64</v>
      </c>
      <c r="S428" s="1">
        <v>51</v>
      </c>
      <c r="T428" s="1">
        <v>0</v>
      </c>
      <c r="U428" s="16">
        <f>Games[[#This Row],[PointsFor]]-Games[[#This Row],[PointsAgainst]]</f>
        <v>13</v>
      </c>
      <c r="V428" s="16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0.4525947442669418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71.95</v>
      </c>
      <c r="Z428" s="4">
        <f>Games[[#This Row],[K]]*Games[[#This Row],[POMult]]</f>
        <v>71.95</v>
      </c>
      <c r="AA428" s="4">
        <f>(Games[[#This Row],[Keff]]*Games[[#This Row],[MOVMult]])*(Games[[#This Row],[Result]]-Games[[#This Row],[ExpectedWin%]])</f>
        <v>17.797639023972035</v>
      </c>
      <c r="AB428" s="4">
        <f>Games[[#This Row],[PreGmRate]]+Games[[#This Row],[RatingChange]]</f>
        <v>1399.5231029053664</v>
      </c>
      <c r="AC428" s="2">
        <f>IF(Games[[#This Row],[Type]]="R",IF(Games[[#This Row],[Result]]&gt;0.5,1,0),0)</f>
        <v>1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36737</v>
      </c>
      <c r="B429" s="2">
        <v>2000</v>
      </c>
      <c r="C429" s="2">
        <f>COUNTIFS(Games[Team],Games[[#This Row],[Team]],Games[Season],Games[[#This Row],[Season]],Games[Date],"&lt;=" &amp; Games[[#This Row],[Date]])</f>
        <v>27</v>
      </c>
      <c r="D429" s="2" t="s">
        <v>23</v>
      </c>
      <c r="E429" s="2" t="s">
        <v>29</v>
      </c>
      <c r="F429" s="1" t="s">
        <v>87</v>
      </c>
      <c r="G429" s="1" t="s">
        <v>83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6">
        <f>MAX(-16, MIN(16, Games[[#This Row],[RestDiff]]*8))</f>
        <v>0</v>
      </c>
      <c r="N429" s="16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1330.1587721505562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1381.7254638813943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0.54654017228339424</v>
      </c>
      <c r="R429" s="1">
        <v>51</v>
      </c>
      <c r="S429" s="1">
        <v>64</v>
      </c>
      <c r="T429" s="1">
        <v>0</v>
      </c>
      <c r="U429" s="16">
        <f>Games[[#This Row],[PointsFor]]-Games[[#This Row],[PointsAgainst]]</f>
        <v>-13</v>
      </c>
      <c r="V429" s="16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0.4525947442669418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71.95</v>
      </c>
      <c r="Z429" s="4">
        <f>Games[[#This Row],[K]]*Games[[#This Row],[POMult]]</f>
        <v>71.95</v>
      </c>
      <c r="AA429" s="4">
        <f>(Games[[#This Row],[Keff]]*Games[[#This Row],[MOVMult]])*(Games[[#This Row],[Result]]-Games[[#This Row],[ExpectedWin%]])</f>
        <v>-17.797639023972035</v>
      </c>
      <c r="AB429" s="4">
        <f>Games[[#This Row],[PreGmRate]]+Games[[#This Row],[RatingChange]]</f>
        <v>1312.361133126584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1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36738</v>
      </c>
      <c r="B430" s="2">
        <v>2000</v>
      </c>
      <c r="C430" s="2">
        <f>COUNTIFS(Games[Team],Games[[#This Row],[Team]],Games[Season],Games[[#This Row],[Season]],Games[Date],"&lt;=" &amp; Games[[#This Row],[Date]])</f>
        <v>27</v>
      </c>
      <c r="D430" s="2" t="s">
        <v>23</v>
      </c>
      <c r="E430" s="2" t="s">
        <v>29</v>
      </c>
      <c r="F430" s="1" t="s">
        <v>1</v>
      </c>
      <c r="G430" s="1" t="s">
        <v>77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6">
        <f>MAX(-16, MIN(16, Games[[#This Row],[RestDiff]]*8))</f>
        <v>0</v>
      </c>
      <c r="N430" s="16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1489.013789166597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1456.558051473507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0.42636130530800914</v>
      </c>
      <c r="R430" s="1">
        <v>76</v>
      </c>
      <c r="S430" s="1">
        <v>65</v>
      </c>
      <c r="T430" s="1">
        <v>0</v>
      </c>
      <c r="U430" s="16">
        <f>Games[[#This Row],[PointsFor]]-Games[[#This Row],[PointsAgainst]]</f>
        <v>11</v>
      </c>
      <c r="V430" s="16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0.42825324120531855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71.95</v>
      </c>
      <c r="Z430" s="4">
        <f>Games[[#This Row],[K]]*Games[[#This Row],[POMult]]</f>
        <v>71.95</v>
      </c>
      <c r="AA430" s="4">
        <f>(Games[[#This Row],[Keff]]*Games[[#This Row],[MOVMult]])*(Games[[#This Row],[Result]]-Games[[#This Row],[ExpectedWin%]])</f>
        <v>17.675426248835464</v>
      </c>
      <c r="AB430" s="4">
        <f>Games[[#This Row],[PreGmRate]]+Games[[#This Row],[RatingChange]]</f>
        <v>1506.6892154154325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36738</v>
      </c>
      <c r="B431" s="2">
        <v>2000</v>
      </c>
      <c r="C431" s="2">
        <f>COUNTIFS(Games[Team],Games[[#This Row],[Team]],Games[Season],Games[[#This Row],[Season]],Games[Date],"&lt;=" &amp; Games[[#This Row],[Date]])</f>
        <v>27</v>
      </c>
      <c r="D431" s="2" t="s">
        <v>23</v>
      </c>
      <c r="E431" s="2" t="s">
        <v>29</v>
      </c>
      <c r="F431" s="1" t="s">
        <v>77</v>
      </c>
      <c r="G431" s="1" t="s">
        <v>1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6">
        <f>MAX(-16, MIN(16, Games[[#This Row],[RestDiff]]*8))</f>
        <v>0</v>
      </c>
      <c r="N431" s="16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1456.558051473507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1489.013789166597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0.57363869469199091</v>
      </c>
      <c r="R431" s="1">
        <v>65</v>
      </c>
      <c r="S431" s="1">
        <v>76</v>
      </c>
      <c r="T431" s="1">
        <v>0</v>
      </c>
      <c r="U431" s="16">
        <f>Games[[#This Row],[PointsFor]]-Games[[#This Row],[PointsAgainst]]</f>
        <v>-11</v>
      </c>
      <c r="V431" s="16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0.42825324120531855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71.95</v>
      </c>
      <c r="Z431" s="4">
        <f>Games[[#This Row],[K]]*Games[[#This Row],[POMult]]</f>
        <v>71.95</v>
      </c>
      <c r="AA431" s="4">
        <f>(Games[[#This Row],[Keff]]*Games[[#This Row],[MOVMult]])*(Games[[#This Row],[Result]]-Games[[#This Row],[ExpectedWin%]])</f>
        <v>-17.675426248835464</v>
      </c>
      <c r="AB431" s="4">
        <f>Games[[#This Row],[PreGmRate]]+Games[[#This Row],[RatingChange]]</f>
        <v>1438.8826252246715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36738</v>
      </c>
      <c r="B432" s="2">
        <v>2000</v>
      </c>
      <c r="C432" s="2">
        <f>COUNTIFS(Games[Team],Games[[#This Row],[Team]],Games[Season],Games[[#This Row],[Season]],Games[Date],"&lt;=" &amp; Games[[#This Row],[Date]])</f>
        <v>28</v>
      </c>
      <c r="D432" s="2" t="s">
        <v>23</v>
      </c>
      <c r="E432" s="2" t="s">
        <v>29</v>
      </c>
      <c r="F432" s="1" t="s">
        <v>71</v>
      </c>
      <c r="G432" s="1" t="s">
        <v>80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6">
        <f>MAX(-16, MIN(16, Games[[#This Row],[RestDiff]]*8))</f>
        <v>0</v>
      </c>
      <c r="N432" s="16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1729.0143620743988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1494.7993305753207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0.70364319061507041</v>
      </c>
      <c r="R432" s="1">
        <v>73</v>
      </c>
      <c r="S432" s="1">
        <v>66</v>
      </c>
      <c r="T432" s="1">
        <v>0</v>
      </c>
      <c r="U432" s="16">
        <f>Games[[#This Row],[PointsFor]]-Games[[#This Row],[PointsAgainst]]</f>
        <v>7</v>
      </c>
      <c r="V432" s="16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0.30966667984254037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71.8</v>
      </c>
      <c r="Z432" s="4">
        <f>Games[[#This Row],[K]]*Games[[#This Row],[POMult]]</f>
        <v>71.8</v>
      </c>
      <c r="AA432" s="4">
        <f>(Games[[#This Row],[Keff]]*Games[[#This Row],[MOVMult]])*(Games[[#This Row],[Result]]-Games[[#This Row],[ExpectedWin%]])</f>
        <v>6.5892173373469092</v>
      </c>
      <c r="AB432" s="4">
        <f>Games[[#This Row],[PreGmRate]]+Games[[#This Row],[RatingChange]]</f>
        <v>1735.6035794117458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36738</v>
      </c>
      <c r="B433" s="2">
        <v>2000</v>
      </c>
      <c r="C433" s="2">
        <f>COUNTIFS(Games[Team],Games[[#This Row],[Team]],Games[Season],Games[[#This Row],[Season]],Games[Date],"&lt;=" &amp; Games[[#This Row],[Date]])</f>
        <v>27</v>
      </c>
      <c r="D433" s="2" t="s">
        <v>23</v>
      </c>
      <c r="E433" s="2" t="s">
        <v>29</v>
      </c>
      <c r="F433" s="1" t="s">
        <v>80</v>
      </c>
      <c r="G433" s="1" t="s">
        <v>71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6">
        <f>MAX(-16, MIN(16, Games[[#This Row],[RestDiff]]*8))</f>
        <v>0</v>
      </c>
      <c r="N433" s="16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1494.7993305753207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1729.0143620743988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0.29635680938492953</v>
      </c>
      <c r="R433" s="1">
        <v>66</v>
      </c>
      <c r="S433" s="1">
        <v>73</v>
      </c>
      <c r="T433" s="1">
        <v>0</v>
      </c>
      <c r="U433" s="16">
        <f>Games[[#This Row],[PointsFor]]-Games[[#This Row],[PointsAgainst]]</f>
        <v>-7</v>
      </c>
      <c r="V433" s="16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0.30966667984254037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71.95</v>
      </c>
      <c r="Z433" s="4">
        <f>Games[[#This Row],[K]]*Games[[#This Row],[POMult]]</f>
        <v>71.95</v>
      </c>
      <c r="AA433" s="4">
        <f>(Games[[#This Row],[Keff]]*Games[[#This Row],[MOVMult]])*(Games[[#This Row],[Result]]-Games[[#This Row],[ExpectedWin%]])</f>
        <v>-6.6029831117285536</v>
      </c>
      <c r="AB433" s="4">
        <f>Games[[#This Row],[PreGmRate]]+Games[[#This Row],[RatingChange]]</f>
        <v>1488.1963474635922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36738</v>
      </c>
      <c r="B434" s="2">
        <v>2000</v>
      </c>
      <c r="C434" s="2">
        <f>COUNTIFS(Games[Team],Games[[#This Row],[Team]],Games[Season],Games[[#This Row],[Season]],Games[Date],"&lt;=" &amp; Games[[#This Row],[Date]])</f>
        <v>28</v>
      </c>
      <c r="D434" s="2" t="s">
        <v>23</v>
      </c>
      <c r="E434" s="2" t="s">
        <v>29</v>
      </c>
      <c r="F434" s="1" t="s">
        <v>64</v>
      </c>
      <c r="G434" s="1" t="s">
        <v>66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6">
        <f>MAX(-16, MIN(16, Games[[#This Row],[RestDiff]]*8))</f>
        <v>0</v>
      </c>
      <c r="N434" s="16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1363.8203754211208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1596.9294780550536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0.13878398146772014</v>
      </c>
      <c r="R434" s="1">
        <v>56</v>
      </c>
      <c r="S434" s="1">
        <v>81</v>
      </c>
      <c r="T434" s="1">
        <v>0</v>
      </c>
      <c r="U434" s="16">
        <f>Games[[#This Row],[PointsFor]]-Games[[#This Row],[PointsAgainst]]</f>
        <v>-25</v>
      </c>
      <c r="V434" s="16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0.53702375671058367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71.8</v>
      </c>
      <c r="Z434" s="4">
        <f>Games[[#This Row],[K]]*Games[[#This Row],[POMult]]</f>
        <v>71.8</v>
      </c>
      <c r="AA434" s="4">
        <f>(Games[[#This Row],[Keff]]*Games[[#This Row],[MOVMult]])*(Games[[#This Row],[Result]]-Games[[#This Row],[ExpectedWin%]])</f>
        <v>-5.3512751881115816</v>
      </c>
      <c r="AB434" s="4">
        <f>Games[[#This Row],[PreGmRate]]+Games[[#This Row],[RatingChange]]</f>
        <v>1358.4691002330092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36738</v>
      </c>
      <c r="B435" s="2">
        <v>2000</v>
      </c>
      <c r="C435" s="2">
        <f>COUNTIFS(Games[Team],Games[[#This Row],[Team]],Games[Season],Games[[#This Row],[Season]],Games[Date],"&lt;=" &amp; Games[[#This Row],[Date]])</f>
        <v>28</v>
      </c>
      <c r="D435" s="2" t="s">
        <v>23</v>
      </c>
      <c r="E435" s="2" t="s">
        <v>29</v>
      </c>
      <c r="F435" s="1" t="s">
        <v>66</v>
      </c>
      <c r="G435" s="1" t="s">
        <v>64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6">
        <f>MAX(-16, MIN(16, Games[[#This Row],[RestDiff]]*8))</f>
        <v>0</v>
      </c>
      <c r="N435" s="16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1596.9294780550536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1363.8203754211208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0.8612160185322798</v>
      </c>
      <c r="R435" s="1">
        <v>81</v>
      </c>
      <c r="S435" s="1">
        <v>56</v>
      </c>
      <c r="T435" s="1">
        <v>0</v>
      </c>
      <c r="U435" s="16">
        <f>Games[[#This Row],[PointsFor]]-Games[[#This Row],[PointsAgainst]]</f>
        <v>25</v>
      </c>
      <c r="V435" s="16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0.53702375671058367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71.8</v>
      </c>
      <c r="Z435" s="4">
        <f>Games[[#This Row],[K]]*Games[[#This Row],[POMult]]</f>
        <v>71.8</v>
      </c>
      <c r="AA435" s="4">
        <f>(Games[[#This Row],[Keff]]*Games[[#This Row],[MOVMult]])*(Games[[#This Row],[Result]]-Games[[#This Row],[ExpectedWin%]])</f>
        <v>5.3512751881115834</v>
      </c>
      <c r="AB435" s="4">
        <f>Games[[#This Row],[PreGmRate]]+Games[[#This Row],[RatingChange]]</f>
        <v>1602.2807532431652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36739</v>
      </c>
      <c r="B436" s="2">
        <v>2000</v>
      </c>
      <c r="C436" s="2">
        <f>COUNTIFS(Games[Team],Games[[#This Row],[Team]],Games[Season],Games[[#This Row],[Season]],Games[Date],"&lt;=" &amp; Games[[#This Row],[Date]])</f>
        <v>27</v>
      </c>
      <c r="D436" s="2" t="s">
        <v>23</v>
      </c>
      <c r="E436" s="2" t="s">
        <v>29</v>
      </c>
      <c r="F436" s="1" t="s">
        <v>75</v>
      </c>
      <c r="G436" s="1" t="s">
        <v>2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6">
        <f>MAX(-16, MIN(16, Games[[#This Row],[RestDiff]]*8))</f>
        <v>0</v>
      </c>
      <c r="N436" s="16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1406.4033074588731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1704.2727829197579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9.9910681064110871E-2</v>
      </c>
      <c r="R436" s="1">
        <v>60</v>
      </c>
      <c r="S436" s="1">
        <v>68</v>
      </c>
      <c r="T436" s="1">
        <v>0</v>
      </c>
      <c r="U436" s="16">
        <f>Games[[#This Row],[PointsFor]]-Games[[#This Row],[PointsAgainst]]</f>
        <v>-8</v>
      </c>
      <c r="V436" s="16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0.31109429068258965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71.95</v>
      </c>
      <c r="Z436" s="4">
        <f>Games[[#This Row],[K]]*Games[[#This Row],[POMult]]</f>
        <v>71.95</v>
      </c>
      <c r="AA436" s="4">
        <f>(Games[[#This Row],[Keff]]*Games[[#This Row],[MOVMult]])*(Games[[#This Row],[Result]]-Games[[#This Row],[ExpectedWin%]])</f>
        <v>-2.2363241747994262</v>
      </c>
      <c r="AB436" s="4">
        <f>Games[[#This Row],[PreGmRate]]+Games[[#This Row],[RatingChange]]</f>
        <v>1404.1669832840737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36739</v>
      </c>
      <c r="B437" s="2">
        <v>2000</v>
      </c>
      <c r="C437" s="2">
        <f>COUNTIFS(Games[Team],Games[[#This Row],[Team]],Games[Season],Games[[#This Row],[Season]],Games[Date],"&lt;=" &amp; Games[[#This Row],[Date]])</f>
        <v>28</v>
      </c>
      <c r="D437" s="2" t="s">
        <v>23</v>
      </c>
      <c r="E437" s="2" t="s">
        <v>29</v>
      </c>
      <c r="F437" s="1" t="s">
        <v>2</v>
      </c>
      <c r="G437" s="1" t="s">
        <v>75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6">
        <f>MAX(-16, MIN(16, Games[[#This Row],[RestDiff]]*8))</f>
        <v>0</v>
      </c>
      <c r="N437" s="16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1704.2727829197579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1406.4033074588731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0.90008931893588906</v>
      </c>
      <c r="R437" s="1">
        <v>68</v>
      </c>
      <c r="S437" s="1">
        <v>60</v>
      </c>
      <c r="T437" s="1">
        <v>0</v>
      </c>
      <c r="U437" s="16">
        <f>Games[[#This Row],[PointsFor]]-Games[[#This Row],[PointsAgainst]]</f>
        <v>8</v>
      </c>
      <c r="V437" s="16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0.31109429068258965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71.8</v>
      </c>
      <c r="Z437" s="4">
        <f>Games[[#This Row],[K]]*Games[[#This Row],[POMult]]</f>
        <v>71.8</v>
      </c>
      <c r="AA437" s="4">
        <f>(Games[[#This Row],[Keff]]*Games[[#This Row],[MOVMult]])*(Games[[#This Row],[Result]]-Games[[#This Row],[ExpectedWin%]])</f>
        <v>2.2316619284308397</v>
      </c>
      <c r="AB437" s="4">
        <f>Games[[#This Row],[PreGmRate]]+Games[[#This Row],[RatingChange]]</f>
        <v>1706.5044448481888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36739</v>
      </c>
      <c r="B438" s="2">
        <v>2000</v>
      </c>
      <c r="C438" s="2">
        <f>COUNTIFS(Games[Team],Games[[#This Row],[Team]],Games[Season],Games[[#This Row],[Season]],Games[Date],"&lt;=" &amp; Games[[#This Row],[Date]])</f>
        <v>28</v>
      </c>
      <c r="D438" s="2" t="s">
        <v>23</v>
      </c>
      <c r="E438" s="2" t="s">
        <v>29</v>
      </c>
      <c r="F438" s="1" t="s">
        <v>79</v>
      </c>
      <c r="G438" s="1" t="s">
        <v>44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6">
        <f>MAX(-16, MIN(16, Games[[#This Row],[RestDiff]]*8))</f>
        <v>0</v>
      </c>
      <c r="N438" s="16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1468.217879478721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1590.7525031460355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0.2334541413531433</v>
      </c>
      <c r="R438" s="1">
        <v>77</v>
      </c>
      <c r="S438" s="1">
        <v>84</v>
      </c>
      <c r="T438" s="1">
        <v>0</v>
      </c>
      <c r="U438" s="16">
        <f>Games[[#This Row],[PointsFor]]-Games[[#This Row],[PointsAgainst]]</f>
        <v>-7</v>
      </c>
      <c r="V438" s="16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0.33581624181077407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71.8</v>
      </c>
      <c r="Z438" s="4">
        <f>Games[[#This Row],[K]]*Games[[#This Row],[POMult]]</f>
        <v>71.8</v>
      </c>
      <c r="AA438" s="4">
        <f>(Games[[#This Row],[Keff]]*Games[[#This Row],[MOVMult]])*(Games[[#This Row],[Result]]-Games[[#This Row],[ExpectedWin%]])</f>
        <v>-5.6289543131980384</v>
      </c>
      <c r="AB438" s="4">
        <f>Games[[#This Row],[PreGmRate]]+Games[[#This Row],[RatingChange]]</f>
        <v>1462.5889251655231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36739</v>
      </c>
      <c r="B439" s="2">
        <v>2000</v>
      </c>
      <c r="C439" s="2">
        <f>COUNTIFS(Games[Team],Games[[#This Row],[Team]],Games[Season],Games[[#This Row],[Season]],Games[Date],"&lt;=" &amp; Games[[#This Row],[Date]])</f>
        <v>28</v>
      </c>
      <c r="D439" s="2" t="s">
        <v>23</v>
      </c>
      <c r="E439" s="2" t="s">
        <v>29</v>
      </c>
      <c r="F439" s="1" t="s">
        <v>44</v>
      </c>
      <c r="G439" s="1" t="s">
        <v>79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6">
        <f>MAX(-16, MIN(16, Games[[#This Row],[RestDiff]]*8))</f>
        <v>0</v>
      </c>
      <c r="N439" s="16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1590.7525031460355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1468.217879478721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0.76654585864685665</v>
      </c>
      <c r="R439" s="1">
        <v>84</v>
      </c>
      <c r="S439" s="1">
        <v>77</v>
      </c>
      <c r="T439" s="1">
        <v>0</v>
      </c>
      <c r="U439" s="16">
        <f>Games[[#This Row],[PointsFor]]-Games[[#This Row],[PointsAgainst]]</f>
        <v>7</v>
      </c>
      <c r="V439" s="16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0.33581624181077407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71.8</v>
      </c>
      <c r="Z439" s="4">
        <f>Games[[#This Row],[K]]*Games[[#This Row],[POMult]]</f>
        <v>71.8</v>
      </c>
      <c r="AA439" s="4">
        <f>(Games[[#This Row],[Keff]]*Games[[#This Row],[MOVMult]])*(Games[[#This Row],[Result]]-Games[[#This Row],[ExpectedWin%]])</f>
        <v>5.6289543131980393</v>
      </c>
      <c r="AB439" s="4">
        <f>Games[[#This Row],[PreGmRate]]+Games[[#This Row],[RatingChange]]</f>
        <v>1596.3814574592334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36739</v>
      </c>
      <c r="B440" s="2">
        <v>2000</v>
      </c>
      <c r="C440" s="2">
        <f>COUNTIFS(Games[Team],Games[[#This Row],[Team]],Games[Season],Games[[#This Row],[Season]],Games[Date],"&lt;=" &amp; Games[[#This Row],[Date]])</f>
        <v>28</v>
      </c>
      <c r="D440" s="2" t="s">
        <v>23</v>
      </c>
      <c r="E440" s="2" t="s">
        <v>29</v>
      </c>
      <c r="F440" s="1" t="s">
        <v>83</v>
      </c>
      <c r="G440" s="1" t="s">
        <v>89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6">
        <f>MAX(-16, MIN(16, Games[[#This Row],[RestDiff]]*8))</f>
        <v>0</v>
      </c>
      <c r="N440" s="16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1399.5231029053664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1432.5701663077873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0.33765161082855083</v>
      </c>
      <c r="R440" s="1">
        <v>50</v>
      </c>
      <c r="S440" s="1">
        <v>54</v>
      </c>
      <c r="T440" s="1">
        <v>0</v>
      </c>
      <c r="U440" s="16">
        <f>Games[[#This Row],[PointsFor]]-Games[[#This Row],[PointsAgainst]]</f>
        <v>-4</v>
      </c>
      <c r="V440" s="16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0.3030859834769235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71.8</v>
      </c>
      <c r="Z440" s="4">
        <f>Games[[#This Row],[K]]*Games[[#This Row],[POMult]]</f>
        <v>71.8</v>
      </c>
      <c r="AA440" s="4">
        <f>(Games[[#This Row],[Keff]]*Games[[#This Row],[MOVMult]])*(Games[[#This Row],[Result]]-Games[[#This Row],[ExpectedWin%]])</f>
        <v>-7.347830384810683</v>
      </c>
      <c r="AB440" s="4">
        <f>Games[[#This Row],[PreGmRate]]+Games[[#This Row],[RatingChange]]</f>
        <v>1392.1752725205556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36739</v>
      </c>
      <c r="B441" s="2">
        <v>2000</v>
      </c>
      <c r="C441" s="2">
        <f>COUNTIFS(Games[Team],Games[[#This Row],[Team]],Games[Season],Games[[#This Row],[Season]],Games[Date],"&lt;=" &amp; Games[[#This Row],[Date]])</f>
        <v>28</v>
      </c>
      <c r="D441" s="2" t="s">
        <v>23</v>
      </c>
      <c r="E441" s="2" t="s">
        <v>29</v>
      </c>
      <c r="F441" s="1" t="s">
        <v>89</v>
      </c>
      <c r="G441" s="1" t="s">
        <v>83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6">
        <f>MAX(-16, MIN(16, Games[[#This Row],[RestDiff]]*8))</f>
        <v>0</v>
      </c>
      <c r="N441" s="16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1432.5701663077873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1399.5231029053664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0.66234838917144923</v>
      </c>
      <c r="R441" s="1">
        <v>54</v>
      </c>
      <c r="S441" s="1">
        <v>50</v>
      </c>
      <c r="T441" s="1">
        <v>0</v>
      </c>
      <c r="U441" s="16">
        <f>Games[[#This Row],[PointsFor]]-Games[[#This Row],[PointsAgainst]]</f>
        <v>4</v>
      </c>
      <c r="V441" s="16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0.3030859834769235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71.8</v>
      </c>
      <c r="Z441" s="4">
        <f>Games[[#This Row],[K]]*Games[[#This Row],[POMult]]</f>
        <v>71.8</v>
      </c>
      <c r="AA441" s="4">
        <f>(Games[[#This Row],[Keff]]*Games[[#This Row],[MOVMult]])*(Games[[#This Row],[Result]]-Games[[#This Row],[ExpectedWin%]])</f>
        <v>7.3478303848106821</v>
      </c>
      <c r="AB441" s="4">
        <f>Games[[#This Row],[PreGmRate]]+Games[[#This Row],[RatingChange]]</f>
        <v>1439.9179966925981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36739</v>
      </c>
      <c r="B442" s="2">
        <v>2000</v>
      </c>
      <c r="C442" s="2">
        <f>COUNTIFS(Games[Team],Games[[#This Row],[Team]],Games[Season],Games[[#This Row],[Season]],Games[Date],"&lt;=" &amp; Games[[#This Row],[Date]])</f>
        <v>27</v>
      </c>
      <c r="D442" s="2" t="s">
        <v>23</v>
      </c>
      <c r="E442" s="2" t="s">
        <v>29</v>
      </c>
      <c r="F442" s="1" t="s">
        <v>85</v>
      </c>
      <c r="G442" s="1" t="s">
        <v>87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1</v>
      </c>
      <c r="L442" s="2">
        <f>Games[[#This Row],[OppDaysOff]]-Games[[#This Row],[DaysOff]]</f>
        <v>-1</v>
      </c>
      <c r="M442" s="16">
        <f>MAX(-16, MIN(16, Games[[#This Row],[RestDiff]]*8))</f>
        <v>8</v>
      </c>
      <c r="N442" s="16">
        <f>MAX(-16, MIN(16, Games[[#This Row],[OppRestDiff]]*8))</f>
        <v>-8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1413.3949737428329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1312.361133126584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0.54739678143843928</v>
      </c>
      <c r="R442" s="1">
        <v>60</v>
      </c>
      <c r="S442" s="1">
        <v>66</v>
      </c>
      <c r="T442" s="1">
        <v>0</v>
      </c>
      <c r="U442" s="16">
        <f>Games[[#This Row],[PointsFor]]-Games[[#This Row],[PointsAgainst]]</f>
        <v>-6</v>
      </c>
      <c r="V442" s="16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0.3240014980006396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71.95</v>
      </c>
      <c r="Z442" s="4">
        <f>Games[[#This Row],[K]]*Games[[#This Row],[POMult]]</f>
        <v>71.95</v>
      </c>
      <c r="AA442" s="4">
        <f>(Games[[#This Row],[Keff]]*Games[[#This Row],[MOVMult]])*(Games[[#This Row],[Result]]-Games[[#This Row],[ExpectedWin%]])</f>
        <v>-12.760863288589039</v>
      </c>
      <c r="AB442" s="4">
        <f>Games[[#This Row],[PreGmRate]]+Games[[#This Row],[RatingChange]]</f>
        <v>1400.6341104542439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36739</v>
      </c>
      <c r="B443" s="2">
        <v>2000</v>
      </c>
      <c r="C443" s="2">
        <f>COUNTIFS(Games[Team],Games[[#This Row],[Team]],Games[Season],Games[[#This Row],[Season]],Games[Date],"&lt;=" &amp; Games[[#This Row],[Date]])</f>
        <v>28</v>
      </c>
      <c r="D443" s="2" t="s">
        <v>23</v>
      </c>
      <c r="E443" s="2" t="s">
        <v>29</v>
      </c>
      <c r="F443" s="1" t="s">
        <v>87</v>
      </c>
      <c r="G443" s="1" t="s">
        <v>85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3" s="2">
        <f>Games[[#This Row],[DaysOff]]-Games[[#This Row],[OppDaysOff]]</f>
        <v>-1</v>
      </c>
      <c r="L443" s="2">
        <f>Games[[#This Row],[OppDaysOff]]-Games[[#This Row],[DaysOff]]</f>
        <v>1</v>
      </c>
      <c r="M443" s="16">
        <f>MAX(-16, MIN(16, Games[[#This Row],[RestDiff]]*8))</f>
        <v>-8</v>
      </c>
      <c r="N443" s="16">
        <f>MAX(-16, MIN(16, Games[[#This Row],[OppRestDiff]]*8))</f>
        <v>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1312.361133126584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1413.3949737428329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0.45260321856156066</v>
      </c>
      <c r="R443" s="1">
        <v>66</v>
      </c>
      <c r="S443" s="1">
        <v>60</v>
      </c>
      <c r="T443" s="1">
        <v>0</v>
      </c>
      <c r="U443" s="16">
        <f>Games[[#This Row],[PointsFor]]-Games[[#This Row],[PointsAgainst]]</f>
        <v>6</v>
      </c>
      <c r="V443" s="16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0.3240014980006396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71.8</v>
      </c>
      <c r="Z443" s="4">
        <f>Games[[#This Row],[K]]*Games[[#This Row],[POMult]]</f>
        <v>71.8</v>
      </c>
      <c r="AA443" s="4">
        <f>(Games[[#This Row],[Keff]]*Games[[#This Row],[MOVMult]])*(Games[[#This Row],[Result]]-Games[[#This Row],[ExpectedWin%]])</f>
        <v>12.734259682011022</v>
      </c>
      <c r="AB443" s="4">
        <f>Games[[#This Row],[PreGmRate]]+Games[[#This Row],[RatingChange]]</f>
        <v>1325.0953928085951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36740</v>
      </c>
      <c r="B444" s="2">
        <v>2000</v>
      </c>
      <c r="C444" s="2">
        <f>COUNTIFS(Games[Team],Games[[#This Row],[Team]],Games[Season],Games[[#This Row],[Season]],Games[Date],"&lt;=" &amp; Games[[#This Row],[Date]])</f>
        <v>29</v>
      </c>
      <c r="D444" s="2" t="s">
        <v>23</v>
      </c>
      <c r="E444" s="2" t="s">
        <v>29</v>
      </c>
      <c r="F444" s="1" t="s">
        <v>71</v>
      </c>
      <c r="G444" s="1" t="s">
        <v>77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6">
        <f>MAX(-16, MIN(16, Games[[#This Row],[RestDiff]]*8))</f>
        <v>0</v>
      </c>
      <c r="N444" s="16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1735.6035794117458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1438.8826252246715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0.77285805019310827</v>
      </c>
      <c r="R444" s="1">
        <v>84</v>
      </c>
      <c r="S444" s="1">
        <v>81</v>
      </c>
      <c r="T444" s="1">
        <v>0</v>
      </c>
      <c r="U444" s="16">
        <f>Games[[#This Row],[PointsFor]]-Games[[#This Row],[PointsAgainst]]</f>
        <v>3</v>
      </c>
      <c r="V444" s="16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0.23265540870815241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4" s="9">
        <f>MAX(kmin, kmax - 0.15 * MIN(Games[[#This Row],[GamesPlayed]], 82))</f>
        <v>71.650000000000006</v>
      </c>
      <c r="Z444" s="4">
        <f>Games[[#This Row],[K]]*Games[[#This Row],[POMult]]</f>
        <v>71.650000000000006</v>
      </c>
      <c r="AA444" s="4">
        <f>(Games[[#This Row],[Keff]]*Games[[#This Row],[MOVMult]])*(Games[[#This Row],[Result]]-Games[[#This Row],[ExpectedWin%]])</f>
        <v>3.7864017969219295</v>
      </c>
      <c r="AB444" s="4">
        <f>Games[[#This Row],[PreGmRate]]+Games[[#This Row],[RatingChange]]</f>
        <v>1739.3899812086677</v>
      </c>
      <c r="AC444" s="2">
        <f>IF(Games[[#This Row],[Type]]="R",IF(Games[[#This Row],[Result]]&gt;0.5,1,0),0)</f>
        <v>1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36740</v>
      </c>
      <c r="B445" s="2">
        <v>2000</v>
      </c>
      <c r="C445" s="2">
        <f>COUNTIFS(Games[Team],Games[[#This Row],[Team]],Games[Season],Games[[#This Row],[Season]],Games[Date],"&lt;=" &amp; Games[[#This Row],[Date]])</f>
        <v>28</v>
      </c>
      <c r="D445" s="2" t="s">
        <v>23</v>
      </c>
      <c r="E445" s="2" t="s">
        <v>29</v>
      </c>
      <c r="F445" s="1" t="s">
        <v>77</v>
      </c>
      <c r="G445" s="1" t="s">
        <v>71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6">
        <f>MAX(-16, MIN(16, Games[[#This Row],[RestDiff]]*8))</f>
        <v>0</v>
      </c>
      <c r="N445" s="16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1438.8826252246715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1735.6035794117458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0.22714194980689167</v>
      </c>
      <c r="R445" s="1">
        <v>81</v>
      </c>
      <c r="S445" s="1">
        <v>84</v>
      </c>
      <c r="T445" s="1">
        <v>0</v>
      </c>
      <c r="U445" s="16">
        <f>Games[[#This Row],[PointsFor]]-Games[[#This Row],[PointsAgainst]]</f>
        <v>-3</v>
      </c>
      <c r="V445" s="16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0.23265540870815241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5" s="9">
        <f>MAX(kmin, kmax - 0.15 * MIN(Games[[#This Row],[GamesPlayed]], 82))</f>
        <v>71.8</v>
      </c>
      <c r="Z445" s="4">
        <f>Games[[#This Row],[K]]*Games[[#This Row],[POMult]]</f>
        <v>71.8</v>
      </c>
      <c r="AA445" s="4">
        <f>(Games[[#This Row],[Keff]]*Games[[#This Row],[MOVMult]])*(Games[[#This Row],[Result]]-Games[[#This Row],[ExpectedWin%]])</f>
        <v>-3.7943286673969916</v>
      </c>
      <c r="AB445" s="4">
        <f>Games[[#This Row],[PreGmRate]]+Games[[#This Row],[RatingChange]]</f>
        <v>1435.0882965572746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1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36740</v>
      </c>
      <c r="B446" s="2">
        <v>2000</v>
      </c>
      <c r="C446" s="2">
        <f>COUNTIFS(Games[Team],Games[[#This Row],[Team]],Games[Season],Games[[#This Row],[Season]],Games[Date],"&lt;=" &amp; Games[[#This Row],[Date]])</f>
        <v>28</v>
      </c>
      <c r="D446" s="2" t="s">
        <v>23</v>
      </c>
      <c r="E446" s="2" t="s">
        <v>29</v>
      </c>
      <c r="F446" s="1" t="s">
        <v>43</v>
      </c>
      <c r="G446" s="1" t="s">
        <v>80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6" s="2">
        <f>Games[[#This Row],[DaysOff]]-Games[[#This Row],[OppDaysOff]]</f>
        <v>2</v>
      </c>
      <c r="L446" s="2">
        <f>Games[[#This Row],[OppDaysOff]]-Games[[#This Row],[DaysOff]]</f>
        <v>-2</v>
      </c>
      <c r="M446" s="16">
        <f>MAX(-16, MIN(16, Games[[#This Row],[RestDiff]]*8))</f>
        <v>16</v>
      </c>
      <c r="N446" s="16">
        <f>MAX(-16, MIN(16, Games[[#This Row],[OppRestDiff]]*8))</f>
        <v>-16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1532.1095802355158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1488.1963474635922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0.48836430760401511</v>
      </c>
      <c r="R446" s="1">
        <v>72</v>
      </c>
      <c r="S446" s="1">
        <v>62</v>
      </c>
      <c r="T446" s="1">
        <v>0</v>
      </c>
      <c r="U446" s="16">
        <f>Games[[#This Row],[PointsFor]]-Games[[#This Row],[PointsAgainst]]</f>
        <v>10</v>
      </c>
      <c r="V446" s="16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0.40819216792739094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6" s="9">
        <f>MAX(kmin, kmax - 0.15 * MIN(Games[[#This Row],[GamesPlayed]], 82))</f>
        <v>71.8</v>
      </c>
      <c r="Z446" s="4">
        <f>Games[[#This Row],[K]]*Games[[#This Row],[POMult]]</f>
        <v>71.8</v>
      </c>
      <c r="AA446" s="4">
        <f>(Games[[#This Row],[Keff]]*Games[[#This Row],[MOVMult]])*(Games[[#This Row],[Result]]-Games[[#This Row],[ExpectedWin%]])</f>
        <v>14.995120001213081</v>
      </c>
      <c r="AB446" s="4">
        <f>Games[[#This Row],[PreGmRate]]+Games[[#This Row],[RatingChange]]</f>
        <v>1547.1047002367288</v>
      </c>
      <c r="AC446" s="2">
        <f>IF(Games[[#This Row],[Type]]="R",IF(Games[[#This Row],[Result]]&gt;0.5,1,0),0)</f>
        <v>1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36740</v>
      </c>
      <c r="B447" s="2">
        <v>2000</v>
      </c>
      <c r="C447" s="2">
        <f>COUNTIFS(Games[Team],Games[[#This Row],[Team]],Games[Season],Games[[#This Row],[Season]],Games[Date],"&lt;=" &amp; Games[[#This Row],[Date]])</f>
        <v>28</v>
      </c>
      <c r="D447" s="2" t="s">
        <v>23</v>
      </c>
      <c r="E447" s="2" t="s">
        <v>29</v>
      </c>
      <c r="F447" s="1" t="s">
        <v>80</v>
      </c>
      <c r="G447" s="1" t="s">
        <v>43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7" s="2">
        <f>Games[[#This Row],[DaysOff]]-Games[[#This Row],[OppDaysOff]]</f>
        <v>-2</v>
      </c>
      <c r="L447" s="2">
        <f>Games[[#This Row],[OppDaysOff]]-Games[[#This Row],[DaysOff]]</f>
        <v>2</v>
      </c>
      <c r="M447" s="16">
        <f>MAX(-16, MIN(16, Games[[#This Row],[RestDiff]]*8))</f>
        <v>-16</v>
      </c>
      <c r="N447" s="16">
        <f>MAX(-16, MIN(16, Games[[#This Row],[OppRestDiff]]*8))</f>
        <v>16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1488.1963474635922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1532.1095802355158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0.51163569239598494</v>
      </c>
      <c r="R447" s="1">
        <v>62</v>
      </c>
      <c r="S447" s="1">
        <v>72</v>
      </c>
      <c r="T447" s="1">
        <v>0</v>
      </c>
      <c r="U447" s="16">
        <f>Games[[#This Row],[PointsFor]]-Games[[#This Row],[PointsAgainst]]</f>
        <v>-10</v>
      </c>
      <c r="V447" s="16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0.40819216792739094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7" s="9">
        <f>MAX(kmin, kmax - 0.15 * MIN(Games[[#This Row],[GamesPlayed]], 82))</f>
        <v>71.8</v>
      </c>
      <c r="Z447" s="4">
        <f>Games[[#This Row],[K]]*Games[[#This Row],[POMult]]</f>
        <v>71.8</v>
      </c>
      <c r="AA447" s="4">
        <f>(Games[[#This Row],[Keff]]*Games[[#This Row],[MOVMult]])*(Games[[#This Row],[Result]]-Games[[#This Row],[ExpectedWin%]])</f>
        <v>-14.995120001213085</v>
      </c>
      <c r="AB447" s="4">
        <f>Games[[#This Row],[PreGmRate]]+Games[[#This Row],[RatingChange]]</f>
        <v>1473.2012274623792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1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36740</v>
      </c>
      <c r="B448" s="2">
        <v>2000</v>
      </c>
      <c r="C448" s="2">
        <f>COUNTIFS(Games[Team],Games[[#This Row],[Team]],Games[Season],Games[[#This Row],[Season]],Games[Date],"&lt;=" &amp; Games[[#This Row],[Date]])</f>
        <v>29</v>
      </c>
      <c r="D448" s="2" t="s">
        <v>23</v>
      </c>
      <c r="E448" s="2" t="s">
        <v>29</v>
      </c>
      <c r="F448" s="1" t="s">
        <v>83</v>
      </c>
      <c r="G448" s="1" t="s">
        <v>45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8" s="2">
        <f>Games[[#This Row],[DaysOff]]-Games[[#This Row],[OppDaysOff]]</f>
        <v>-2</v>
      </c>
      <c r="L448" s="2">
        <f>Games[[#This Row],[OppDaysOff]]-Games[[#This Row],[DaysOff]]</f>
        <v>2</v>
      </c>
      <c r="M448" s="16">
        <f>MAX(-16, MIN(16, Games[[#This Row],[RestDiff]]*8))</f>
        <v>-16</v>
      </c>
      <c r="N448" s="16">
        <f>MAX(-16, MIN(16, Games[[#This Row],[OppRestDiff]]*8))</f>
        <v>16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1392.1752725205556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1609.3789504268411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0.12807643242271502</v>
      </c>
      <c r="R448" s="1">
        <v>55</v>
      </c>
      <c r="S448" s="1">
        <v>73</v>
      </c>
      <c r="T448" s="1">
        <v>0</v>
      </c>
      <c r="U448" s="16">
        <f>Games[[#This Row],[PointsFor]]-Games[[#This Row],[PointsAgainst]]</f>
        <v>-18</v>
      </c>
      <c r="V448" s="16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0.46302498983140344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8" s="9">
        <f>MAX(kmin, kmax - 0.15 * MIN(Games[[#This Row],[GamesPlayed]], 82))</f>
        <v>71.650000000000006</v>
      </c>
      <c r="Z448" s="4">
        <f>Games[[#This Row],[K]]*Games[[#This Row],[POMult]]</f>
        <v>71.650000000000006</v>
      </c>
      <c r="AA448" s="4">
        <f>(Games[[#This Row],[Keff]]*Games[[#This Row],[MOVMult]])*(Games[[#This Row],[Result]]-Games[[#This Row],[ExpectedWin%]])</f>
        <v>-4.2490304889651851</v>
      </c>
      <c r="AB448" s="4">
        <f>Games[[#This Row],[PreGmRate]]+Games[[#This Row],[RatingChange]]</f>
        <v>1387.9262420315904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1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36740</v>
      </c>
      <c r="B449" s="2">
        <v>2000</v>
      </c>
      <c r="C449" s="2">
        <f>COUNTIFS(Games[Team],Games[[#This Row],[Team]],Games[Season],Games[[#This Row],[Season]],Games[Date],"&lt;=" &amp; Games[[#This Row],[Date]])</f>
        <v>29</v>
      </c>
      <c r="D449" s="2" t="s">
        <v>23</v>
      </c>
      <c r="E449" s="2" t="s">
        <v>29</v>
      </c>
      <c r="F449" s="1" t="s">
        <v>45</v>
      </c>
      <c r="G449" s="1" t="s">
        <v>83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9" s="2">
        <f>Games[[#This Row],[DaysOff]]-Games[[#This Row],[OppDaysOff]]</f>
        <v>2</v>
      </c>
      <c r="L449" s="2">
        <f>Games[[#This Row],[OppDaysOff]]-Games[[#This Row],[DaysOff]]</f>
        <v>-2</v>
      </c>
      <c r="M449" s="16">
        <f>MAX(-16, MIN(16, Games[[#This Row],[RestDiff]]*8))</f>
        <v>16</v>
      </c>
      <c r="N449" s="16">
        <f>MAX(-16, MIN(16, Games[[#This Row],[OppRestDiff]]*8))</f>
        <v>-16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1609.3789504268411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1392.1752725205556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0.87192356757728495</v>
      </c>
      <c r="R449" s="1">
        <v>73</v>
      </c>
      <c r="S449" s="1">
        <v>55</v>
      </c>
      <c r="T449" s="1">
        <v>0</v>
      </c>
      <c r="U449" s="16">
        <f>Games[[#This Row],[PointsFor]]-Games[[#This Row],[PointsAgainst]]</f>
        <v>18</v>
      </c>
      <c r="V449" s="16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0.46302498983140344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9" s="9">
        <f>MAX(kmin, kmax - 0.15 * MIN(Games[[#This Row],[GamesPlayed]], 82))</f>
        <v>71.650000000000006</v>
      </c>
      <c r="Z449" s="4">
        <f>Games[[#This Row],[K]]*Games[[#This Row],[POMult]]</f>
        <v>71.650000000000006</v>
      </c>
      <c r="AA449" s="4">
        <f>(Games[[#This Row],[Keff]]*Games[[#This Row],[MOVMult]])*(Games[[#This Row],[Result]]-Games[[#This Row],[ExpectedWin%]])</f>
        <v>4.249030488965186</v>
      </c>
      <c r="AB449" s="4">
        <f>Games[[#This Row],[PreGmRate]]+Games[[#This Row],[RatingChange]]</f>
        <v>1613.6279809158063</v>
      </c>
      <c r="AC449" s="2">
        <f>IF(Games[[#This Row],[Type]]="R",IF(Games[[#This Row],[Result]]&gt;0.5,1,0),0)</f>
        <v>1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36741</v>
      </c>
      <c r="B450" s="2">
        <v>2000</v>
      </c>
      <c r="C450" s="2">
        <f>COUNTIFS(Games[Team],Games[[#This Row],[Team]],Games[Season],Games[[#This Row],[Season]],Games[Date],"&lt;=" &amp; Games[[#This Row],[Date]])</f>
        <v>29</v>
      </c>
      <c r="D450" s="2" t="s">
        <v>23</v>
      </c>
      <c r="E450" s="2" t="s">
        <v>29</v>
      </c>
      <c r="F450" s="1" t="s">
        <v>43</v>
      </c>
      <c r="G450" s="1" t="s">
        <v>1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0" s="2">
        <f>Games[[#This Row],[DaysOff]]-Games[[#This Row],[OppDaysOff]]</f>
        <v>-2</v>
      </c>
      <c r="L450" s="2">
        <f>Games[[#This Row],[OppDaysOff]]-Games[[#This Row],[DaysOff]]</f>
        <v>2</v>
      </c>
      <c r="M450" s="16">
        <f>MAX(-16, MIN(16, Games[[#This Row],[RestDiff]]*8))</f>
        <v>-16</v>
      </c>
      <c r="N450" s="16">
        <f>MAX(-16, MIN(16, Games[[#This Row],[OppRestDiff]]*8))</f>
        <v>16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1547.1047002367288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1506.6892154154325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0.39290929095539667</v>
      </c>
      <c r="R450" s="1">
        <v>71</v>
      </c>
      <c r="S450" s="1">
        <v>74</v>
      </c>
      <c r="T450" s="1">
        <v>0</v>
      </c>
      <c r="U450" s="16">
        <f>Games[[#This Row],[PointsFor]]-Games[[#This Row],[PointsAgainst]]</f>
        <v>-3</v>
      </c>
      <c r="V450" s="16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0.28072869903636916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0" s="9">
        <f>MAX(kmin, kmax - 0.15 * MIN(Games[[#This Row],[GamesPlayed]], 82))</f>
        <v>71.650000000000006</v>
      </c>
      <c r="Z450" s="4">
        <f>Games[[#This Row],[K]]*Games[[#This Row],[POMult]]</f>
        <v>71.650000000000006</v>
      </c>
      <c r="AA450" s="4">
        <f>(Games[[#This Row],[Keff]]*Games[[#This Row],[MOVMult]])*(Games[[#This Row],[Result]]-Games[[#This Row],[ExpectedWin%]])</f>
        <v>-7.9030604944919505</v>
      </c>
      <c r="AB450" s="4">
        <f>Games[[#This Row],[PreGmRate]]+Games[[#This Row],[RatingChange]]</f>
        <v>1539.2016397422369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1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36741</v>
      </c>
      <c r="B451" s="2">
        <v>2000</v>
      </c>
      <c r="C451" s="2">
        <f>COUNTIFS(Games[Team],Games[[#This Row],[Team]],Games[Season],Games[[#This Row],[Season]],Games[Date],"&lt;=" &amp; Games[[#This Row],[Date]])</f>
        <v>28</v>
      </c>
      <c r="D451" s="2" t="s">
        <v>23</v>
      </c>
      <c r="E451" s="2" t="s">
        <v>29</v>
      </c>
      <c r="F451" s="1" t="s">
        <v>1</v>
      </c>
      <c r="G451" s="1" t="s">
        <v>43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1" s="2">
        <f>Games[[#This Row],[DaysOff]]-Games[[#This Row],[OppDaysOff]]</f>
        <v>2</v>
      </c>
      <c r="L451" s="2">
        <f>Games[[#This Row],[OppDaysOff]]-Games[[#This Row],[DaysOff]]</f>
        <v>-2</v>
      </c>
      <c r="M451" s="16">
        <f>MAX(-16, MIN(16, Games[[#This Row],[RestDiff]]*8))</f>
        <v>16</v>
      </c>
      <c r="N451" s="16">
        <f>MAX(-16, MIN(16, Games[[#This Row],[OppRestDiff]]*8))</f>
        <v>-16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1506.6892154154325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1547.1047002367288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0.60709070904460327</v>
      </c>
      <c r="R451" s="1">
        <v>74</v>
      </c>
      <c r="S451" s="1">
        <v>71</v>
      </c>
      <c r="T451" s="1">
        <v>0</v>
      </c>
      <c r="U451" s="16">
        <f>Games[[#This Row],[PointsFor]]-Games[[#This Row],[PointsAgainst]]</f>
        <v>3</v>
      </c>
      <c r="V451" s="16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0.28072869903636916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1" s="9">
        <f>MAX(kmin, kmax - 0.15 * MIN(Games[[#This Row],[GamesPlayed]], 82))</f>
        <v>71.8</v>
      </c>
      <c r="Z451" s="4">
        <f>Games[[#This Row],[K]]*Games[[#This Row],[POMult]]</f>
        <v>71.8</v>
      </c>
      <c r="AA451" s="4">
        <f>(Games[[#This Row],[Keff]]*Games[[#This Row],[MOVMult]])*(Games[[#This Row],[Result]]-Games[[#This Row],[ExpectedWin%]])</f>
        <v>7.9196056316053332</v>
      </c>
      <c r="AB451" s="4">
        <f>Games[[#This Row],[PreGmRate]]+Games[[#This Row],[RatingChange]]</f>
        <v>1514.6088210470377</v>
      </c>
      <c r="AC451" s="2">
        <f>IF(Games[[#This Row],[Type]]="R",IF(Games[[#This Row],[Result]]&gt;0.5,1,0),0)</f>
        <v>1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36741</v>
      </c>
      <c r="B452" s="2">
        <v>2000</v>
      </c>
      <c r="C452" s="2">
        <f>COUNTIFS(Games[Team],Games[[#This Row],[Team]],Games[Season],Games[[#This Row],[Season]],Games[Date],"&lt;=" &amp; Games[[#This Row],[Date]])</f>
        <v>28</v>
      </c>
      <c r="D452" s="2" t="s">
        <v>23</v>
      </c>
      <c r="E452" s="2" t="s">
        <v>29</v>
      </c>
      <c r="F452" s="1" t="s">
        <v>75</v>
      </c>
      <c r="G452" s="1" t="s">
        <v>85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6">
        <f>MAX(-16, MIN(16, Games[[#This Row],[RestDiff]]*8))</f>
        <v>0</v>
      </c>
      <c r="N452" s="16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1404.1669832840737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1400.6341104542439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0.38622554322015695</v>
      </c>
      <c r="R452" s="1">
        <v>75</v>
      </c>
      <c r="S452" s="1">
        <v>71</v>
      </c>
      <c r="T452" s="1">
        <v>0</v>
      </c>
      <c r="U452" s="16">
        <f>Games[[#This Row],[PointsFor]]-Games[[#This Row],[PointsAgainst]]</f>
        <v>4</v>
      </c>
      <c r="V452" s="16">
        <f>IF(Games[[#This Row],[MOV]]&gt;0,1,IF(Games[[#This Row],[MOV]]=0,0.5,0))</f>
        <v>1</v>
      </c>
      <c r="W452" s="4">
        <f>((ABS(Games[[#This Row],[MOV]])+5)^0.6)/(12+0.01*(ABS(Games[[#This Row],[PreGmRate]]-Games[[#This Row],[OppPreGmRate]])))*IF(Games[[#This Row],[OT]]=1,0.9,1)</f>
        <v>0.31051854944845886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2" s="9">
        <f>MAX(kmin, kmax - 0.15 * MIN(Games[[#This Row],[GamesPlayed]], 82))</f>
        <v>71.8</v>
      </c>
      <c r="Z452" s="4">
        <f>Games[[#This Row],[K]]*Games[[#This Row],[POMult]]</f>
        <v>71.8</v>
      </c>
      <c r="AA452" s="4">
        <f>(Games[[#This Row],[Keff]]*Games[[#This Row],[MOVMult]])*(Games[[#This Row],[Result]]-Games[[#This Row],[ExpectedWin%]])</f>
        <v>13.684243817759516</v>
      </c>
      <c r="AB452" s="4">
        <f>Games[[#This Row],[PreGmRate]]+Games[[#This Row],[RatingChange]]</f>
        <v>1417.8512271018333</v>
      </c>
      <c r="AC452" s="2">
        <f>IF(Games[[#This Row],[Type]]="R",IF(Games[[#This Row],[Result]]&gt;0.5,1,0),0)</f>
        <v>1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36741</v>
      </c>
      <c r="B453" s="2">
        <v>2000</v>
      </c>
      <c r="C453" s="2">
        <f>COUNTIFS(Games[Team],Games[[#This Row],[Team]],Games[Season],Games[[#This Row],[Season]],Games[Date],"&lt;=" &amp; Games[[#This Row],[Date]])</f>
        <v>28</v>
      </c>
      <c r="D453" s="2" t="s">
        <v>23</v>
      </c>
      <c r="E453" s="2" t="s">
        <v>29</v>
      </c>
      <c r="F453" s="1" t="s">
        <v>85</v>
      </c>
      <c r="G453" s="1" t="s">
        <v>75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6">
        <f>MAX(-16, MIN(16, Games[[#This Row],[RestDiff]]*8))</f>
        <v>0</v>
      </c>
      <c r="N453" s="16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1400.6341104542439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1404.1669832840737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0.61377445677984299</v>
      </c>
      <c r="R453" s="1">
        <v>71</v>
      </c>
      <c r="S453" s="1">
        <v>75</v>
      </c>
      <c r="T453" s="1">
        <v>0</v>
      </c>
      <c r="U453" s="16">
        <f>Games[[#This Row],[PointsFor]]-Games[[#This Row],[PointsAgainst]]</f>
        <v>-4</v>
      </c>
      <c r="V453" s="16">
        <f>IF(Games[[#This Row],[MOV]]&gt;0,1,IF(Games[[#This Row],[MOV]]=0,0.5,0))</f>
        <v>0</v>
      </c>
      <c r="W453" s="4">
        <f>((ABS(Games[[#This Row],[MOV]])+5)^0.6)/(12+0.01*(ABS(Games[[#This Row],[PreGmRate]]-Games[[#This Row],[OppPreGmRate]])))*IF(Games[[#This Row],[OT]]=1,0.9,1)</f>
        <v>0.31051854944845886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3" s="9">
        <f>MAX(kmin, kmax - 0.15 * MIN(Games[[#This Row],[GamesPlayed]], 82))</f>
        <v>71.8</v>
      </c>
      <c r="Z453" s="4">
        <f>Games[[#This Row],[K]]*Games[[#This Row],[POMult]]</f>
        <v>71.8</v>
      </c>
      <c r="AA453" s="4">
        <f>(Games[[#This Row],[Keff]]*Games[[#This Row],[MOVMult]])*(Games[[#This Row],[Result]]-Games[[#This Row],[ExpectedWin%]])</f>
        <v>-13.684243817759512</v>
      </c>
      <c r="AB453" s="4">
        <f>Games[[#This Row],[PreGmRate]]+Games[[#This Row],[RatingChange]]</f>
        <v>1386.9498666364843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1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36741</v>
      </c>
      <c r="B454" s="2">
        <v>2000</v>
      </c>
      <c r="C454" s="2">
        <f>COUNTIFS(Games[Team],Games[[#This Row],[Team]],Games[Season],Games[[#This Row],[Season]],Games[Date],"&lt;=" &amp; Games[[#This Row],[Date]])</f>
        <v>29</v>
      </c>
      <c r="D454" s="2" t="s">
        <v>23</v>
      </c>
      <c r="E454" s="2" t="s">
        <v>29</v>
      </c>
      <c r="F454" s="1" t="s">
        <v>87</v>
      </c>
      <c r="G454" s="1" t="s">
        <v>44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6">
        <f>MAX(-16, MIN(16, Games[[#This Row],[RestDiff]]*8))</f>
        <v>0</v>
      </c>
      <c r="N454" s="16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1325.0953928085951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1596.3814574592334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0.11453920755110805</v>
      </c>
      <c r="R454" s="1">
        <v>63</v>
      </c>
      <c r="S454" s="1">
        <v>85</v>
      </c>
      <c r="T454" s="1">
        <v>0</v>
      </c>
      <c r="U454" s="16">
        <f>Games[[#This Row],[PointsFor]]-Games[[#This Row],[PointsAgainst]]</f>
        <v>-22</v>
      </c>
      <c r="V454" s="16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0.49104482326199417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4" s="9">
        <f>MAX(kmin, kmax - 0.15 * MIN(Games[[#This Row],[GamesPlayed]], 82))</f>
        <v>71.650000000000006</v>
      </c>
      <c r="Z454" s="4">
        <f>Games[[#This Row],[K]]*Games[[#This Row],[POMult]]</f>
        <v>71.650000000000006</v>
      </c>
      <c r="AA454" s="4">
        <f>(Games[[#This Row],[Keff]]*Games[[#This Row],[MOVMult]])*(Games[[#This Row],[Result]]-Games[[#This Row],[ExpectedWin%]])</f>
        <v>-4.0298743551272205</v>
      </c>
      <c r="AB454" s="4">
        <f>Games[[#This Row],[PreGmRate]]+Games[[#This Row],[RatingChange]]</f>
        <v>1321.0655184534678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1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36741</v>
      </c>
      <c r="B455" s="2">
        <v>2000</v>
      </c>
      <c r="C455" s="2">
        <f>COUNTIFS(Games[Team],Games[[#This Row],[Team]],Games[Season],Games[[#This Row],[Season]],Games[Date],"&lt;=" &amp; Games[[#This Row],[Date]])</f>
        <v>29</v>
      </c>
      <c r="D455" s="2" t="s">
        <v>23</v>
      </c>
      <c r="E455" s="2" t="s">
        <v>29</v>
      </c>
      <c r="F455" s="1" t="s">
        <v>44</v>
      </c>
      <c r="G455" s="1" t="s">
        <v>87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6">
        <f>MAX(-16, MIN(16, Games[[#This Row],[RestDiff]]*8))</f>
        <v>0</v>
      </c>
      <c r="N455" s="16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1596.3814574592334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1325.0953928085951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0.88546079244889198</v>
      </c>
      <c r="R455" s="1">
        <v>85</v>
      </c>
      <c r="S455" s="1">
        <v>63</v>
      </c>
      <c r="T455" s="1">
        <v>0</v>
      </c>
      <c r="U455" s="16">
        <f>Games[[#This Row],[PointsFor]]-Games[[#This Row],[PointsAgainst]]</f>
        <v>22</v>
      </c>
      <c r="V455" s="16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0.49104482326199417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5" s="9">
        <f>MAX(kmin, kmax - 0.15 * MIN(Games[[#This Row],[GamesPlayed]], 82))</f>
        <v>71.650000000000006</v>
      </c>
      <c r="Z455" s="4">
        <f>Games[[#This Row],[K]]*Games[[#This Row],[POMult]]</f>
        <v>71.650000000000006</v>
      </c>
      <c r="AA455" s="4">
        <f>(Games[[#This Row],[Keff]]*Games[[#This Row],[MOVMult]])*(Games[[#This Row],[Result]]-Games[[#This Row],[ExpectedWin%]])</f>
        <v>4.0298743551272196</v>
      </c>
      <c r="AB455" s="4">
        <f>Games[[#This Row],[PreGmRate]]+Games[[#This Row],[RatingChange]]</f>
        <v>1600.4113318143607</v>
      </c>
      <c r="AC455" s="2">
        <f>IF(Games[[#This Row],[Type]]="R",IF(Games[[#This Row],[Result]]&gt;0.5,1,0),0)</f>
        <v>1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36742</v>
      </c>
      <c r="B456" s="2">
        <v>2000</v>
      </c>
      <c r="C456" s="2">
        <f>COUNTIFS(Games[Team],Games[[#This Row],[Team]],Games[Season],Games[[#This Row],[Season]],Games[Date],"&lt;=" &amp; Games[[#This Row],[Date]])</f>
        <v>29</v>
      </c>
      <c r="D456" s="2" t="s">
        <v>23</v>
      </c>
      <c r="E456" s="2" t="s">
        <v>29</v>
      </c>
      <c r="F456" s="1" t="s">
        <v>1</v>
      </c>
      <c r="G456" s="1" t="s">
        <v>85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6">
        <f>MAX(-16, MIN(16, Games[[#This Row],[RestDiff]]*8))</f>
        <v>0</v>
      </c>
      <c r="N456" s="16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1514.6088210470377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1386.9498666364843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0.56250165269669228</v>
      </c>
      <c r="R456" s="1">
        <v>75</v>
      </c>
      <c r="S456" s="1">
        <v>87</v>
      </c>
      <c r="T456" s="1">
        <v>0</v>
      </c>
      <c r="U456" s="16">
        <f>Games[[#This Row],[PointsFor]]-Games[[#This Row],[PointsAgainst]]</f>
        <v>-12</v>
      </c>
      <c r="V456" s="16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0.41227103532387249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6" s="9">
        <f>MAX(kmin, kmax - 0.15 * MIN(Games[[#This Row],[GamesPlayed]], 82))</f>
        <v>71.650000000000006</v>
      </c>
      <c r="Z456" s="4">
        <f>Games[[#This Row],[K]]*Games[[#This Row],[POMult]]</f>
        <v>71.650000000000006</v>
      </c>
      <c r="AA456" s="4">
        <f>(Games[[#This Row],[Keff]]*Games[[#This Row],[MOVMult]])*(Games[[#This Row],[Result]]-Games[[#This Row],[ExpectedWin%]])</f>
        <v>-16.615859889908108</v>
      </c>
      <c r="AB456" s="4">
        <f>Games[[#This Row],[PreGmRate]]+Games[[#This Row],[RatingChange]]</f>
        <v>1497.9929611571297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1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36742</v>
      </c>
      <c r="B457" s="2">
        <v>2000</v>
      </c>
      <c r="C457" s="2">
        <f>COUNTIFS(Games[Team],Games[[#This Row],[Team]],Games[Season],Games[[#This Row],[Season]],Games[Date],"&lt;=" &amp; Games[[#This Row],[Date]])</f>
        <v>29</v>
      </c>
      <c r="D457" s="2" t="s">
        <v>23</v>
      </c>
      <c r="E457" s="2" t="s">
        <v>29</v>
      </c>
      <c r="F457" s="1" t="s">
        <v>85</v>
      </c>
      <c r="G457" s="1" t="s">
        <v>1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6">
        <f>MAX(-16, MIN(16, Games[[#This Row],[RestDiff]]*8))</f>
        <v>0</v>
      </c>
      <c r="N457" s="16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1386.9498666364843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1514.6088210470377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0.43749834730330772</v>
      </c>
      <c r="R457" s="1">
        <v>87</v>
      </c>
      <c r="S457" s="1">
        <v>75</v>
      </c>
      <c r="T457" s="1">
        <v>0</v>
      </c>
      <c r="U457" s="16">
        <f>Games[[#This Row],[PointsFor]]-Games[[#This Row],[PointsAgainst]]</f>
        <v>12</v>
      </c>
      <c r="V457" s="16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0.41227103532387249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7" s="9">
        <f>MAX(kmin, kmax - 0.15 * MIN(Games[[#This Row],[GamesPlayed]], 82))</f>
        <v>71.650000000000006</v>
      </c>
      <c r="Z457" s="4">
        <f>Games[[#This Row],[K]]*Games[[#This Row],[POMult]]</f>
        <v>71.650000000000006</v>
      </c>
      <c r="AA457" s="4">
        <f>(Games[[#This Row],[Keff]]*Games[[#This Row],[MOVMult]])*(Games[[#This Row],[Result]]-Games[[#This Row],[ExpectedWin%]])</f>
        <v>16.615859889908108</v>
      </c>
      <c r="AB457" s="4">
        <f>Games[[#This Row],[PreGmRate]]+Games[[#This Row],[RatingChange]]</f>
        <v>1403.5657265263924</v>
      </c>
      <c r="AC457" s="2">
        <f>IF(Games[[#This Row],[Type]]="R",IF(Games[[#This Row],[Result]]&gt;0.5,1,0),0)</f>
        <v>1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36742</v>
      </c>
      <c r="B458" s="2">
        <v>2000</v>
      </c>
      <c r="C458" s="2">
        <f>COUNTIFS(Games[Team],Games[[#This Row],[Team]],Games[Season],Games[[#This Row],[Season]],Games[Date],"&lt;=" &amp; Games[[#This Row],[Date]])</f>
        <v>29</v>
      </c>
      <c r="D458" s="2" t="s">
        <v>23</v>
      </c>
      <c r="E458" s="2" t="s">
        <v>29</v>
      </c>
      <c r="F458" s="1" t="s">
        <v>64</v>
      </c>
      <c r="G458" s="1" t="s">
        <v>83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2</v>
      </c>
      <c r="L458" s="2">
        <f>Games[[#This Row],[OppDaysOff]]-Games[[#This Row],[DaysOff]]</f>
        <v>-2</v>
      </c>
      <c r="M458" s="16">
        <f>MAX(-16, MIN(16, Games[[#This Row],[RestDiff]]*8))</f>
        <v>16</v>
      </c>
      <c r="N458" s="16">
        <f>MAX(-16, MIN(16, Games[[#This Row],[OppRestDiff]]*8))</f>
        <v>-16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1358.4691002330092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1387.9262420315904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0.38487544789631856</v>
      </c>
      <c r="R458" s="1">
        <v>50</v>
      </c>
      <c r="S458" s="1">
        <v>60</v>
      </c>
      <c r="T458" s="1">
        <v>0</v>
      </c>
      <c r="U458" s="16">
        <f>Games[[#This Row],[PointsFor]]-Games[[#This Row],[PointsAgainst]]</f>
        <v>-10</v>
      </c>
      <c r="V458" s="16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0.41299173589405608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8" s="9">
        <f>MAX(kmin, kmax - 0.15 * MIN(Games[[#This Row],[GamesPlayed]], 82))</f>
        <v>71.650000000000006</v>
      </c>
      <c r="Z458" s="4">
        <f>Games[[#This Row],[K]]*Games[[#This Row],[POMult]]</f>
        <v>71.650000000000006</v>
      </c>
      <c r="AA458" s="4">
        <f>(Games[[#This Row],[Keff]]*Games[[#This Row],[MOVMult]])*(Games[[#This Row],[Result]]-Games[[#This Row],[ExpectedWin%]])</f>
        <v>-11.388794678973216</v>
      </c>
      <c r="AB458" s="4">
        <f>Games[[#This Row],[PreGmRate]]+Games[[#This Row],[RatingChange]]</f>
        <v>1347.0803055540359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1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36742</v>
      </c>
      <c r="B459" s="2">
        <v>2000</v>
      </c>
      <c r="C459" s="2">
        <f>COUNTIFS(Games[Team],Games[[#This Row],[Team]],Games[Season],Games[[#This Row],[Season]],Games[Date],"&lt;=" &amp; Games[[#This Row],[Date]])</f>
        <v>30</v>
      </c>
      <c r="D459" s="2" t="s">
        <v>23</v>
      </c>
      <c r="E459" s="2" t="s">
        <v>29</v>
      </c>
      <c r="F459" s="1" t="s">
        <v>83</v>
      </c>
      <c r="G459" s="1" t="s">
        <v>64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9" s="2">
        <f>Games[[#This Row],[DaysOff]]-Games[[#This Row],[OppDaysOff]]</f>
        <v>-2</v>
      </c>
      <c r="L459" s="2">
        <f>Games[[#This Row],[OppDaysOff]]-Games[[#This Row],[DaysOff]]</f>
        <v>2</v>
      </c>
      <c r="M459" s="16">
        <f>MAX(-16, MIN(16, Games[[#This Row],[RestDiff]]*8))</f>
        <v>-16</v>
      </c>
      <c r="N459" s="16">
        <f>MAX(-16, MIN(16, Games[[#This Row],[OppRestDiff]]*8))</f>
        <v>16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1387.9262420315904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1358.4691002330092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0.61512455210368144</v>
      </c>
      <c r="R459" s="1">
        <v>60</v>
      </c>
      <c r="S459" s="1">
        <v>50</v>
      </c>
      <c r="T459" s="1">
        <v>0</v>
      </c>
      <c r="U459" s="16">
        <f>Games[[#This Row],[PointsFor]]-Games[[#This Row],[PointsAgainst]]</f>
        <v>10</v>
      </c>
      <c r="V459" s="16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0.41299173589405608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9" s="9">
        <f>MAX(kmin, kmax - 0.15 * MIN(Games[[#This Row],[GamesPlayed]], 82))</f>
        <v>71.5</v>
      </c>
      <c r="Z459" s="4">
        <f>Games[[#This Row],[K]]*Games[[#This Row],[POMult]]</f>
        <v>71.5</v>
      </c>
      <c r="AA459" s="4">
        <f>(Games[[#This Row],[Keff]]*Games[[#This Row],[MOVMult]])*(Games[[#This Row],[Result]]-Games[[#This Row],[ExpectedWin%]])</f>
        <v>11.36495212207376</v>
      </c>
      <c r="AB459" s="4">
        <f>Games[[#This Row],[PreGmRate]]+Games[[#This Row],[RatingChange]]</f>
        <v>1399.291194153664</v>
      </c>
      <c r="AC459" s="2">
        <f>IF(Games[[#This Row],[Type]]="R",IF(Games[[#This Row],[Result]]&gt;0.5,1,0),0)</f>
        <v>1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36742</v>
      </c>
      <c r="B460" s="2">
        <v>2000</v>
      </c>
      <c r="C460" s="2">
        <f>COUNTIFS(Games[Team],Games[[#This Row],[Team]],Games[Season],Games[[#This Row],[Season]],Games[Date],"&lt;=" &amp; Games[[#This Row],[Date]])</f>
        <v>30</v>
      </c>
      <c r="D460" s="2" t="s">
        <v>23</v>
      </c>
      <c r="E460" s="2" t="s">
        <v>29</v>
      </c>
      <c r="F460" s="1" t="s">
        <v>45</v>
      </c>
      <c r="G460" s="1" t="s">
        <v>80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6">
        <f>MAX(-16, MIN(16, Games[[#This Row],[RestDiff]]*8))</f>
        <v>0</v>
      </c>
      <c r="N460" s="16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1613.6279809158063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1473.2012274623792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0.5804981073971911</v>
      </c>
      <c r="R460" s="1">
        <v>74</v>
      </c>
      <c r="S460" s="1">
        <v>63</v>
      </c>
      <c r="T460" s="1">
        <v>0</v>
      </c>
      <c r="U460" s="16">
        <f>Games[[#This Row],[PointsFor]]-Games[[#This Row],[PointsAgainst]]</f>
        <v>11</v>
      </c>
      <c r="V460" s="16">
        <f>IF(Games[[#This Row],[MOV]]&gt;0,1,IF(Games[[#This Row],[MOV]]=0,0.5,0))</f>
        <v>1</v>
      </c>
      <c r="W460" s="4">
        <f>((ABS(Games[[#This Row],[MOV]])+5)^0.6)/(12+0.01*(ABS(Games[[#This Row],[PreGmRate]]-Games[[#This Row],[OppPreGmRate]])))*IF(Games[[#This Row],[OT]]=1,0.9,1)</f>
        <v>0.39375755739681012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0" s="9">
        <f>MAX(kmin, kmax - 0.15 * MIN(Games[[#This Row],[GamesPlayed]], 82))</f>
        <v>71.5</v>
      </c>
      <c r="Z460" s="4">
        <f>Games[[#This Row],[K]]*Games[[#This Row],[POMult]]</f>
        <v>71.5</v>
      </c>
      <c r="AA460" s="4">
        <f>(Games[[#This Row],[Keff]]*Games[[#This Row],[MOVMult]])*(Games[[#This Row],[Result]]-Games[[#This Row],[ExpectedWin%]])</f>
        <v>11.810515899655401</v>
      </c>
      <c r="AB460" s="4">
        <f>Games[[#This Row],[PreGmRate]]+Games[[#This Row],[RatingChange]]</f>
        <v>1625.4384968154618</v>
      </c>
      <c r="AC460" s="2">
        <f>IF(Games[[#This Row],[Type]]="R",IF(Games[[#This Row],[Result]]&gt;0.5,1,0),0)</f>
        <v>1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36742</v>
      </c>
      <c r="B461" s="2">
        <v>2000</v>
      </c>
      <c r="C461" s="2">
        <f>COUNTIFS(Games[Team],Games[[#This Row],[Team]],Games[Season],Games[[#This Row],[Season]],Games[Date],"&lt;=" &amp; Games[[#This Row],[Date]])</f>
        <v>29</v>
      </c>
      <c r="D461" s="2" t="s">
        <v>23</v>
      </c>
      <c r="E461" s="2" t="s">
        <v>29</v>
      </c>
      <c r="F461" s="1" t="s">
        <v>80</v>
      </c>
      <c r="G461" s="1" t="s">
        <v>45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6">
        <f>MAX(-16, MIN(16, Games[[#This Row],[RestDiff]]*8))</f>
        <v>0</v>
      </c>
      <c r="N461" s="16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1473.2012274623792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1613.6279809158063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0.4195018926028089</v>
      </c>
      <c r="R461" s="1">
        <v>63</v>
      </c>
      <c r="S461" s="1">
        <v>74</v>
      </c>
      <c r="T461" s="1">
        <v>0</v>
      </c>
      <c r="U461" s="16">
        <f>Games[[#This Row],[PointsFor]]-Games[[#This Row],[PointsAgainst]]</f>
        <v>-11</v>
      </c>
      <c r="V461" s="16">
        <f>IF(Games[[#This Row],[MOV]]&gt;0,1,IF(Games[[#This Row],[MOV]]=0,0.5,0))</f>
        <v>0</v>
      </c>
      <c r="W461" s="4">
        <f>((ABS(Games[[#This Row],[MOV]])+5)^0.6)/(12+0.01*(ABS(Games[[#This Row],[PreGmRate]]-Games[[#This Row],[OppPreGmRate]])))*IF(Games[[#This Row],[OT]]=1,0.9,1)</f>
        <v>0.39375755739681012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1" s="9">
        <f>MAX(kmin, kmax - 0.15 * MIN(Games[[#This Row],[GamesPlayed]], 82))</f>
        <v>71.650000000000006</v>
      </c>
      <c r="Z461" s="4">
        <f>Games[[#This Row],[K]]*Games[[#This Row],[POMult]]</f>
        <v>71.650000000000006</v>
      </c>
      <c r="AA461" s="4">
        <f>(Games[[#This Row],[Keff]]*Games[[#This Row],[MOVMult]])*(Games[[#This Row],[Result]]-Games[[#This Row],[ExpectedWin%]])</f>
        <v>-11.835293205738596</v>
      </c>
      <c r="AB461" s="4">
        <f>Games[[#This Row],[PreGmRate]]+Games[[#This Row],[RatingChange]]</f>
        <v>1461.3659342566405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1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36742</v>
      </c>
      <c r="B462" s="2">
        <v>2000</v>
      </c>
      <c r="C462" s="2">
        <f>COUNTIFS(Games[Team],Games[[#This Row],[Team]],Games[Season],Games[[#This Row],[Season]],Games[Date],"&lt;=" &amp; Games[[#This Row],[Date]])</f>
        <v>29</v>
      </c>
      <c r="D462" s="2" t="s">
        <v>23</v>
      </c>
      <c r="E462" s="2" t="s">
        <v>29</v>
      </c>
      <c r="F462" s="1" t="s">
        <v>79</v>
      </c>
      <c r="G462" s="1" t="s">
        <v>66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2" s="2">
        <f>Games[[#This Row],[DaysOff]]-Games[[#This Row],[OppDaysOff]]</f>
        <v>-1</v>
      </c>
      <c r="L462" s="2">
        <f>Games[[#This Row],[OppDaysOff]]-Games[[#This Row],[DaysOff]]</f>
        <v>1</v>
      </c>
      <c r="M462" s="16">
        <f>MAX(-16, MIN(16, Games[[#This Row],[RestDiff]]*8))</f>
        <v>-8</v>
      </c>
      <c r="N462" s="16">
        <f>MAX(-16, MIN(16, Games[[#This Row],[OppRestDiff]]*8))</f>
        <v>8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1462.5889251655231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1602.2807532431652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0.20104480477068012</v>
      </c>
      <c r="R462" s="1">
        <v>57</v>
      </c>
      <c r="S462" s="1">
        <v>70</v>
      </c>
      <c r="T462" s="1">
        <v>0</v>
      </c>
      <c r="U462" s="16">
        <f>Games[[#This Row],[PointsFor]]-Games[[#This Row],[PointsAgainst]]</f>
        <v>-13</v>
      </c>
      <c r="V462" s="16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0.4228229917545725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2" s="9">
        <f>MAX(kmin, kmax - 0.15 * MIN(Games[[#This Row],[GamesPlayed]], 82))</f>
        <v>71.650000000000006</v>
      </c>
      <c r="Z462" s="4">
        <f>Games[[#This Row],[K]]*Games[[#This Row],[POMult]]</f>
        <v>71.650000000000006</v>
      </c>
      <c r="AA462" s="4">
        <f>(Games[[#This Row],[Keff]]*Games[[#This Row],[MOVMult]])*(Games[[#This Row],[Result]]-Games[[#This Row],[ExpectedWin%]])</f>
        <v>-6.090706111708962</v>
      </c>
      <c r="AB462" s="4">
        <f>Games[[#This Row],[PreGmRate]]+Games[[#This Row],[RatingChange]]</f>
        <v>1456.4982190538142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36742</v>
      </c>
      <c r="B463" s="2">
        <v>2000</v>
      </c>
      <c r="C463" s="2">
        <f>COUNTIFS(Games[Team],Games[[#This Row],[Team]],Games[Season],Games[[#This Row],[Season]],Games[Date],"&lt;=" &amp; Games[[#This Row],[Date]])</f>
        <v>29</v>
      </c>
      <c r="D463" s="2" t="s">
        <v>23</v>
      </c>
      <c r="E463" s="2" t="s">
        <v>29</v>
      </c>
      <c r="F463" s="1" t="s">
        <v>66</v>
      </c>
      <c r="G463" s="1" t="s">
        <v>79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3" s="2">
        <f>Games[[#This Row],[DaysOff]]-Games[[#This Row],[OppDaysOff]]</f>
        <v>1</v>
      </c>
      <c r="L463" s="2">
        <f>Games[[#This Row],[OppDaysOff]]-Games[[#This Row],[DaysOff]]</f>
        <v>-1</v>
      </c>
      <c r="M463" s="16">
        <f>MAX(-16, MIN(16, Games[[#This Row],[RestDiff]]*8))</f>
        <v>8</v>
      </c>
      <c r="N463" s="16">
        <f>MAX(-16, MIN(16, Games[[#This Row],[OppRestDiff]]*8))</f>
        <v>-8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1602.2807532431652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1462.5889251655231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0.7989551952293199</v>
      </c>
      <c r="R463" s="1">
        <v>70</v>
      </c>
      <c r="S463" s="1">
        <v>57</v>
      </c>
      <c r="T463" s="1">
        <v>0</v>
      </c>
      <c r="U463" s="16">
        <f>Games[[#This Row],[PointsFor]]-Games[[#This Row],[PointsAgainst]]</f>
        <v>13</v>
      </c>
      <c r="V463" s="16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0.4228229917545725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3" s="9">
        <f>MAX(kmin, kmax - 0.15 * MIN(Games[[#This Row],[GamesPlayed]], 82))</f>
        <v>71.650000000000006</v>
      </c>
      <c r="Z463" s="4">
        <f>Games[[#This Row],[K]]*Games[[#This Row],[POMult]]</f>
        <v>71.650000000000006</v>
      </c>
      <c r="AA463" s="4">
        <f>(Games[[#This Row],[Keff]]*Games[[#This Row],[MOVMult]])*(Games[[#This Row],[Result]]-Games[[#This Row],[ExpectedWin%]])</f>
        <v>6.0907061117089611</v>
      </c>
      <c r="AB463" s="4">
        <f>Games[[#This Row],[PreGmRate]]+Games[[#This Row],[RatingChange]]</f>
        <v>1608.3714593548741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36742</v>
      </c>
      <c r="B464" s="2">
        <v>2000</v>
      </c>
      <c r="C464" s="2">
        <f>COUNTIFS(Games[Team],Games[[#This Row],[Team]],Games[Season],Games[[#This Row],[Season]],Games[Date],"&lt;=" &amp; Games[[#This Row],[Date]])</f>
        <v>29</v>
      </c>
      <c r="D464" s="2" t="s">
        <v>23</v>
      </c>
      <c r="E464" s="2" t="s">
        <v>29</v>
      </c>
      <c r="F464" s="1" t="s">
        <v>2</v>
      </c>
      <c r="G464" s="1" t="s">
        <v>89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6">
        <f>MAX(-16, MIN(16, Games[[#This Row],[RestDiff]]*8))</f>
        <v>0</v>
      </c>
      <c r="N464" s="16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1706.5044448481888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1439.9179966925981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0.74097687705571058</v>
      </c>
      <c r="R464" s="1">
        <v>81</v>
      </c>
      <c r="S464" s="1">
        <v>56</v>
      </c>
      <c r="T464" s="1">
        <v>0</v>
      </c>
      <c r="U464" s="16">
        <f>Games[[#This Row],[PointsFor]]-Games[[#This Row],[PointsAgainst]]</f>
        <v>25</v>
      </c>
      <c r="V464" s="16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0.52476527042813592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4" s="9">
        <f>MAX(kmin, kmax - 0.15 * MIN(Games[[#This Row],[GamesPlayed]], 82))</f>
        <v>71.650000000000006</v>
      </c>
      <c r="Z464" s="4">
        <f>Games[[#This Row],[K]]*Games[[#This Row],[POMult]]</f>
        <v>71.650000000000006</v>
      </c>
      <c r="AA464" s="4">
        <f>(Games[[#This Row],[Keff]]*Games[[#This Row],[MOVMult]])*(Games[[#This Row],[Result]]-Games[[#This Row],[ExpectedWin%]])</f>
        <v>9.7391222007423757</v>
      </c>
      <c r="AB464" s="4">
        <f>Games[[#This Row],[PreGmRate]]+Games[[#This Row],[RatingChange]]</f>
        <v>1716.2435670489313</v>
      </c>
      <c r="AC464" s="2">
        <f>IF(Games[[#This Row],[Type]]="R",IF(Games[[#This Row],[Result]]&gt;0.5,1,0),0)</f>
        <v>1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36742</v>
      </c>
      <c r="B465" s="2">
        <v>2000</v>
      </c>
      <c r="C465" s="2">
        <f>COUNTIFS(Games[Team],Games[[#This Row],[Team]],Games[Season],Games[[#This Row],[Season]],Games[Date],"&lt;=" &amp; Games[[#This Row],[Date]])</f>
        <v>29</v>
      </c>
      <c r="D465" s="2" t="s">
        <v>23</v>
      </c>
      <c r="E465" s="2" t="s">
        <v>29</v>
      </c>
      <c r="F465" s="1" t="s">
        <v>89</v>
      </c>
      <c r="G465" s="1" t="s">
        <v>2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6">
        <f>MAX(-16, MIN(16, Games[[#This Row],[RestDiff]]*8))</f>
        <v>0</v>
      </c>
      <c r="N465" s="16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1439.9179966925981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1706.5044448481888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0.25902312294428947</v>
      </c>
      <c r="R465" s="1">
        <v>56</v>
      </c>
      <c r="S465" s="1">
        <v>81</v>
      </c>
      <c r="T465" s="1">
        <v>0</v>
      </c>
      <c r="U465" s="16">
        <f>Games[[#This Row],[PointsFor]]-Games[[#This Row],[PointsAgainst]]</f>
        <v>-25</v>
      </c>
      <c r="V465" s="16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0.52476527042813592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5" s="9">
        <f>MAX(kmin, kmax - 0.15 * MIN(Games[[#This Row],[GamesPlayed]], 82))</f>
        <v>71.650000000000006</v>
      </c>
      <c r="Z465" s="4">
        <f>Games[[#This Row],[K]]*Games[[#This Row],[POMult]]</f>
        <v>71.650000000000006</v>
      </c>
      <c r="AA465" s="4">
        <f>(Games[[#This Row],[Keff]]*Games[[#This Row],[MOVMult]])*(Games[[#This Row],[Result]]-Games[[#This Row],[ExpectedWin%]])</f>
        <v>-9.7391222007423774</v>
      </c>
      <c r="AB465" s="4">
        <f>Games[[#This Row],[PreGmRate]]+Games[[#This Row],[RatingChange]]</f>
        <v>1430.1788744918556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1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36742</v>
      </c>
      <c r="B466" s="2">
        <v>2000</v>
      </c>
      <c r="C466" s="2">
        <f>COUNTIFS(Games[Team],Games[[#This Row],[Team]],Games[Season],Games[[#This Row],[Season]],Games[Date],"&lt;=" &amp; Games[[#This Row],[Date]])</f>
        <v>29</v>
      </c>
      <c r="D466" s="2" t="s">
        <v>23</v>
      </c>
      <c r="E466" s="2" t="s">
        <v>29</v>
      </c>
      <c r="F466" s="1" t="s">
        <v>77</v>
      </c>
      <c r="G466" s="1" t="s">
        <v>75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6" s="2">
        <f>Games[[#This Row],[DaysOff]]-Games[[#This Row],[OppDaysOff]]</f>
        <v>1</v>
      </c>
      <c r="L466" s="2">
        <f>Games[[#This Row],[OppDaysOff]]-Games[[#This Row],[DaysOff]]</f>
        <v>-1</v>
      </c>
      <c r="M466" s="16">
        <f>MAX(-16, MIN(16, Games[[#This Row],[RestDiff]]*8))</f>
        <v>8</v>
      </c>
      <c r="N466" s="16">
        <f>MAX(-16, MIN(16, Games[[#This Row],[OppRestDiff]]*8))</f>
        <v>-8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1435.0882965572746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1417.8512271018333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0.42746170517927123</v>
      </c>
      <c r="R466" s="1">
        <v>72</v>
      </c>
      <c r="S466" s="1">
        <v>96</v>
      </c>
      <c r="T466" s="1">
        <v>0</v>
      </c>
      <c r="U466" s="16">
        <f>Games[[#This Row],[PointsFor]]-Games[[#This Row],[PointsAgainst]]</f>
        <v>-24</v>
      </c>
      <c r="V466" s="16">
        <f>IF(Games[[#This Row],[MOV]]&gt;0,1,IF(Games[[#This Row],[MOV]]=0,0.5,0))</f>
        <v>0</v>
      </c>
      <c r="W466" s="4">
        <f>((ABS(Games[[#This Row],[MOV]])+5)^0.6)/(12+0.01*(ABS(Games[[#This Row],[PreGmRate]]-Games[[#This Row],[OppPreGmRate]])))*IF(Games[[#This Row],[OT]]=1,0.9,1)</f>
        <v>0.61953183669893941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6" s="9">
        <f>MAX(kmin, kmax - 0.15 * MIN(Games[[#This Row],[GamesPlayed]], 82))</f>
        <v>71.650000000000006</v>
      </c>
      <c r="Z466" s="4">
        <f>Games[[#This Row],[K]]*Games[[#This Row],[POMult]]</f>
        <v>71.650000000000006</v>
      </c>
      <c r="AA466" s="4">
        <f>(Games[[#This Row],[Keff]]*Games[[#This Row],[MOVMult]])*(Games[[#This Row],[Result]]-Games[[#This Row],[ExpectedWin%]])</f>
        <v>-18.974792596263701</v>
      </c>
      <c r="AB466" s="4">
        <f>Games[[#This Row],[PreGmRate]]+Games[[#This Row],[RatingChange]]</f>
        <v>1416.1135039610108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1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36742</v>
      </c>
      <c r="B467" s="2">
        <v>2000</v>
      </c>
      <c r="C467" s="2">
        <f>COUNTIFS(Games[Team],Games[[#This Row],[Team]],Games[Season],Games[[#This Row],[Season]],Games[Date],"&lt;=" &amp; Games[[#This Row],[Date]])</f>
        <v>29</v>
      </c>
      <c r="D467" s="2" t="s">
        <v>23</v>
      </c>
      <c r="E467" s="2" t="s">
        <v>29</v>
      </c>
      <c r="F467" s="1" t="s">
        <v>75</v>
      </c>
      <c r="G467" s="1" t="s">
        <v>77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-1</v>
      </c>
      <c r="L467" s="2">
        <f>Games[[#This Row],[OppDaysOff]]-Games[[#This Row],[DaysOff]]</f>
        <v>1</v>
      </c>
      <c r="M467" s="16">
        <f>MAX(-16, MIN(16, Games[[#This Row],[RestDiff]]*8))</f>
        <v>-8</v>
      </c>
      <c r="N467" s="16">
        <f>MAX(-16, MIN(16, Games[[#This Row],[OppRestDiff]]*8))</f>
        <v>8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1417.8512271018333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1435.0882965572746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0.57253829482072882</v>
      </c>
      <c r="R467" s="1">
        <v>96</v>
      </c>
      <c r="S467" s="1">
        <v>72</v>
      </c>
      <c r="T467" s="1">
        <v>0</v>
      </c>
      <c r="U467" s="16">
        <f>Games[[#This Row],[PointsFor]]-Games[[#This Row],[PointsAgainst]]</f>
        <v>24</v>
      </c>
      <c r="V467" s="16">
        <f>IF(Games[[#This Row],[MOV]]&gt;0,1,IF(Games[[#This Row],[MOV]]=0,0.5,0))</f>
        <v>1</v>
      </c>
      <c r="W467" s="4">
        <f>((ABS(Games[[#This Row],[MOV]])+5)^0.6)/(12+0.01*(ABS(Games[[#This Row],[PreGmRate]]-Games[[#This Row],[OppPreGmRate]])))*IF(Games[[#This Row],[OT]]=1,0.9,1)</f>
        <v>0.61953183669893941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7" s="9">
        <f>MAX(kmin, kmax - 0.15 * MIN(Games[[#This Row],[GamesPlayed]], 82))</f>
        <v>71.650000000000006</v>
      </c>
      <c r="Z467" s="4">
        <f>Games[[#This Row],[K]]*Games[[#This Row],[POMult]]</f>
        <v>71.650000000000006</v>
      </c>
      <c r="AA467" s="4">
        <f>(Games[[#This Row],[Keff]]*Games[[#This Row],[MOVMult]])*(Games[[#This Row],[Result]]-Games[[#This Row],[ExpectedWin%]])</f>
        <v>18.974792596263697</v>
      </c>
      <c r="AB467" s="4">
        <f>Games[[#This Row],[PreGmRate]]+Games[[#This Row],[RatingChange]]</f>
        <v>1436.8260196980971</v>
      </c>
      <c r="AC467" s="2">
        <f>IF(Games[[#This Row],[Type]]="R",IF(Games[[#This Row],[Result]]&gt;0.5,1,0),0)</f>
        <v>1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36743</v>
      </c>
      <c r="B468" s="2">
        <v>2000</v>
      </c>
      <c r="C468" s="2">
        <f>COUNTIFS(Games[Team],Games[[#This Row],[Team]],Games[Season],Games[[#This Row],[Season]],Games[Date],"&lt;=" &amp; Games[[#This Row],[Date]])</f>
        <v>30</v>
      </c>
      <c r="D468" s="2" t="s">
        <v>23</v>
      </c>
      <c r="E468" s="2" t="s">
        <v>29</v>
      </c>
      <c r="F468" s="1" t="s">
        <v>43</v>
      </c>
      <c r="G468" s="1" t="s">
        <v>64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8" s="2">
        <f>Games[[#This Row],[DaysOff]]-Games[[#This Row],[OppDaysOff]]</f>
        <v>1</v>
      </c>
      <c r="L468" s="2">
        <f>Games[[#This Row],[OppDaysOff]]-Games[[#This Row],[DaysOff]]</f>
        <v>-1</v>
      </c>
      <c r="M468" s="16">
        <f>MAX(-16, MIN(16, Games[[#This Row],[RestDiff]]*8))</f>
        <v>8</v>
      </c>
      <c r="N468" s="16">
        <f>MAX(-16, MIN(16, Games[[#This Row],[OppRestDiff]]*8))</f>
        <v>-8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1539.2016397422369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1347.0803055540359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0.67139469525751827</v>
      </c>
      <c r="R468" s="1">
        <v>82</v>
      </c>
      <c r="S468" s="1">
        <v>84</v>
      </c>
      <c r="T468" s="1">
        <v>0</v>
      </c>
      <c r="U468" s="16">
        <f>Games[[#This Row],[PointsFor]]-Games[[#This Row],[PointsAgainst]]</f>
        <v>-2</v>
      </c>
      <c r="V468" s="16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0.23087756582584806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8" s="9">
        <f>MAX(kmin, kmax - 0.15 * MIN(Games[[#This Row],[GamesPlayed]], 82))</f>
        <v>71.5</v>
      </c>
      <c r="Z468" s="4">
        <f>Games[[#This Row],[K]]*Games[[#This Row],[POMult]]</f>
        <v>71.5</v>
      </c>
      <c r="AA468" s="4">
        <f>(Games[[#This Row],[Keff]]*Games[[#This Row],[MOVMult]])*(Games[[#This Row],[Result]]-Games[[#This Row],[ExpectedWin%]])</f>
        <v>-11.083213065885165</v>
      </c>
      <c r="AB468" s="4">
        <f>Games[[#This Row],[PreGmRate]]+Games[[#This Row],[RatingChange]]</f>
        <v>1528.1184266763516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1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36743</v>
      </c>
      <c r="B469" s="2">
        <v>2000</v>
      </c>
      <c r="C469" s="2">
        <f>COUNTIFS(Games[Team],Games[[#This Row],[Team]],Games[Season],Games[[#This Row],[Season]],Games[Date],"&lt;=" &amp; Games[[#This Row],[Date]])</f>
        <v>30</v>
      </c>
      <c r="D469" s="2" t="s">
        <v>23</v>
      </c>
      <c r="E469" s="2" t="s">
        <v>29</v>
      </c>
      <c r="F469" s="1" t="s">
        <v>64</v>
      </c>
      <c r="G469" s="1" t="s">
        <v>43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-1</v>
      </c>
      <c r="L469" s="2">
        <f>Games[[#This Row],[OppDaysOff]]-Games[[#This Row],[DaysOff]]</f>
        <v>1</v>
      </c>
      <c r="M469" s="16">
        <f>MAX(-16, MIN(16, Games[[#This Row],[RestDiff]]*8))</f>
        <v>-8</v>
      </c>
      <c r="N469" s="16">
        <f>MAX(-16, MIN(16, Games[[#This Row],[OppRestDiff]]*8))</f>
        <v>8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1347.0803055540359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1539.2016397422369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0.32860530474248173</v>
      </c>
      <c r="R469" s="1">
        <v>84</v>
      </c>
      <c r="S469" s="1">
        <v>82</v>
      </c>
      <c r="T469" s="1">
        <v>0</v>
      </c>
      <c r="U469" s="16">
        <f>Games[[#This Row],[PointsFor]]-Games[[#This Row],[PointsAgainst]]</f>
        <v>2</v>
      </c>
      <c r="V469" s="16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0.23087756582584806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9" s="9">
        <f>MAX(kmin, kmax - 0.15 * MIN(Games[[#This Row],[GamesPlayed]], 82))</f>
        <v>71.5</v>
      </c>
      <c r="Z469" s="4">
        <f>Games[[#This Row],[K]]*Games[[#This Row],[POMult]]</f>
        <v>71.5</v>
      </c>
      <c r="AA469" s="4">
        <f>(Games[[#This Row],[Keff]]*Games[[#This Row],[MOVMult]])*(Games[[#This Row],[Result]]-Games[[#This Row],[ExpectedWin%]])</f>
        <v>11.083213065885165</v>
      </c>
      <c r="AB469" s="4">
        <f>Games[[#This Row],[PreGmRate]]+Games[[#This Row],[RatingChange]]</f>
        <v>1358.1635186199212</v>
      </c>
      <c r="AC469" s="2">
        <f>IF(Games[[#This Row],[Type]]="R",IF(Games[[#This Row],[Result]]&gt;0.5,1,0),0)</f>
        <v>1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36743</v>
      </c>
      <c r="B470" s="2">
        <v>2000</v>
      </c>
      <c r="C470" s="2">
        <f>COUNTIFS(Games[Team],Games[[#This Row],[Team]],Games[Season],Games[[#This Row],[Season]],Games[Date],"&lt;=" &amp; Games[[#This Row],[Date]])</f>
        <v>30</v>
      </c>
      <c r="D470" s="2" t="s">
        <v>23</v>
      </c>
      <c r="E470" s="2" t="s">
        <v>29</v>
      </c>
      <c r="F470" s="1" t="s">
        <v>71</v>
      </c>
      <c r="G470" s="1" t="s">
        <v>44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1</v>
      </c>
      <c r="L470" s="2">
        <f>Games[[#This Row],[OppDaysOff]]-Games[[#This Row],[DaysOff]]</f>
        <v>-1</v>
      </c>
      <c r="M470" s="16">
        <f>MAX(-16, MIN(16, Games[[#This Row],[RestDiff]]*8))</f>
        <v>8</v>
      </c>
      <c r="N470" s="16">
        <f>MAX(-16, MIN(16, Games[[#This Row],[OppRestDiff]]*8))</f>
        <v>-8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1739.3899812086677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1600.4113318143607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0.60074876777743391</v>
      </c>
      <c r="R470" s="1">
        <v>77</v>
      </c>
      <c r="S470" s="1">
        <v>63</v>
      </c>
      <c r="T470" s="1">
        <v>0</v>
      </c>
      <c r="U470" s="16">
        <f>Games[[#This Row],[PointsFor]]-Games[[#This Row],[PointsAgainst]]</f>
        <v>14</v>
      </c>
      <c r="V470" s="16">
        <f>IF(Games[[#This Row],[MOV]]&gt;0,1,IF(Games[[#This Row],[MOV]]=0,0.5,0))</f>
        <v>1</v>
      </c>
      <c r="W470" s="4">
        <f>((ABS(Games[[#This Row],[MOV]])+5)^0.6)/(12+0.01*(ABS(Games[[#This Row],[PreGmRate]]-Games[[#This Row],[OppPreGmRate]])))*IF(Games[[#This Row],[OT]]=1,0.9,1)</f>
        <v>0.43699705331792077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0" s="9">
        <f>MAX(kmin, kmax - 0.15 * MIN(Games[[#This Row],[GamesPlayed]], 82))</f>
        <v>71.5</v>
      </c>
      <c r="Z470" s="4">
        <f>Games[[#This Row],[K]]*Games[[#This Row],[POMult]]</f>
        <v>71.5</v>
      </c>
      <c r="AA470" s="4">
        <f>(Games[[#This Row],[Keff]]*Games[[#This Row],[MOVMult]])*(Games[[#This Row],[Result]]-Games[[#This Row],[ExpectedWin%]])</f>
        <v>12.474720259058936</v>
      </c>
      <c r="AB470" s="4">
        <f>Games[[#This Row],[PreGmRate]]+Games[[#This Row],[RatingChange]]</f>
        <v>1751.8647014677267</v>
      </c>
      <c r="AC470" s="2">
        <f>IF(Games[[#This Row],[Type]]="R",IF(Games[[#This Row],[Result]]&gt;0.5,1,0),0)</f>
        <v>1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36743</v>
      </c>
      <c r="B471" s="2">
        <v>2000</v>
      </c>
      <c r="C471" s="2">
        <f>COUNTIFS(Games[Team],Games[[#This Row],[Team]],Games[Season],Games[[#This Row],[Season]],Games[Date],"&lt;=" &amp; Games[[#This Row],[Date]])</f>
        <v>30</v>
      </c>
      <c r="D471" s="2" t="s">
        <v>23</v>
      </c>
      <c r="E471" s="2" t="s">
        <v>29</v>
      </c>
      <c r="F471" s="1" t="s">
        <v>44</v>
      </c>
      <c r="G471" s="1" t="s">
        <v>71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1" s="2">
        <f>Games[[#This Row],[DaysOff]]-Games[[#This Row],[OppDaysOff]]</f>
        <v>-1</v>
      </c>
      <c r="L471" s="2">
        <f>Games[[#This Row],[OppDaysOff]]-Games[[#This Row],[DaysOff]]</f>
        <v>1</v>
      </c>
      <c r="M471" s="16">
        <f>MAX(-16, MIN(16, Games[[#This Row],[RestDiff]]*8))</f>
        <v>-8</v>
      </c>
      <c r="N471" s="16">
        <f>MAX(-16, MIN(16, Games[[#This Row],[OppRestDiff]]*8))</f>
        <v>8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1600.4113318143607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1739.3899812086677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0.39925123222256609</v>
      </c>
      <c r="R471" s="1">
        <v>63</v>
      </c>
      <c r="S471" s="1">
        <v>77</v>
      </c>
      <c r="T471" s="1">
        <v>0</v>
      </c>
      <c r="U471" s="16">
        <f>Games[[#This Row],[PointsFor]]-Games[[#This Row],[PointsAgainst]]</f>
        <v>-14</v>
      </c>
      <c r="V471" s="16">
        <f>IF(Games[[#This Row],[MOV]]&gt;0,1,IF(Games[[#This Row],[MOV]]=0,0.5,0))</f>
        <v>0</v>
      </c>
      <c r="W471" s="4">
        <f>((ABS(Games[[#This Row],[MOV]])+5)^0.6)/(12+0.01*(ABS(Games[[#This Row],[PreGmRate]]-Games[[#This Row],[OppPreGmRate]])))*IF(Games[[#This Row],[OT]]=1,0.9,1)</f>
        <v>0.43699705331792077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1" s="9">
        <f>MAX(kmin, kmax - 0.15 * MIN(Games[[#This Row],[GamesPlayed]], 82))</f>
        <v>71.5</v>
      </c>
      <c r="Z471" s="4">
        <f>Games[[#This Row],[K]]*Games[[#This Row],[POMult]]</f>
        <v>71.5</v>
      </c>
      <c r="AA471" s="4">
        <f>(Games[[#This Row],[Keff]]*Games[[#This Row],[MOVMult]])*(Games[[#This Row],[Result]]-Games[[#This Row],[ExpectedWin%]])</f>
        <v>-12.474720259058936</v>
      </c>
      <c r="AB471" s="4">
        <f>Games[[#This Row],[PreGmRate]]+Games[[#This Row],[RatingChange]]</f>
        <v>1587.9366115553016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1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36744</v>
      </c>
      <c r="B472" s="2">
        <v>2000</v>
      </c>
      <c r="C472" s="2">
        <f>COUNTIFS(Games[Team],Games[[#This Row],[Team]],Games[Season],Games[[#This Row],[Season]],Games[Date],"&lt;=" &amp; Games[[#This Row],[Date]])</f>
        <v>30</v>
      </c>
      <c r="D472" s="2" t="s">
        <v>23</v>
      </c>
      <c r="E472" s="2" t="s">
        <v>29</v>
      </c>
      <c r="F472" s="1" t="s">
        <v>75</v>
      </c>
      <c r="G472" s="1" t="s">
        <v>1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6">
        <f>MAX(-16, MIN(16, Games[[#This Row],[RestDiff]]*8))</f>
        <v>0</v>
      </c>
      <c r="N472" s="16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1436.8260196980971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1497.9929611571297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0.30245213773278701</v>
      </c>
      <c r="R472" s="1">
        <v>60</v>
      </c>
      <c r="S472" s="1">
        <v>77</v>
      </c>
      <c r="T472" s="1">
        <v>0</v>
      </c>
      <c r="U472" s="16">
        <f>Games[[#This Row],[PointsFor]]-Games[[#This Row],[PointsAgainst]]</f>
        <v>-17</v>
      </c>
      <c r="V472" s="16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0.50661848316387359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2" s="9">
        <f>MAX(kmin, kmax - 0.15 * MIN(Games[[#This Row],[GamesPlayed]], 82))</f>
        <v>71.5</v>
      </c>
      <c r="Z472" s="4">
        <f>Games[[#This Row],[K]]*Games[[#This Row],[POMult]]</f>
        <v>71.5</v>
      </c>
      <c r="AA472" s="4">
        <f>(Games[[#This Row],[Keff]]*Games[[#This Row],[MOVMult]])*(Games[[#This Row],[Result]]-Games[[#This Row],[ExpectedWin%]])</f>
        <v>-10.95579079222167</v>
      </c>
      <c r="AB472" s="4">
        <f>Games[[#This Row],[PreGmRate]]+Games[[#This Row],[RatingChange]]</f>
        <v>1425.8702289058754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1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36744</v>
      </c>
      <c r="B473" s="2">
        <v>2000</v>
      </c>
      <c r="C473" s="2">
        <f>COUNTIFS(Games[Team],Games[[#This Row],[Team]],Games[Season],Games[[#This Row],[Season]],Games[Date],"&lt;=" &amp; Games[[#This Row],[Date]])</f>
        <v>30</v>
      </c>
      <c r="D473" s="2" t="s">
        <v>23</v>
      </c>
      <c r="E473" s="2" t="s">
        <v>29</v>
      </c>
      <c r="F473" s="1" t="s">
        <v>1</v>
      </c>
      <c r="G473" s="1" t="s">
        <v>75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6">
        <f>MAX(-16, MIN(16, Games[[#This Row],[RestDiff]]*8))</f>
        <v>0</v>
      </c>
      <c r="N473" s="16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1497.9929611571297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1436.8260196980971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0.69754786226721299</v>
      </c>
      <c r="R473" s="1">
        <v>77</v>
      </c>
      <c r="S473" s="1">
        <v>60</v>
      </c>
      <c r="T473" s="1">
        <v>0</v>
      </c>
      <c r="U473" s="16">
        <f>Games[[#This Row],[PointsFor]]-Games[[#This Row],[PointsAgainst]]</f>
        <v>17</v>
      </c>
      <c r="V473" s="16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0.50661848316387359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3" s="9">
        <f>MAX(kmin, kmax - 0.15 * MIN(Games[[#This Row],[GamesPlayed]], 82))</f>
        <v>71.5</v>
      </c>
      <c r="Z473" s="4">
        <f>Games[[#This Row],[K]]*Games[[#This Row],[POMult]]</f>
        <v>71.5</v>
      </c>
      <c r="AA473" s="4">
        <f>(Games[[#This Row],[Keff]]*Games[[#This Row],[MOVMult]])*(Games[[#This Row],[Result]]-Games[[#This Row],[ExpectedWin%]])</f>
        <v>10.95579079222167</v>
      </c>
      <c r="AB473" s="4">
        <f>Games[[#This Row],[PreGmRate]]+Games[[#This Row],[RatingChange]]</f>
        <v>1508.9487519493514</v>
      </c>
      <c r="AC473" s="2">
        <f>IF(Games[[#This Row],[Type]]="R",IF(Games[[#This Row],[Result]]&gt;0.5,1,0),0)</f>
        <v>1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36744</v>
      </c>
      <c r="B474" s="2">
        <v>2000</v>
      </c>
      <c r="C474" s="2">
        <f>COUNTIFS(Games[Team],Games[[#This Row],[Team]],Games[Season],Games[[#This Row],[Season]],Games[Date],"&lt;=" &amp; Games[[#This Row],[Date]])</f>
        <v>30</v>
      </c>
      <c r="D474" s="2" t="s">
        <v>23</v>
      </c>
      <c r="E474" s="2" t="s">
        <v>29</v>
      </c>
      <c r="F474" s="1" t="s">
        <v>66</v>
      </c>
      <c r="G474" s="1" t="s">
        <v>83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6">
        <f>MAX(-16, MIN(16, Games[[#This Row],[RestDiff]]*8))</f>
        <v>0</v>
      </c>
      <c r="N474" s="16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1608.3714593548741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1399.291194153664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0.6726113959093678</v>
      </c>
      <c r="R474" s="1">
        <v>41</v>
      </c>
      <c r="S474" s="1">
        <v>57</v>
      </c>
      <c r="T474" s="1">
        <v>0</v>
      </c>
      <c r="U474" s="16">
        <f>Games[[#This Row],[PointsFor]]-Games[[#This Row],[PointsAgainst]]</f>
        <v>-16</v>
      </c>
      <c r="V474" s="16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0.44095659706606516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4" s="9">
        <f>MAX(kmin, kmax - 0.15 * MIN(Games[[#This Row],[GamesPlayed]], 82))</f>
        <v>71.5</v>
      </c>
      <c r="Z474" s="4">
        <f>Games[[#This Row],[K]]*Games[[#This Row],[POMult]]</f>
        <v>71.5</v>
      </c>
      <c r="AA474" s="4">
        <f>(Games[[#This Row],[Keff]]*Games[[#This Row],[MOVMult]])*(Games[[#This Row],[Result]]-Games[[#This Row],[ExpectedWin%]])</f>
        <v>-21.206358908595625</v>
      </c>
      <c r="AB474" s="4">
        <f>Games[[#This Row],[PreGmRate]]+Games[[#This Row],[RatingChange]]</f>
        <v>1587.1651004462785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1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36744</v>
      </c>
      <c r="B475" s="2">
        <v>2000</v>
      </c>
      <c r="C475" s="2">
        <f>COUNTIFS(Games[Team],Games[[#This Row],[Team]],Games[Season],Games[[#This Row],[Season]],Games[Date],"&lt;=" &amp; Games[[#This Row],[Date]])</f>
        <v>31</v>
      </c>
      <c r="D475" s="2" t="s">
        <v>23</v>
      </c>
      <c r="E475" s="2" t="s">
        <v>29</v>
      </c>
      <c r="F475" s="1" t="s">
        <v>83</v>
      </c>
      <c r="G475" s="1" t="s">
        <v>66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6">
        <f>MAX(-16, MIN(16, Games[[#This Row],[RestDiff]]*8))</f>
        <v>0</v>
      </c>
      <c r="N475" s="16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1399.291194153664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1608.3714593548741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0.32738860409063225</v>
      </c>
      <c r="R475" s="1">
        <v>57</v>
      </c>
      <c r="S475" s="1">
        <v>41</v>
      </c>
      <c r="T475" s="1">
        <v>0</v>
      </c>
      <c r="U475" s="16">
        <f>Games[[#This Row],[PointsFor]]-Games[[#This Row],[PointsAgainst]]</f>
        <v>16</v>
      </c>
      <c r="V475" s="16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0.44095659706606516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5" s="9">
        <f>MAX(kmin, kmax - 0.15 * MIN(Games[[#This Row],[GamesPlayed]], 82))</f>
        <v>71.349999999999994</v>
      </c>
      <c r="Z475" s="4">
        <f>Games[[#This Row],[K]]*Games[[#This Row],[POMult]]</f>
        <v>71.349999999999994</v>
      </c>
      <c r="AA475" s="4">
        <f>(Games[[#This Row],[Keff]]*Games[[#This Row],[MOVMult]])*(Games[[#This Row],[Result]]-Games[[#This Row],[ExpectedWin%]])</f>
        <v>21.161870043752415</v>
      </c>
      <c r="AB475" s="4">
        <f>Games[[#This Row],[PreGmRate]]+Games[[#This Row],[RatingChange]]</f>
        <v>1420.4530641974166</v>
      </c>
      <c r="AC475" s="2">
        <f>IF(Games[[#This Row],[Type]]="R",IF(Games[[#This Row],[Result]]&gt;0.5,1,0),0)</f>
        <v>1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36744</v>
      </c>
      <c r="B476" s="2">
        <v>2000</v>
      </c>
      <c r="C476" s="2">
        <f>COUNTIFS(Games[Team],Games[[#This Row],[Team]],Games[Season],Games[[#This Row],[Season]],Games[Date],"&lt;=" &amp; Games[[#This Row],[Date]])</f>
        <v>30</v>
      </c>
      <c r="D476" s="2" t="s">
        <v>23</v>
      </c>
      <c r="E476" s="2" t="s">
        <v>29</v>
      </c>
      <c r="F476" s="1" t="s">
        <v>85</v>
      </c>
      <c r="G476" s="1" t="s">
        <v>80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6">
        <f>MAX(-16, MIN(16, Games[[#This Row],[RestDiff]]*8))</f>
        <v>0</v>
      </c>
      <c r="N476" s="16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1403.5657265263924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1461.3659342566405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0.30655651629957259</v>
      </c>
      <c r="R476" s="1">
        <v>75</v>
      </c>
      <c r="S476" s="1">
        <v>80</v>
      </c>
      <c r="T476" s="1">
        <v>0</v>
      </c>
      <c r="U476" s="16">
        <f>Games[[#This Row],[PointsFor]]-Games[[#This Row],[PointsAgainst]]</f>
        <v>-5</v>
      </c>
      <c r="V476" s="16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0.31651065734191436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6" s="9">
        <f>MAX(kmin, kmax - 0.15 * MIN(Games[[#This Row],[GamesPlayed]], 82))</f>
        <v>71.5</v>
      </c>
      <c r="Z476" s="4">
        <f>Games[[#This Row],[K]]*Games[[#This Row],[POMult]]</f>
        <v>71.5</v>
      </c>
      <c r="AA476" s="4">
        <f>(Games[[#This Row],[Keff]]*Games[[#This Row],[MOVMult]])*(Games[[#This Row],[Result]]-Games[[#This Row],[ExpectedWin%]])</f>
        <v>-6.9375309207793876</v>
      </c>
      <c r="AB476" s="4">
        <f>Games[[#This Row],[PreGmRate]]+Games[[#This Row],[RatingChange]]</f>
        <v>1396.628195605613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1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36744</v>
      </c>
      <c r="B477" s="2">
        <v>2000</v>
      </c>
      <c r="C477" s="2">
        <f>COUNTIFS(Games[Team],Games[[#This Row],[Team]],Games[Season],Games[[#This Row],[Season]],Games[Date],"&lt;=" &amp; Games[[#This Row],[Date]])</f>
        <v>30</v>
      </c>
      <c r="D477" s="2" t="s">
        <v>23</v>
      </c>
      <c r="E477" s="2" t="s">
        <v>29</v>
      </c>
      <c r="F477" s="1" t="s">
        <v>80</v>
      </c>
      <c r="G477" s="1" t="s">
        <v>85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6">
        <f>MAX(-16, MIN(16, Games[[#This Row],[RestDiff]]*8))</f>
        <v>0</v>
      </c>
      <c r="N477" s="16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1461.3659342566405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1403.5657265263924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0.69344348370042741</v>
      </c>
      <c r="R477" s="1">
        <v>80</v>
      </c>
      <c r="S477" s="1">
        <v>75</v>
      </c>
      <c r="T477" s="1">
        <v>0</v>
      </c>
      <c r="U477" s="16">
        <f>Games[[#This Row],[PointsFor]]-Games[[#This Row],[PointsAgainst]]</f>
        <v>5</v>
      </c>
      <c r="V477" s="16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0.31651065734191436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7" s="9">
        <f>MAX(kmin, kmax - 0.15 * MIN(Games[[#This Row],[GamesPlayed]], 82))</f>
        <v>71.5</v>
      </c>
      <c r="Z477" s="4">
        <f>Games[[#This Row],[K]]*Games[[#This Row],[POMult]]</f>
        <v>71.5</v>
      </c>
      <c r="AA477" s="4">
        <f>(Games[[#This Row],[Keff]]*Games[[#This Row],[MOVMult]])*(Games[[#This Row],[Result]]-Games[[#This Row],[ExpectedWin%]])</f>
        <v>6.9375309207793876</v>
      </c>
      <c r="AB477" s="4">
        <f>Games[[#This Row],[PreGmRate]]+Games[[#This Row],[RatingChange]]</f>
        <v>1468.3034651774199</v>
      </c>
      <c r="AC477" s="2">
        <f>IF(Games[[#This Row],[Type]]="R",IF(Games[[#This Row],[Result]]&gt;0.5,1,0),0)</f>
        <v>1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36744</v>
      </c>
      <c r="B478" s="2">
        <v>2000</v>
      </c>
      <c r="C478" s="2">
        <f>COUNTIFS(Games[Team],Games[[#This Row],[Team]],Games[Season],Games[[#This Row],[Season]],Games[Date],"&lt;=" &amp; Games[[#This Row],[Date]])</f>
        <v>30</v>
      </c>
      <c r="D478" s="2" t="s">
        <v>23</v>
      </c>
      <c r="E478" s="2" t="s">
        <v>29</v>
      </c>
      <c r="F478" s="1" t="s">
        <v>77</v>
      </c>
      <c r="G478" s="1" t="s">
        <v>79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6">
        <f>MAX(-16, MIN(16, Games[[#This Row],[RestDiff]]*8))</f>
        <v>0</v>
      </c>
      <c r="N478" s="16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1416.1135039610108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1456.4982190538142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0.32827089452816421</v>
      </c>
      <c r="R478" s="1">
        <v>63</v>
      </c>
      <c r="S478" s="1">
        <v>92</v>
      </c>
      <c r="T478" s="1">
        <v>0</v>
      </c>
      <c r="U478" s="16">
        <f>Games[[#This Row],[PointsFor]]-Games[[#This Row],[PointsAgainst]]</f>
        <v>-29</v>
      </c>
      <c r="V478" s="16">
        <f>IF(Games[[#This Row],[MOV]]&gt;0,1,IF(Games[[#This Row],[MOV]]=0,0.5,0))</f>
        <v>0</v>
      </c>
      <c r="W478" s="4">
        <f>((ABS(Games[[#This Row],[MOV]])+5)^0.6)/(12+0.01*(ABS(Games[[#This Row],[PreGmRate]]-Games[[#This Row],[OppPreGmRate]])))*IF(Games[[#This Row],[OT]]=1,0.9,1)</f>
        <v>0.66885340807433069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8" s="9">
        <f>MAX(kmin, kmax - 0.15 * MIN(Games[[#This Row],[GamesPlayed]], 82))</f>
        <v>71.5</v>
      </c>
      <c r="Z478" s="4">
        <f>Games[[#This Row],[K]]*Games[[#This Row],[POMult]]</f>
        <v>71.5</v>
      </c>
      <c r="AA478" s="4">
        <f>(Games[[#This Row],[Keff]]*Games[[#This Row],[MOVMult]])*(Games[[#This Row],[Result]]-Games[[#This Row],[ExpectedWin%]])</f>
        <v>-15.698905120239182</v>
      </c>
      <c r="AB478" s="4">
        <f>Games[[#This Row],[PreGmRate]]+Games[[#This Row],[RatingChange]]</f>
        <v>1400.4145988407715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1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36744</v>
      </c>
      <c r="B479" s="2">
        <v>2000</v>
      </c>
      <c r="C479" s="2">
        <f>COUNTIFS(Games[Team],Games[[#This Row],[Team]],Games[Season],Games[[#This Row],[Season]],Games[Date],"&lt;=" &amp; Games[[#This Row],[Date]])</f>
        <v>30</v>
      </c>
      <c r="D479" s="2" t="s">
        <v>23</v>
      </c>
      <c r="E479" s="2" t="s">
        <v>29</v>
      </c>
      <c r="F479" s="1" t="s">
        <v>79</v>
      </c>
      <c r="G479" s="1" t="s">
        <v>77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6">
        <f>MAX(-16, MIN(16, Games[[#This Row],[RestDiff]]*8))</f>
        <v>0</v>
      </c>
      <c r="N479" s="16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1456.4982190538142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1416.1135039610108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0.67172910547183584</v>
      </c>
      <c r="R479" s="1">
        <v>92</v>
      </c>
      <c r="S479" s="1">
        <v>63</v>
      </c>
      <c r="T479" s="1">
        <v>0</v>
      </c>
      <c r="U479" s="16">
        <f>Games[[#This Row],[PointsFor]]-Games[[#This Row],[PointsAgainst]]</f>
        <v>29</v>
      </c>
      <c r="V479" s="16">
        <f>IF(Games[[#This Row],[MOV]]&gt;0,1,IF(Games[[#This Row],[MOV]]=0,0.5,0))</f>
        <v>1</v>
      </c>
      <c r="W479" s="4">
        <f>((ABS(Games[[#This Row],[MOV]])+5)^0.6)/(12+0.01*(ABS(Games[[#This Row],[PreGmRate]]-Games[[#This Row],[OppPreGmRate]])))*IF(Games[[#This Row],[OT]]=1,0.9,1)</f>
        <v>0.66885340807433069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9" s="9">
        <f>MAX(kmin, kmax - 0.15 * MIN(Games[[#This Row],[GamesPlayed]], 82))</f>
        <v>71.5</v>
      </c>
      <c r="Z479" s="4">
        <f>Games[[#This Row],[K]]*Games[[#This Row],[POMult]]</f>
        <v>71.5</v>
      </c>
      <c r="AA479" s="4">
        <f>(Games[[#This Row],[Keff]]*Games[[#This Row],[MOVMult]])*(Games[[#This Row],[Result]]-Games[[#This Row],[ExpectedWin%]])</f>
        <v>15.69890512023918</v>
      </c>
      <c r="AB479" s="4">
        <f>Games[[#This Row],[PreGmRate]]+Games[[#This Row],[RatingChange]]</f>
        <v>1472.1971241740534</v>
      </c>
      <c r="AC479" s="2">
        <f>IF(Games[[#This Row],[Type]]="R",IF(Games[[#This Row],[Result]]&gt;0.5,1,0),0)</f>
        <v>1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36744</v>
      </c>
      <c r="B480" s="2">
        <v>2000</v>
      </c>
      <c r="C480" s="2">
        <f>COUNTIFS(Games[Team],Games[[#This Row],[Team]],Games[Season],Games[[#This Row],[Season]],Games[Date],"&lt;=" &amp; Games[[#This Row],[Date]])</f>
        <v>30</v>
      </c>
      <c r="D480" s="2" t="s">
        <v>23</v>
      </c>
      <c r="E480" s="2" t="s">
        <v>29</v>
      </c>
      <c r="F480" s="1" t="s">
        <v>2</v>
      </c>
      <c r="G480" s="1" t="s">
        <v>45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6">
        <f>MAX(-16, MIN(16, Games[[#This Row],[RestDiff]]*8))</f>
        <v>0</v>
      </c>
      <c r="N480" s="16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1716.2435670489313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1625.4384968154618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0.50979203114572791</v>
      </c>
      <c r="R480" s="1">
        <v>76</v>
      </c>
      <c r="S480" s="1">
        <v>63</v>
      </c>
      <c r="T480" s="1">
        <v>0</v>
      </c>
      <c r="U480" s="16">
        <f>Games[[#This Row],[PointsFor]]-Games[[#This Row],[PointsAgainst]]</f>
        <v>13</v>
      </c>
      <c r="V480" s="16">
        <f>IF(Games[[#This Row],[MOV]]&gt;0,1,IF(Games[[#This Row],[MOV]]=0,0.5,0))</f>
        <v>1</v>
      </c>
      <c r="W480" s="4">
        <f>((ABS(Games[[#This Row],[MOV]])+5)^0.6)/(12+0.01*(ABS(Games[[#This Row],[PreGmRate]]-Games[[#This Row],[OppPreGmRate]])))*IF(Games[[#This Row],[OT]]=1,0.9,1)</f>
        <v>0.4388365988324528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0" s="9">
        <f>MAX(kmin, kmax - 0.15 * MIN(Games[[#This Row],[GamesPlayed]], 82))</f>
        <v>71.5</v>
      </c>
      <c r="Z480" s="4">
        <f>Games[[#This Row],[K]]*Games[[#This Row],[POMult]]</f>
        <v>71.5</v>
      </c>
      <c r="AA480" s="4">
        <f>(Games[[#This Row],[Keff]]*Games[[#This Row],[MOVMult]])*(Games[[#This Row],[Result]]-Games[[#This Row],[ExpectedWin%]])</f>
        <v>15.38116564073902</v>
      </c>
      <c r="AB480" s="4">
        <f>Games[[#This Row],[PreGmRate]]+Games[[#This Row],[RatingChange]]</f>
        <v>1731.6247326896703</v>
      </c>
      <c r="AC480" s="2">
        <f>IF(Games[[#This Row],[Type]]="R",IF(Games[[#This Row],[Result]]&gt;0.5,1,0),0)</f>
        <v>1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36744</v>
      </c>
      <c r="B481" s="2">
        <v>2000</v>
      </c>
      <c r="C481" s="2">
        <f>COUNTIFS(Games[Team],Games[[#This Row],[Team]],Games[Season],Games[[#This Row],[Season]],Games[Date],"&lt;=" &amp; Games[[#This Row],[Date]])</f>
        <v>31</v>
      </c>
      <c r="D481" s="2" t="s">
        <v>23</v>
      </c>
      <c r="E481" s="2" t="s">
        <v>29</v>
      </c>
      <c r="F481" s="1" t="s">
        <v>45</v>
      </c>
      <c r="G481" s="1" t="s">
        <v>2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6">
        <f>MAX(-16, MIN(16, Games[[#This Row],[RestDiff]]*8))</f>
        <v>0</v>
      </c>
      <c r="N481" s="16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1625.4384968154618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1716.2435670489313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0.49020796885427204</v>
      </c>
      <c r="R481" s="1">
        <v>63</v>
      </c>
      <c r="S481" s="1">
        <v>76</v>
      </c>
      <c r="T481" s="1">
        <v>0</v>
      </c>
      <c r="U481" s="16">
        <f>Games[[#This Row],[PointsFor]]-Games[[#This Row],[PointsAgainst]]</f>
        <v>-13</v>
      </c>
      <c r="V481" s="16">
        <f>IF(Games[[#This Row],[MOV]]&gt;0,1,IF(Games[[#This Row],[MOV]]=0,0.5,0))</f>
        <v>0</v>
      </c>
      <c r="W481" s="4">
        <f>((ABS(Games[[#This Row],[MOV]])+5)^0.6)/(12+0.01*(ABS(Games[[#This Row],[PreGmRate]]-Games[[#This Row],[OppPreGmRate]])))*IF(Games[[#This Row],[OT]]=1,0.9,1)</f>
        <v>0.4388365988324528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1" s="9">
        <f>MAX(kmin, kmax - 0.15 * MIN(Games[[#This Row],[GamesPlayed]], 82))</f>
        <v>71.349999999999994</v>
      </c>
      <c r="Z481" s="4">
        <f>Games[[#This Row],[K]]*Games[[#This Row],[POMult]]</f>
        <v>71.349999999999994</v>
      </c>
      <c r="AA481" s="4">
        <f>(Games[[#This Row],[Keff]]*Games[[#This Row],[MOVMult]])*(Games[[#This Row],[Result]]-Games[[#This Row],[ExpectedWin%]])</f>
        <v>-15.348897461073131</v>
      </c>
      <c r="AB481" s="4">
        <f>Games[[#This Row],[PreGmRate]]+Games[[#This Row],[RatingChange]]</f>
        <v>1610.0895993543886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1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36744</v>
      </c>
      <c r="B482" s="2">
        <v>2000</v>
      </c>
      <c r="C482" s="2">
        <f>COUNTIFS(Games[Team],Games[[#This Row],[Team]],Games[Season],Games[[#This Row],[Season]],Games[Date],"&lt;=" &amp; Games[[#This Row],[Date]])</f>
        <v>30</v>
      </c>
      <c r="D482" s="2" t="s">
        <v>23</v>
      </c>
      <c r="E482" s="2" t="s">
        <v>29</v>
      </c>
      <c r="F482" s="1" t="s">
        <v>89</v>
      </c>
      <c r="G482" s="1" t="s">
        <v>87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2" s="2">
        <f>Games[[#This Row],[DaysOff]]-Games[[#This Row],[OppDaysOff]]</f>
        <v>-1</v>
      </c>
      <c r="L482" s="2">
        <f>Games[[#This Row],[OppDaysOff]]-Games[[#This Row],[DaysOff]]</f>
        <v>1</v>
      </c>
      <c r="M482" s="16">
        <f>MAX(-16, MIN(16, Games[[#This Row],[RestDiff]]*8))</f>
        <v>-8</v>
      </c>
      <c r="N482" s="16">
        <f>MAX(-16, MIN(16, Games[[#This Row],[OppRestDiff]]*8))</f>
        <v>8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1430.1788744918556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1321.0655184534678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0.51311216654578584</v>
      </c>
      <c r="R482" s="1">
        <v>58</v>
      </c>
      <c r="S482" s="1">
        <v>66</v>
      </c>
      <c r="T482" s="1">
        <v>1</v>
      </c>
      <c r="U482" s="16">
        <f>Games[[#This Row],[PointsFor]]-Games[[#This Row],[PointsAgainst]]</f>
        <v>-8</v>
      </c>
      <c r="V482" s="16">
        <f>IF(Games[[#This Row],[MOV]]&gt;0,1,IF(Games[[#This Row],[MOV]]=0,0.5,0))</f>
        <v>0</v>
      </c>
      <c r="W482" s="4">
        <f>((ABS(Games[[#This Row],[MOV]])+5)^0.6)/(12+0.01*(ABS(Games[[#This Row],[PreGmRate]]-Games[[#This Row],[OppPreGmRate]])))*IF(Games[[#This Row],[OT]]=1,0.9,1)</f>
        <v>0.32035482326172848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2" s="9">
        <f>MAX(kmin, kmax - 0.15 * MIN(Games[[#This Row],[GamesPlayed]], 82))</f>
        <v>71.5</v>
      </c>
      <c r="Z482" s="4">
        <f>Games[[#This Row],[K]]*Games[[#This Row],[POMult]]</f>
        <v>71.5</v>
      </c>
      <c r="AA482" s="4">
        <f>(Games[[#This Row],[Keff]]*Games[[#This Row],[MOVMult]])*(Games[[#This Row],[Result]]-Games[[#This Row],[ExpectedWin%]])</f>
        <v>-11.753023956046073</v>
      </c>
      <c r="AB482" s="4">
        <f>Games[[#This Row],[PreGmRate]]+Games[[#This Row],[RatingChange]]</f>
        <v>1418.4258505358096</v>
      </c>
      <c r="AC482" s="2">
        <f>IF(Games[[#This Row],[Type]]="R",IF(Games[[#This Row],[Result]]&gt;0.5,1,0),0)</f>
        <v>0</v>
      </c>
      <c r="AD482" s="2">
        <f>IF(Games[[#This Row],[Type]]="R",IF(Games[[#This Row],[Result]]&lt;0.5,1,0),0)</f>
        <v>1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36744</v>
      </c>
      <c r="B483" s="2">
        <v>2000</v>
      </c>
      <c r="C483" s="2">
        <f>COUNTIFS(Games[Team],Games[[#This Row],[Team]],Games[Season],Games[[#This Row],[Season]],Games[Date],"&lt;=" &amp; Games[[#This Row],[Date]])</f>
        <v>30</v>
      </c>
      <c r="D483" s="2" t="s">
        <v>23</v>
      </c>
      <c r="E483" s="2" t="s">
        <v>29</v>
      </c>
      <c r="F483" s="1" t="s">
        <v>87</v>
      </c>
      <c r="G483" s="1" t="s">
        <v>89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3" s="2">
        <f>Games[[#This Row],[DaysOff]]-Games[[#This Row],[OppDaysOff]]</f>
        <v>1</v>
      </c>
      <c r="L483" s="2">
        <f>Games[[#This Row],[OppDaysOff]]-Games[[#This Row],[DaysOff]]</f>
        <v>-1</v>
      </c>
      <c r="M483" s="16">
        <f>MAX(-16, MIN(16, Games[[#This Row],[RestDiff]]*8))</f>
        <v>8</v>
      </c>
      <c r="N483" s="16">
        <f>MAX(-16, MIN(16, Games[[#This Row],[OppRestDiff]]*8))</f>
        <v>-8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1321.0655184534678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1430.1788744918556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0.4868878334542141</v>
      </c>
      <c r="R483" s="1">
        <v>66</v>
      </c>
      <c r="S483" s="1">
        <v>58</v>
      </c>
      <c r="T483" s="1">
        <v>1</v>
      </c>
      <c r="U483" s="16">
        <f>Games[[#This Row],[PointsFor]]-Games[[#This Row],[PointsAgainst]]</f>
        <v>8</v>
      </c>
      <c r="V483" s="16">
        <f>IF(Games[[#This Row],[MOV]]&gt;0,1,IF(Games[[#This Row],[MOV]]=0,0.5,0))</f>
        <v>1</v>
      </c>
      <c r="W483" s="4">
        <f>((ABS(Games[[#This Row],[MOV]])+5)^0.6)/(12+0.01*(ABS(Games[[#This Row],[PreGmRate]]-Games[[#This Row],[OppPreGmRate]])))*IF(Games[[#This Row],[OT]]=1,0.9,1)</f>
        <v>0.32035482326172848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3" s="9">
        <f>MAX(kmin, kmax - 0.15 * MIN(Games[[#This Row],[GamesPlayed]], 82))</f>
        <v>71.5</v>
      </c>
      <c r="Z483" s="4">
        <f>Games[[#This Row],[K]]*Games[[#This Row],[POMult]]</f>
        <v>71.5</v>
      </c>
      <c r="AA483" s="4">
        <f>(Games[[#This Row],[Keff]]*Games[[#This Row],[MOVMult]])*(Games[[#This Row],[Result]]-Games[[#This Row],[ExpectedWin%]])</f>
        <v>11.753023956046073</v>
      </c>
      <c r="AB483" s="4">
        <f>Games[[#This Row],[PreGmRate]]+Games[[#This Row],[RatingChange]]</f>
        <v>1332.8185424095138</v>
      </c>
      <c r="AC483" s="2">
        <f>IF(Games[[#This Row],[Type]]="R",IF(Games[[#This Row],[Result]]&gt;0.5,1,0),0)</f>
        <v>1</v>
      </c>
      <c r="AD483" s="2">
        <f>IF(Games[[#This Row],[Type]]="R",IF(Games[[#This Row],[Result]]&lt;0.5,1,0),0)</f>
        <v>0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36745</v>
      </c>
      <c r="B484" s="2">
        <v>2000</v>
      </c>
      <c r="C484" s="2">
        <f>COUNTIFS(Games[Team],Games[[#This Row],[Team]],Games[Season],Games[[#This Row],[Season]],Games[Date],"&lt;=" &amp; Games[[#This Row],[Date]])</f>
        <v>31</v>
      </c>
      <c r="D484" s="2" t="s">
        <v>23</v>
      </c>
      <c r="E484" s="2" t="s">
        <v>29</v>
      </c>
      <c r="F484" s="1" t="s">
        <v>77</v>
      </c>
      <c r="G484" s="1" t="s">
        <v>85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6">
        <f>MAX(-16, MIN(16, Games[[#This Row],[RestDiff]]*8))</f>
        <v>0</v>
      </c>
      <c r="N484" s="16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1400.4145988407715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1396.628195605613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0.38657156831272393</v>
      </c>
      <c r="R484" s="1">
        <v>74</v>
      </c>
      <c r="S484" s="1">
        <v>63</v>
      </c>
      <c r="T484" s="1">
        <v>0</v>
      </c>
      <c r="U484" s="16">
        <f>Games[[#This Row],[PointsFor]]-Games[[#This Row],[PointsAgainst]]</f>
        <v>11</v>
      </c>
      <c r="V484" s="16">
        <f>IF(Games[[#This Row],[MOV]]&gt;0,1,IF(Games[[#This Row],[MOV]]=0,0.5,0))</f>
        <v>1</v>
      </c>
      <c r="W484" s="4">
        <f>((ABS(Games[[#This Row],[MOV]])+5)^0.6)/(12+0.01*(ABS(Games[[#This Row],[PreGmRate]]-Games[[#This Row],[OppPreGmRate]])))*IF(Games[[#This Row],[OT]]=1,0.9,1)</f>
        <v>0.43845250527061475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4" s="9">
        <f>MAX(kmin, kmax - 0.15 * MIN(Games[[#This Row],[GamesPlayed]], 82))</f>
        <v>71.349999999999994</v>
      </c>
      <c r="Z484" s="4">
        <f>Games[[#This Row],[K]]*Games[[#This Row],[POMult]]</f>
        <v>71.349999999999994</v>
      </c>
      <c r="AA484" s="4">
        <f>(Games[[#This Row],[Keff]]*Games[[#This Row],[MOVMult]])*(Games[[#This Row],[Result]]-Games[[#This Row],[ExpectedWin%]])</f>
        <v>19.19024125154036</v>
      </c>
      <c r="AB484" s="4">
        <f>Games[[#This Row],[PreGmRate]]+Games[[#This Row],[RatingChange]]</f>
        <v>1419.6048400923119</v>
      </c>
      <c r="AC484" s="2">
        <f>IF(Games[[#This Row],[Type]]="R",IF(Games[[#This Row],[Result]]&gt;0.5,1,0),0)</f>
        <v>1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0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36745</v>
      </c>
      <c r="B485" s="2">
        <v>2000</v>
      </c>
      <c r="C485" s="2">
        <f>COUNTIFS(Games[Team],Games[[#This Row],[Team]],Games[Season],Games[[#This Row],[Season]],Games[Date],"&lt;=" &amp; Games[[#This Row],[Date]])</f>
        <v>31</v>
      </c>
      <c r="D485" s="2" t="s">
        <v>23</v>
      </c>
      <c r="E485" s="2" t="s">
        <v>29</v>
      </c>
      <c r="F485" s="1" t="s">
        <v>85</v>
      </c>
      <c r="G485" s="1" t="s">
        <v>77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6">
        <f>MAX(-16, MIN(16, Games[[#This Row],[RestDiff]]*8))</f>
        <v>0</v>
      </c>
      <c r="N485" s="16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1396.628195605613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1400.4145988407715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0.61342843168727601</v>
      </c>
      <c r="R485" s="1">
        <v>63</v>
      </c>
      <c r="S485" s="1">
        <v>74</v>
      </c>
      <c r="T485" s="1">
        <v>0</v>
      </c>
      <c r="U485" s="16">
        <f>Games[[#This Row],[PointsFor]]-Games[[#This Row],[PointsAgainst]]</f>
        <v>-11</v>
      </c>
      <c r="V485" s="16">
        <f>IF(Games[[#This Row],[MOV]]&gt;0,1,IF(Games[[#This Row],[MOV]]=0,0.5,0))</f>
        <v>0</v>
      </c>
      <c r="W485" s="4">
        <f>((ABS(Games[[#This Row],[MOV]])+5)^0.6)/(12+0.01*(ABS(Games[[#This Row],[PreGmRate]]-Games[[#This Row],[OppPreGmRate]])))*IF(Games[[#This Row],[OT]]=1,0.9,1)</f>
        <v>0.43845250527061475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5" s="9">
        <f>MAX(kmin, kmax - 0.15 * MIN(Games[[#This Row],[GamesPlayed]], 82))</f>
        <v>71.349999999999994</v>
      </c>
      <c r="Z485" s="4">
        <f>Games[[#This Row],[K]]*Games[[#This Row],[POMult]]</f>
        <v>71.349999999999994</v>
      </c>
      <c r="AA485" s="4">
        <f>(Games[[#This Row],[Keff]]*Games[[#This Row],[MOVMult]])*(Games[[#This Row],[Result]]-Games[[#This Row],[ExpectedWin%]])</f>
        <v>-19.19024125154036</v>
      </c>
      <c r="AB485" s="4">
        <f>Games[[#This Row],[PreGmRate]]+Games[[#This Row],[RatingChange]]</f>
        <v>1377.4379543540726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1</v>
      </c>
      <c r="AE485" s="2">
        <f>IF(AND(Games[[#This Row],[Type]]="P",Games[[#This Row],[Round]]=1),IF(Games[[#This Row],[Result]]&gt;0.5,1,0),0)</f>
        <v>0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36745</v>
      </c>
      <c r="B486" s="2">
        <v>2000</v>
      </c>
      <c r="C486" s="2">
        <f>COUNTIFS(Games[Team],Games[[#This Row],[Team]],Games[Season],Games[[#This Row],[Season]],Games[Date],"&lt;=" &amp; Games[[#This Row],[Date]])</f>
        <v>31</v>
      </c>
      <c r="D486" s="2" t="s">
        <v>23</v>
      </c>
      <c r="E486" s="2" t="s">
        <v>29</v>
      </c>
      <c r="F486" s="1" t="s">
        <v>75</v>
      </c>
      <c r="G486" s="1" t="s">
        <v>79</v>
      </c>
      <c r="H486" s="1" t="s">
        <v>16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6">
        <f>MAX(-16, MIN(16, Games[[#This Row],[RestDiff]]*8))</f>
        <v>0</v>
      </c>
      <c r="N486" s="16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1425.8702289058754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1472.1971241740534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0.32077294843786464</v>
      </c>
      <c r="R486" s="1">
        <v>57</v>
      </c>
      <c r="S486" s="1">
        <v>65</v>
      </c>
      <c r="T486" s="1">
        <v>0</v>
      </c>
      <c r="U486" s="16">
        <f>Games[[#This Row],[PointsFor]]-Games[[#This Row],[PointsAgainst]]</f>
        <v>-8</v>
      </c>
      <c r="V486" s="16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0.37388155850021981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6" s="9">
        <f>MAX(kmin, kmax - 0.15 * MIN(Games[[#This Row],[GamesPlayed]], 82))</f>
        <v>71.349999999999994</v>
      </c>
      <c r="Z486" s="4">
        <f>Games[[#This Row],[K]]*Games[[#This Row],[POMult]]</f>
        <v>71.349999999999994</v>
      </c>
      <c r="AA486" s="4">
        <f>(Games[[#This Row],[Keff]]*Games[[#This Row],[MOVMult]])*(Games[[#This Row],[Result]]-Games[[#This Row],[ExpectedWin%]])</f>
        <v>-8.5570832634131531</v>
      </c>
      <c r="AB486" s="4">
        <f>Games[[#This Row],[PreGmRate]]+Games[[#This Row],[RatingChange]]</f>
        <v>1417.3131456424621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1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0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36745</v>
      </c>
      <c r="B487" s="2">
        <v>2000</v>
      </c>
      <c r="C487" s="2">
        <f>COUNTIFS(Games[Team],Games[[#This Row],[Team]],Games[Season],Games[[#This Row],[Season]],Games[Date],"&lt;=" &amp; Games[[#This Row],[Date]])</f>
        <v>31</v>
      </c>
      <c r="D487" s="2" t="s">
        <v>23</v>
      </c>
      <c r="E487" s="2" t="s">
        <v>29</v>
      </c>
      <c r="F487" s="1" t="s">
        <v>79</v>
      </c>
      <c r="G487" s="1" t="s">
        <v>75</v>
      </c>
      <c r="H487" s="1" t="s">
        <v>15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6">
        <f>MAX(-16, MIN(16, Games[[#This Row],[RestDiff]]*8))</f>
        <v>0</v>
      </c>
      <c r="N487" s="16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1472.1971241740534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1425.8702289058754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0.67922705156213536</v>
      </c>
      <c r="R487" s="1">
        <v>65</v>
      </c>
      <c r="S487" s="1">
        <v>57</v>
      </c>
      <c r="T487" s="1">
        <v>0</v>
      </c>
      <c r="U487" s="16">
        <f>Games[[#This Row],[PointsFor]]-Games[[#This Row],[PointsAgainst]]</f>
        <v>8</v>
      </c>
      <c r="V487" s="16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0.37388155850021981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7" s="9">
        <f>MAX(kmin, kmax - 0.15 * MIN(Games[[#This Row],[GamesPlayed]], 82))</f>
        <v>71.349999999999994</v>
      </c>
      <c r="Z487" s="4">
        <f>Games[[#This Row],[K]]*Games[[#This Row],[POMult]]</f>
        <v>71.349999999999994</v>
      </c>
      <c r="AA487" s="4">
        <f>(Games[[#This Row],[Keff]]*Games[[#This Row],[MOVMult]])*(Games[[#This Row],[Result]]-Games[[#This Row],[ExpectedWin%]])</f>
        <v>8.5570832634131531</v>
      </c>
      <c r="AB487" s="4">
        <f>Games[[#This Row],[PreGmRate]]+Games[[#This Row],[RatingChange]]</f>
        <v>1480.7542074374667</v>
      </c>
      <c r="AC487" s="2">
        <f>IF(Games[[#This Row],[Type]]="R",IF(Games[[#This Row],[Result]]&gt;0.5,1,0),0)</f>
        <v>1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0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36745</v>
      </c>
      <c r="B488" s="2">
        <v>2000</v>
      </c>
      <c r="C488" s="2">
        <f>COUNTIFS(Games[Team],Games[[#This Row],[Team]],Games[Season],Games[[#This Row],[Season]],Games[Date],"&lt;=" &amp; Games[[#This Row],[Date]])</f>
        <v>31</v>
      </c>
      <c r="D488" s="2" t="s">
        <v>23</v>
      </c>
      <c r="E488" s="2" t="s">
        <v>29</v>
      </c>
      <c r="F488" s="1" t="s">
        <v>2</v>
      </c>
      <c r="G488" s="1" t="s">
        <v>44</v>
      </c>
      <c r="H488" s="1" t="s">
        <v>16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8" s="2">
        <f>Games[[#This Row],[DaysOff]]-Games[[#This Row],[OppDaysOff]]</f>
        <v>-1</v>
      </c>
      <c r="L488" s="2">
        <f>Games[[#This Row],[OppDaysOff]]-Games[[#This Row],[DaysOff]]</f>
        <v>1</v>
      </c>
      <c r="M488" s="16">
        <f>MAX(-16, MIN(16, Games[[#This Row],[RestDiff]]*8))</f>
        <v>-8</v>
      </c>
      <c r="N488" s="16">
        <f>MAX(-16, MIN(16, Games[[#This Row],[OppRestDiff]]*8))</f>
        <v>8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1731.6247326896703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1587.9366115553016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0.56254297066971648</v>
      </c>
      <c r="R488" s="1">
        <v>71</v>
      </c>
      <c r="S488" s="1">
        <v>54</v>
      </c>
      <c r="T488" s="1">
        <v>0</v>
      </c>
      <c r="U488" s="16">
        <f>Games[[#This Row],[PointsFor]]-Games[[#This Row],[PointsAgainst]]</f>
        <v>17</v>
      </c>
      <c r="V488" s="16">
        <f>IF(Games[[#This Row],[MOV]]&gt;0,1,IF(Games[[#This Row],[MOV]]=0,0.5,0))</f>
        <v>1</v>
      </c>
      <c r="W488" s="4">
        <f>((ABS(Games[[#This Row],[MOV]])+5)^0.6)/(12+0.01*(ABS(Games[[#This Row],[PreGmRate]]-Games[[#This Row],[OppPreGmRate]])))*IF(Games[[#This Row],[OT]]=1,0.9,1)</f>
        <v>0.47550504678049749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8" s="9">
        <f>MAX(kmin, kmax - 0.15 * MIN(Games[[#This Row],[GamesPlayed]], 82))</f>
        <v>71.349999999999994</v>
      </c>
      <c r="Z488" s="4">
        <f>Games[[#This Row],[K]]*Games[[#This Row],[POMult]]</f>
        <v>71.349999999999994</v>
      </c>
      <c r="AA488" s="4">
        <f>(Games[[#This Row],[Keff]]*Games[[#This Row],[MOVMult]])*(Games[[#This Row],[Result]]-Games[[#This Row],[ExpectedWin%]])</f>
        <v>14.841729347745581</v>
      </c>
      <c r="AB488" s="4">
        <f>Games[[#This Row],[PreGmRate]]+Games[[#This Row],[RatingChange]]</f>
        <v>1746.4664620374158</v>
      </c>
      <c r="AC488" s="2">
        <f>IF(Games[[#This Row],[Type]]="R",IF(Games[[#This Row],[Result]]&gt;0.5,1,0),0)</f>
        <v>1</v>
      </c>
      <c r="AD488" s="2">
        <f>IF(Games[[#This Row],[Type]]="R",IF(Games[[#This Row],[Result]]&lt;0.5,1,0),0)</f>
        <v>0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0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36745</v>
      </c>
      <c r="B489" s="2">
        <v>2000</v>
      </c>
      <c r="C489" s="2">
        <f>COUNTIFS(Games[Team],Games[[#This Row],[Team]],Games[Season],Games[[#This Row],[Season]],Games[Date],"&lt;=" &amp; Games[[#This Row],[Date]])</f>
        <v>31</v>
      </c>
      <c r="D489" s="2" t="s">
        <v>23</v>
      </c>
      <c r="E489" s="2" t="s">
        <v>29</v>
      </c>
      <c r="F489" s="1" t="s">
        <v>44</v>
      </c>
      <c r="G489" s="1" t="s">
        <v>2</v>
      </c>
      <c r="H489" s="1" t="s">
        <v>15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9" s="2">
        <f>Games[[#This Row],[DaysOff]]-Games[[#This Row],[OppDaysOff]]</f>
        <v>1</v>
      </c>
      <c r="L489" s="2">
        <f>Games[[#This Row],[OppDaysOff]]-Games[[#This Row],[DaysOff]]</f>
        <v>-1</v>
      </c>
      <c r="M489" s="16">
        <f>MAX(-16, MIN(16, Games[[#This Row],[RestDiff]]*8))</f>
        <v>8</v>
      </c>
      <c r="N489" s="16">
        <f>MAX(-16, MIN(16, Games[[#This Row],[OppRestDiff]]*8))</f>
        <v>-8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1587.9366115553016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1731.6247326896703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0.43745702933028352</v>
      </c>
      <c r="R489" s="1">
        <v>54</v>
      </c>
      <c r="S489" s="1">
        <v>71</v>
      </c>
      <c r="T489" s="1">
        <v>0</v>
      </c>
      <c r="U489" s="16">
        <f>Games[[#This Row],[PointsFor]]-Games[[#This Row],[PointsAgainst]]</f>
        <v>-17</v>
      </c>
      <c r="V489" s="16">
        <f>IF(Games[[#This Row],[MOV]]&gt;0,1,IF(Games[[#This Row],[MOV]]=0,0.5,0))</f>
        <v>0</v>
      </c>
      <c r="W489" s="4">
        <f>((ABS(Games[[#This Row],[MOV]])+5)^0.6)/(12+0.01*(ABS(Games[[#This Row],[PreGmRate]]-Games[[#This Row],[OppPreGmRate]])))*IF(Games[[#This Row],[OT]]=1,0.9,1)</f>
        <v>0.47550504678049749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9" s="9">
        <f>MAX(kmin, kmax - 0.15 * MIN(Games[[#This Row],[GamesPlayed]], 82))</f>
        <v>71.349999999999994</v>
      </c>
      <c r="Z489" s="4">
        <f>Games[[#This Row],[K]]*Games[[#This Row],[POMult]]</f>
        <v>71.349999999999994</v>
      </c>
      <c r="AA489" s="4">
        <f>(Games[[#This Row],[Keff]]*Games[[#This Row],[MOVMult]])*(Games[[#This Row],[Result]]-Games[[#This Row],[ExpectedWin%]])</f>
        <v>-14.841729347745581</v>
      </c>
      <c r="AB489" s="4">
        <f>Games[[#This Row],[PreGmRate]]+Games[[#This Row],[RatingChange]]</f>
        <v>1573.0948822075561</v>
      </c>
      <c r="AC489" s="2">
        <f>IF(Games[[#This Row],[Type]]="R",IF(Games[[#This Row],[Result]]&gt;0.5,1,0),0)</f>
        <v>0</v>
      </c>
      <c r="AD489" s="2">
        <f>IF(Games[[#This Row],[Type]]="R",IF(Games[[#This Row],[Result]]&lt;0.5,1,0),0)</f>
        <v>1</v>
      </c>
      <c r="AE489" s="2">
        <f>IF(AND(Games[[#This Row],[Type]]="P",Games[[#This Row],[Round]]=1),IF(Games[[#This Row],[Result]]&gt;0.5,1,0),0)</f>
        <v>0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36745</v>
      </c>
      <c r="B490" s="2">
        <v>2000</v>
      </c>
      <c r="C490" s="2">
        <f>COUNTIFS(Games[Team],Games[[#This Row],[Team]],Games[Season],Games[[#This Row],[Season]],Games[Date],"&lt;=" &amp; Games[[#This Row],[Date]])</f>
        <v>31</v>
      </c>
      <c r="D490" s="2" t="s">
        <v>23</v>
      </c>
      <c r="E490" s="2" t="s">
        <v>29</v>
      </c>
      <c r="F490" s="1" t="s">
        <v>89</v>
      </c>
      <c r="G490" s="1" t="s">
        <v>43</v>
      </c>
      <c r="H490" s="1" t="s">
        <v>16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0" s="2">
        <f>Games[[#This Row],[DaysOff]]-Games[[#This Row],[OppDaysOff]]</f>
        <v>-1</v>
      </c>
      <c r="L490" s="2">
        <f>Games[[#This Row],[OppDaysOff]]-Games[[#This Row],[DaysOff]]</f>
        <v>1</v>
      </c>
      <c r="M490" s="16">
        <f>MAX(-16, MIN(16, Games[[#This Row],[RestDiff]]*8))</f>
        <v>-8</v>
      </c>
      <c r="N490" s="16">
        <f>MAX(-16, MIN(16, Games[[#This Row],[OppRestDiff]]*8))</f>
        <v>8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1418.4258505358096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1528.1184266763516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0.23021678994950459</v>
      </c>
      <c r="R490" s="1">
        <v>73</v>
      </c>
      <c r="S490" s="1">
        <v>83</v>
      </c>
      <c r="T490" s="1">
        <v>0</v>
      </c>
      <c r="U490" s="16">
        <f>Games[[#This Row],[PointsFor]]-Games[[#This Row],[PointsAgainst]]</f>
        <v>-10</v>
      </c>
      <c r="V490" s="16">
        <f>IF(Games[[#This Row],[MOV]]&gt;0,1,IF(Games[[#This Row],[MOV]]=0,0.5,0))</f>
        <v>0</v>
      </c>
      <c r="W490" s="4">
        <f>((ABS(Games[[#This Row],[MOV]])+5)^0.6)/(12+0.01*(ABS(Games[[#This Row],[PreGmRate]]-Games[[#This Row],[OppPreGmRate]])))*IF(Games[[#This Row],[OT]]=1,0.9,1)</f>
        <v>0.38769070577999054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0" s="9">
        <f>MAX(kmin, kmax - 0.15 * MIN(Games[[#This Row],[GamesPlayed]], 82))</f>
        <v>71.349999999999994</v>
      </c>
      <c r="Z490" s="4">
        <f>Games[[#This Row],[K]]*Games[[#This Row],[POMult]]</f>
        <v>71.349999999999994</v>
      </c>
      <c r="AA490" s="4">
        <f>(Games[[#This Row],[Keff]]*Games[[#This Row],[MOVMult]])*(Games[[#This Row],[Result]]-Games[[#This Row],[ExpectedWin%]])</f>
        <v>-6.3681951126551102</v>
      </c>
      <c r="AB490" s="4">
        <f>Games[[#This Row],[PreGmRate]]+Games[[#This Row],[RatingChange]]</f>
        <v>1412.0576554231545</v>
      </c>
      <c r="AC490" s="2">
        <f>IF(Games[[#This Row],[Type]]="R",IF(Games[[#This Row],[Result]]&gt;0.5,1,0),0)</f>
        <v>0</v>
      </c>
      <c r="AD490" s="2">
        <f>IF(Games[[#This Row],[Type]]="R",IF(Games[[#This Row],[Result]]&lt;0.5,1,0),0)</f>
        <v>1</v>
      </c>
      <c r="AE490" s="2">
        <f>IF(AND(Games[[#This Row],[Type]]="P",Games[[#This Row],[Round]]=1),IF(Games[[#This Row],[Result]]&gt;0.5,1,0),0)</f>
        <v>0</v>
      </c>
      <c r="AF490" s="2">
        <f>IF(AND(Games[[#This Row],[Type]]="P",Games[[#This Row],[Round]]=1),IF(Games[[#This Row],[Result]]&lt;0.5,1,0),0)</f>
        <v>0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36745</v>
      </c>
      <c r="B491" s="2">
        <v>2000</v>
      </c>
      <c r="C491" s="2">
        <f>COUNTIFS(Games[Team],Games[[#This Row],[Team]],Games[Season],Games[[#This Row],[Season]],Games[Date],"&lt;=" &amp; Games[[#This Row],[Date]])</f>
        <v>31</v>
      </c>
      <c r="D491" s="2" t="s">
        <v>23</v>
      </c>
      <c r="E491" s="2" t="s">
        <v>29</v>
      </c>
      <c r="F491" s="1" t="s">
        <v>43</v>
      </c>
      <c r="G491" s="1" t="s">
        <v>89</v>
      </c>
      <c r="H491" s="1" t="s">
        <v>15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1" s="2">
        <f>Games[[#This Row],[DaysOff]]-Games[[#This Row],[OppDaysOff]]</f>
        <v>1</v>
      </c>
      <c r="L491" s="2">
        <f>Games[[#This Row],[OppDaysOff]]-Games[[#This Row],[DaysOff]]</f>
        <v>-1</v>
      </c>
      <c r="M491" s="16">
        <f>MAX(-16, MIN(16, Games[[#This Row],[RestDiff]]*8))</f>
        <v>8</v>
      </c>
      <c r="N491" s="16">
        <f>MAX(-16, MIN(16, Games[[#This Row],[OppRestDiff]]*8))</f>
        <v>-8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1528.1184266763516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1418.4258505358096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0.76978321005049533</v>
      </c>
      <c r="R491" s="1">
        <v>83</v>
      </c>
      <c r="S491" s="1">
        <v>73</v>
      </c>
      <c r="T491" s="1">
        <v>0</v>
      </c>
      <c r="U491" s="16">
        <f>Games[[#This Row],[PointsFor]]-Games[[#This Row],[PointsAgainst]]</f>
        <v>10</v>
      </c>
      <c r="V491" s="16">
        <f>IF(Games[[#This Row],[MOV]]&gt;0,1,IF(Games[[#This Row],[MOV]]=0,0.5,0))</f>
        <v>1</v>
      </c>
      <c r="W491" s="4">
        <f>((ABS(Games[[#This Row],[MOV]])+5)^0.6)/(12+0.01*(ABS(Games[[#This Row],[PreGmRate]]-Games[[#This Row],[OppPreGmRate]])))*IF(Games[[#This Row],[OT]]=1,0.9,1)</f>
        <v>0.38769070577999054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1" s="9">
        <f>MAX(kmin, kmax - 0.15 * MIN(Games[[#This Row],[GamesPlayed]], 82))</f>
        <v>71.349999999999994</v>
      </c>
      <c r="Z491" s="4">
        <f>Games[[#This Row],[K]]*Games[[#This Row],[POMult]]</f>
        <v>71.349999999999994</v>
      </c>
      <c r="AA491" s="4">
        <f>(Games[[#This Row],[Keff]]*Games[[#This Row],[MOVMult]])*(Games[[#This Row],[Result]]-Games[[#This Row],[ExpectedWin%]])</f>
        <v>6.368195112655112</v>
      </c>
      <c r="AB491" s="4">
        <f>Games[[#This Row],[PreGmRate]]+Games[[#This Row],[RatingChange]]</f>
        <v>1534.4866217890067</v>
      </c>
      <c r="AC491" s="2">
        <f>IF(Games[[#This Row],[Type]]="R",IF(Games[[#This Row],[Result]]&gt;0.5,1,0),0)</f>
        <v>1</v>
      </c>
      <c r="AD491" s="2">
        <f>IF(Games[[#This Row],[Type]]="R",IF(Games[[#This Row],[Result]]&lt;0.5,1,0),0)</f>
        <v>0</v>
      </c>
      <c r="AE491" s="2">
        <f>IF(AND(Games[[#This Row],[Type]]="P",Games[[#This Row],[Round]]=1),IF(Games[[#This Row],[Result]]&gt;0.5,1,0),0)</f>
        <v>0</v>
      </c>
      <c r="AF491" s="2">
        <f>IF(AND(Games[[#This Row],[Type]]="P",Games[[#This Row],[Round]]=1),IF(Games[[#This Row],[Result]]&lt;0.5,1,0),0)</f>
        <v>0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36746</v>
      </c>
      <c r="B492" s="2">
        <v>2000</v>
      </c>
      <c r="C492" s="2">
        <f>COUNTIFS(Games[Team],Games[[#This Row],[Team]],Games[Season],Games[[#This Row],[Season]],Games[Date],"&lt;=" &amp; Games[[#This Row],[Date]])</f>
        <v>31</v>
      </c>
      <c r="D492" s="2" t="s">
        <v>23</v>
      </c>
      <c r="E492" s="2" t="s">
        <v>29</v>
      </c>
      <c r="F492" s="1" t="s">
        <v>80</v>
      </c>
      <c r="G492" s="1" t="s">
        <v>64</v>
      </c>
      <c r="H492" s="1" t="s">
        <v>16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2" s="2">
        <f>Games[[#This Row],[DaysOff]]-Games[[#This Row],[OppDaysOff]]</f>
        <v>-1</v>
      </c>
      <c r="L492" s="2">
        <f>Games[[#This Row],[OppDaysOff]]-Games[[#This Row],[DaysOff]]</f>
        <v>1</v>
      </c>
      <c r="M492" s="16">
        <f>MAX(-16, MIN(16, Games[[#This Row],[RestDiff]]*8))</f>
        <v>-8</v>
      </c>
      <c r="N492" s="16">
        <f>MAX(-16, MIN(16, Games[[#This Row],[OppRestDiff]]*8))</f>
        <v>8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1468.3034651774199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1358.1635186199212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0.51458841435708447</v>
      </c>
      <c r="R492" s="1">
        <v>76</v>
      </c>
      <c r="S492" s="1">
        <v>67</v>
      </c>
      <c r="T492" s="1">
        <v>0</v>
      </c>
      <c r="U492" s="16">
        <f>Games[[#This Row],[PointsFor]]-Games[[#This Row],[PointsAgainst]]</f>
        <v>9</v>
      </c>
      <c r="V492" s="16">
        <f>IF(Games[[#This Row],[MOV]]&gt;0,1,IF(Games[[#This Row],[MOV]]=0,0.5,0))</f>
        <v>1</v>
      </c>
      <c r="W492" s="4">
        <f>((ABS(Games[[#This Row],[MOV]])+5)^0.6)/(12+0.01*(ABS(Games[[#This Row],[PreGmRate]]-Games[[#This Row],[OppPreGmRate]])))*IF(Games[[#This Row],[OT]]=1,0.9,1)</f>
        <v>0.37184259121077867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2" s="9">
        <f>MAX(kmin, kmax - 0.15 * MIN(Games[[#This Row],[GamesPlayed]], 82))</f>
        <v>71.349999999999994</v>
      </c>
      <c r="Z492" s="4">
        <f>Games[[#This Row],[K]]*Games[[#This Row],[POMult]]</f>
        <v>71.349999999999994</v>
      </c>
      <c r="AA492" s="4">
        <f>(Games[[#This Row],[Keff]]*Games[[#This Row],[MOVMult]])*(Games[[#This Row],[Result]]-Games[[#This Row],[ExpectedWin%]])</f>
        <v>12.878439674086028</v>
      </c>
      <c r="AB492" s="4">
        <f>Games[[#This Row],[PreGmRate]]+Games[[#This Row],[RatingChange]]</f>
        <v>1481.1819048515058</v>
      </c>
      <c r="AC492" s="2">
        <f>IF(Games[[#This Row],[Type]]="R",IF(Games[[#This Row],[Result]]&gt;0.5,1,0),0)</f>
        <v>1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0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36746</v>
      </c>
      <c r="B493" s="2">
        <v>2000</v>
      </c>
      <c r="C493" s="2">
        <f>COUNTIFS(Games[Team],Games[[#This Row],[Team]],Games[Season],Games[[#This Row],[Season]],Games[Date],"&lt;=" &amp; Games[[#This Row],[Date]])</f>
        <v>31</v>
      </c>
      <c r="D493" s="2" t="s">
        <v>23</v>
      </c>
      <c r="E493" s="2" t="s">
        <v>29</v>
      </c>
      <c r="F493" s="1" t="s">
        <v>64</v>
      </c>
      <c r="G493" s="1" t="s">
        <v>80</v>
      </c>
      <c r="H493" s="1" t="s">
        <v>15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3" s="2">
        <f>Games[[#This Row],[DaysOff]]-Games[[#This Row],[OppDaysOff]]</f>
        <v>1</v>
      </c>
      <c r="L493" s="2">
        <f>Games[[#This Row],[OppDaysOff]]-Games[[#This Row],[DaysOff]]</f>
        <v>-1</v>
      </c>
      <c r="M493" s="16">
        <f>MAX(-16, MIN(16, Games[[#This Row],[RestDiff]]*8))</f>
        <v>8</v>
      </c>
      <c r="N493" s="16">
        <f>MAX(-16, MIN(16, Games[[#This Row],[OppRestDiff]]*8))</f>
        <v>-8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1358.1635186199212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1468.3034651774199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0.48541158564291553</v>
      </c>
      <c r="R493" s="1">
        <v>67</v>
      </c>
      <c r="S493" s="1">
        <v>76</v>
      </c>
      <c r="T493" s="1">
        <v>0</v>
      </c>
      <c r="U493" s="16">
        <f>Games[[#This Row],[PointsFor]]-Games[[#This Row],[PointsAgainst]]</f>
        <v>-9</v>
      </c>
      <c r="V493" s="16">
        <f>IF(Games[[#This Row],[MOV]]&gt;0,1,IF(Games[[#This Row],[MOV]]=0,0.5,0))</f>
        <v>0</v>
      </c>
      <c r="W493" s="4">
        <f>((ABS(Games[[#This Row],[MOV]])+5)^0.6)/(12+0.01*(ABS(Games[[#This Row],[PreGmRate]]-Games[[#This Row],[OppPreGmRate]])))*IF(Games[[#This Row],[OT]]=1,0.9,1)</f>
        <v>0.37184259121077867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3" s="9">
        <f>MAX(kmin, kmax - 0.15 * MIN(Games[[#This Row],[GamesPlayed]], 82))</f>
        <v>71.349999999999994</v>
      </c>
      <c r="Z493" s="4">
        <f>Games[[#This Row],[K]]*Games[[#This Row],[POMult]]</f>
        <v>71.349999999999994</v>
      </c>
      <c r="AA493" s="4">
        <f>(Games[[#This Row],[Keff]]*Games[[#This Row],[MOVMult]])*(Games[[#This Row],[Result]]-Games[[#This Row],[ExpectedWin%]])</f>
        <v>-12.878439674086028</v>
      </c>
      <c r="AB493" s="4">
        <f>Games[[#This Row],[PreGmRate]]+Games[[#This Row],[RatingChange]]</f>
        <v>1345.2850789458353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1</v>
      </c>
      <c r="AE493" s="2">
        <f>IF(AND(Games[[#This Row],[Type]]="P",Games[[#This Row],[Round]]=1),IF(Games[[#This Row],[Result]]&gt;0.5,1,0),0)</f>
        <v>0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36746</v>
      </c>
      <c r="B494" s="2">
        <v>2000</v>
      </c>
      <c r="C494" s="2">
        <f>COUNTIFS(Games[Team],Games[[#This Row],[Team]],Games[Season],Games[[#This Row],[Season]],Games[Date],"&lt;=" &amp; Games[[#This Row],[Date]])</f>
        <v>31</v>
      </c>
      <c r="D494" s="2" t="s">
        <v>23</v>
      </c>
      <c r="E494" s="2" t="s">
        <v>29</v>
      </c>
      <c r="F494" s="1" t="s">
        <v>1</v>
      </c>
      <c r="G494" s="1" t="s">
        <v>66</v>
      </c>
      <c r="H494" s="1" t="s">
        <v>16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4" s="2">
        <f>Games[[#This Row],[DaysOff]]-Games[[#This Row],[OppDaysOff]]</f>
        <v>0</v>
      </c>
      <c r="L494" s="2">
        <f>Games[[#This Row],[OppDaysOff]]-Games[[#This Row],[DaysOff]]</f>
        <v>0</v>
      </c>
      <c r="M494" s="16">
        <f>MAX(-16, MIN(16, Games[[#This Row],[RestDiff]]*8))</f>
        <v>0</v>
      </c>
      <c r="N494" s="16">
        <f>MAX(-16, MIN(16, Games[[#This Row],[OppRestDiff]]*8))</f>
        <v>0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1508.9487519493514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1587.1651004462785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0.28215595970403701</v>
      </c>
      <c r="R494" s="1">
        <v>44</v>
      </c>
      <c r="S494" s="1">
        <v>57</v>
      </c>
      <c r="T494" s="1">
        <v>0</v>
      </c>
      <c r="U494" s="16">
        <f>Games[[#This Row],[PointsFor]]-Games[[#This Row],[PointsAgainst]]</f>
        <v>-13</v>
      </c>
      <c r="V494" s="16">
        <f>IF(Games[[#This Row],[MOV]]&gt;0,1,IF(Games[[#This Row],[MOV]]=0,0.5,0))</f>
        <v>0</v>
      </c>
      <c r="W494" s="4">
        <f>((ABS(Games[[#This Row],[MOV]])+5)^0.6)/(12+0.01*(ABS(Games[[#This Row],[PreGmRate]]-Games[[#This Row],[OppPreGmRate]])))*IF(Games[[#This Row],[OT]]=1,0.9,1)</f>
        <v>0.44315855249625052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4" s="9">
        <f>MAX(kmin, kmax - 0.15 * MIN(Games[[#This Row],[GamesPlayed]], 82))</f>
        <v>71.349999999999994</v>
      </c>
      <c r="Z494" s="4">
        <f>Games[[#This Row],[K]]*Games[[#This Row],[POMult]]</f>
        <v>71.349999999999994</v>
      </c>
      <c r="AA494" s="4">
        <f>(Games[[#This Row],[Keff]]*Games[[#This Row],[MOVMult]])*(Games[[#This Row],[Result]]-Games[[#This Row],[ExpectedWin%]])</f>
        <v>-8.9215916336630521</v>
      </c>
      <c r="AB494" s="4">
        <f>Games[[#This Row],[PreGmRate]]+Games[[#This Row],[RatingChange]]</f>
        <v>1500.0271603156884</v>
      </c>
      <c r="AC494" s="2">
        <f>IF(Games[[#This Row],[Type]]="R",IF(Games[[#This Row],[Result]]&gt;0.5,1,0),0)</f>
        <v>0</v>
      </c>
      <c r="AD494" s="2">
        <f>IF(Games[[#This Row],[Type]]="R",IF(Games[[#This Row],[Result]]&lt;0.5,1,0),0)</f>
        <v>1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0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36746</v>
      </c>
      <c r="B495" s="2">
        <v>2000</v>
      </c>
      <c r="C495" s="2">
        <f>COUNTIFS(Games[Team],Games[[#This Row],[Team]],Games[Season],Games[[#This Row],[Season]],Games[Date],"&lt;=" &amp; Games[[#This Row],[Date]])</f>
        <v>31</v>
      </c>
      <c r="D495" s="2" t="s">
        <v>23</v>
      </c>
      <c r="E495" s="2" t="s">
        <v>29</v>
      </c>
      <c r="F495" s="1" t="s">
        <v>66</v>
      </c>
      <c r="G495" s="1" t="s">
        <v>1</v>
      </c>
      <c r="H495" s="1" t="s">
        <v>15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5" s="2">
        <f>Games[[#This Row],[DaysOff]]-Games[[#This Row],[OppDaysOff]]</f>
        <v>0</v>
      </c>
      <c r="L495" s="2">
        <f>Games[[#This Row],[OppDaysOff]]-Games[[#This Row],[DaysOff]]</f>
        <v>0</v>
      </c>
      <c r="M495" s="16">
        <f>MAX(-16, MIN(16, Games[[#This Row],[RestDiff]]*8))</f>
        <v>0</v>
      </c>
      <c r="N495" s="16">
        <f>MAX(-16, MIN(16, Games[[#This Row],[OppRestDiff]]*8))</f>
        <v>0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1587.1651004462785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1508.9487519493514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0.71784404029596305</v>
      </c>
      <c r="R495" s="1">
        <v>57</v>
      </c>
      <c r="S495" s="1">
        <v>44</v>
      </c>
      <c r="T495" s="1">
        <v>0</v>
      </c>
      <c r="U495" s="16">
        <f>Games[[#This Row],[PointsFor]]-Games[[#This Row],[PointsAgainst]]</f>
        <v>13</v>
      </c>
      <c r="V495" s="16">
        <f>IF(Games[[#This Row],[MOV]]&gt;0,1,IF(Games[[#This Row],[MOV]]=0,0.5,0))</f>
        <v>1</v>
      </c>
      <c r="W495" s="4">
        <f>((ABS(Games[[#This Row],[MOV]])+5)^0.6)/(12+0.01*(ABS(Games[[#This Row],[PreGmRate]]-Games[[#This Row],[OppPreGmRate]])))*IF(Games[[#This Row],[OT]]=1,0.9,1)</f>
        <v>0.44315855249625052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5" s="9">
        <f>MAX(kmin, kmax - 0.15 * MIN(Games[[#This Row],[GamesPlayed]], 82))</f>
        <v>71.349999999999994</v>
      </c>
      <c r="Z495" s="4">
        <f>Games[[#This Row],[K]]*Games[[#This Row],[POMult]]</f>
        <v>71.349999999999994</v>
      </c>
      <c r="AA495" s="4">
        <f>(Games[[#This Row],[Keff]]*Games[[#This Row],[MOVMult]])*(Games[[#This Row],[Result]]-Games[[#This Row],[ExpectedWin%]])</f>
        <v>8.9215916336630503</v>
      </c>
      <c r="AB495" s="4">
        <f>Games[[#This Row],[PreGmRate]]+Games[[#This Row],[RatingChange]]</f>
        <v>1596.0866920799415</v>
      </c>
      <c r="AC495" s="2">
        <f>IF(Games[[#This Row],[Type]]="R",IF(Games[[#This Row],[Result]]&gt;0.5,1,0),0)</f>
        <v>1</v>
      </c>
      <c r="AD495" s="2">
        <f>IF(Games[[#This Row],[Type]]="R",IF(Games[[#This Row],[Result]]&lt;0.5,1,0),0)</f>
        <v>0</v>
      </c>
      <c r="AE495" s="2">
        <f>IF(AND(Games[[#This Row],[Type]]="P",Games[[#This Row],[Round]]=1),IF(Games[[#This Row],[Result]]&gt;0.5,1,0),0)</f>
        <v>0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36746</v>
      </c>
      <c r="B496" s="2">
        <v>2000</v>
      </c>
      <c r="C496" s="2">
        <f>COUNTIFS(Games[Team],Games[[#This Row],[Team]],Games[Season],Games[[#This Row],[Season]],Games[Date],"&lt;=" &amp; Games[[#This Row],[Date]])</f>
        <v>31</v>
      </c>
      <c r="D496" s="2" t="s">
        <v>23</v>
      </c>
      <c r="E496" s="2" t="s">
        <v>29</v>
      </c>
      <c r="F496" s="1" t="s">
        <v>71</v>
      </c>
      <c r="G496" s="1" t="s">
        <v>87</v>
      </c>
      <c r="H496" s="1" t="s">
        <v>16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6" s="2">
        <f>Games[[#This Row],[DaysOff]]-Games[[#This Row],[OppDaysOff]]</f>
        <v>1</v>
      </c>
      <c r="L496" s="2">
        <f>Games[[#This Row],[OppDaysOff]]-Games[[#This Row],[DaysOff]]</f>
        <v>-1</v>
      </c>
      <c r="M496" s="16">
        <f>MAX(-16, MIN(16, Games[[#This Row],[RestDiff]]*8))</f>
        <v>8</v>
      </c>
      <c r="N496" s="16">
        <f>MAX(-16, MIN(16, Games[[#This Row],[OppRestDiff]]*8))</f>
        <v>-8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1751.8647014677267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1332.8185424095138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0.88296206570581359</v>
      </c>
      <c r="R496" s="1">
        <v>60</v>
      </c>
      <c r="S496" s="1">
        <v>52</v>
      </c>
      <c r="T496" s="1">
        <v>1</v>
      </c>
      <c r="U496" s="16">
        <f>Games[[#This Row],[PointsFor]]-Games[[#This Row],[PointsAgainst]]</f>
        <v>8</v>
      </c>
      <c r="V496" s="16">
        <f>IF(Games[[#This Row],[MOV]]&gt;0,1,IF(Games[[#This Row],[MOV]]=0,0.5,0))</f>
        <v>1</v>
      </c>
      <c r="W496" s="4">
        <f>((ABS(Games[[#This Row],[MOV]])+5)^0.6)/(12+0.01*(ABS(Games[[#This Row],[PreGmRate]]-Games[[#This Row],[OppPreGmRate]])))*IF(Games[[#This Row],[OT]]=1,0.9,1)</f>
        <v>0.2590295375192988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6" s="9">
        <f>MAX(kmin, kmax - 0.15 * MIN(Games[[#This Row],[GamesPlayed]], 82))</f>
        <v>71.349999999999994</v>
      </c>
      <c r="Z496" s="4">
        <f>Games[[#This Row],[K]]*Games[[#This Row],[POMult]]</f>
        <v>71.349999999999994</v>
      </c>
      <c r="AA496" s="4">
        <f>(Games[[#This Row],[Keff]]*Games[[#This Row],[MOVMult]])*(Games[[#This Row],[Result]]-Games[[#This Row],[ExpectedWin%]])</f>
        <v>2.1630667201603933</v>
      </c>
      <c r="AB496" s="4">
        <f>Games[[#This Row],[PreGmRate]]+Games[[#This Row],[RatingChange]]</f>
        <v>1754.0277681878872</v>
      </c>
      <c r="AC496" s="2">
        <f>IF(Games[[#This Row],[Type]]="R",IF(Games[[#This Row],[Result]]&gt;0.5,1,0),0)</f>
        <v>1</v>
      </c>
      <c r="AD496" s="2">
        <f>IF(Games[[#This Row],[Type]]="R",IF(Games[[#This Row],[Result]]&lt;0.5,1,0),0)</f>
        <v>0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0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36746</v>
      </c>
      <c r="B497" s="2">
        <v>2000</v>
      </c>
      <c r="C497" s="2">
        <f>COUNTIFS(Games[Team],Games[[#This Row],[Team]],Games[Season],Games[[#This Row],[Season]],Games[Date],"&lt;=" &amp; Games[[#This Row],[Date]])</f>
        <v>31</v>
      </c>
      <c r="D497" s="2" t="s">
        <v>23</v>
      </c>
      <c r="E497" s="2" t="s">
        <v>29</v>
      </c>
      <c r="F497" s="1" t="s">
        <v>87</v>
      </c>
      <c r="G497" s="1" t="s">
        <v>71</v>
      </c>
      <c r="H497" s="1" t="s">
        <v>15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7" s="2">
        <f>Games[[#This Row],[DaysOff]]-Games[[#This Row],[OppDaysOff]]</f>
        <v>-1</v>
      </c>
      <c r="L497" s="2">
        <f>Games[[#This Row],[OppDaysOff]]-Games[[#This Row],[DaysOff]]</f>
        <v>1</v>
      </c>
      <c r="M497" s="16">
        <f>MAX(-16, MIN(16, Games[[#This Row],[RestDiff]]*8))</f>
        <v>-8</v>
      </c>
      <c r="N497" s="16">
        <f>MAX(-16, MIN(16, Games[[#This Row],[OppRestDiff]]*8))</f>
        <v>8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1332.8185424095138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1751.8647014677267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0.11703793429418642</v>
      </c>
      <c r="R497" s="1">
        <v>52</v>
      </c>
      <c r="S497" s="1">
        <v>60</v>
      </c>
      <c r="T497" s="1">
        <v>1</v>
      </c>
      <c r="U497" s="16">
        <f>Games[[#This Row],[PointsFor]]-Games[[#This Row],[PointsAgainst]]</f>
        <v>-8</v>
      </c>
      <c r="V497" s="16">
        <f>IF(Games[[#This Row],[MOV]]&gt;0,1,IF(Games[[#This Row],[MOV]]=0,0.5,0))</f>
        <v>0</v>
      </c>
      <c r="W497" s="4">
        <f>((ABS(Games[[#This Row],[MOV]])+5)^0.6)/(12+0.01*(ABS(Games[[#This Row],[PreGmRate]]-Games[[#This Row],[OppPreGmRate]])))*IF(Games[[#This Row],[OT]]=1,0.9,1)</f>
        <v>0.2590295375192988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7" s="9">
        <f>MAX(kmin, kmax - 0.15 * MIN(Games[[#This Row],[GamesPlayed]], 82))</f>
        <v>71.349999999999994</v>
      </c>
      <c r="Z497" s="4">
        <f>Games[[#This Row],[K]]*Games[[#This Row],[POMult]]</f>
        <v>71.349999999999994</v>
      </c>
      <c r="AA497" s="4">
        <f>(Games[[#This Row],[Keff]]*Games[[#This Row],[MOVMult]])*(Games[[#This Row],[Result]]-Games[[#This Row],[ExpectedWin%]])</f>
        <v>-2.1630667201603933</v>
      </c>
      <c r="AB497" s="4">
        <f>Games[[#This Row],[PreGmRate]]+Games[[#This Row],[RatingChange]]</f>
        <v>1330.6554756893534</v>
      </c>
      <c r="AC497" s="2">
        <f>IF(Games[[#This Row],[Type]]="R",IF(Games[[#This Row],[Result]]&gt;0.5,1,0),0)</f>
        <v>0</v>
      </c>
      <c r="AD497" s="2">
        <f>IF(Games[[#This Row],[Type]]="R",IF(Games[[#This Row],[Result]]&lt;0.5,1,0),0)</f>
        <v>1</v>
      </c>
      <c r="AE497" s="2">
        <f>IF(AND(Games[[#This Row],[Type]]="P",Games[[#This Row],[Round]]=1),IF(Games[[#This Row],[Result]]&gt;0.5,1,0),0)</f>
        <v>0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36747</v>
      </c>
      <c r="B498" s="2">
        <v>2000</v>
      </c>
      <c r="C498" s="2">
        <f>COUNTIFS(Games[Team],Games[[#This Row],[Team]],Games[Season],Games[[#This Row],[Season]],Games[Date],"&lt;=" &amp; Games[[#This Row],[Date]])</f>
        <v>32</v>
      </c>
      <c r="D498" s="2" t="s">
        <v>23</v>
      </c>
      <c r="E498" s="2" t="s">
        <v>29</v>
      </c>
      <c r="F498" s="1" t="s">
        <v>66</v>
      </c>
      <c r="G498" s="1" t="s">
        <v>77</v>
      </c>
      <c r="H498" s="1" t="s">
        <v>16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8" s="2">
        <f>Games[[#This Row],[DaysOff]]-Games[[#This Row],[OppDaysOff]]</f>
        <v>-1</v>
      </c>
      <c r="L498" s="2">
        <f>Games[[#This Row],[OppDaysOff]]-Games[[#This Row],[DaysOff]]</f>
        <v>1</v>
      </c>
      <c r="M498" s="16">
        <f>MAX(-16, MIN(16, Games[[#This Row],[RestDiff]]*8))</f>
        <v>-8</v>
      </c>
      <c r="N498" s="16">
        <f>MAX(-16, MIN(16, Games[[#This Row],[OppRestDiff]]*8))</f>
        <v>8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1596.0866920799415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1419.6048400923119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0.60832215661293343</v>
      </c>
      <c r="R498" s="1">
        <v>63</v>
      </c>
      <c r="S498" s="1">
        <v>66</v>
      </c>
      <c r="T498" s="1">
        <v>0</v>
      </c>
      <c r="U498" s="16">
        <f>Games[[#This Row],[PointsFor]]-Games[[#This Row],[PointsAgainst]]</f>
        <v>-3</v>
      </c>
      <c r="V498" s="16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0.25297843543350912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8" s="9">
        <f>MAX(kmin, kmax - 0.15 * MIN(Games[[#This Row],[GamesPlayed]], 82))</f>
        <v>71.2</v>
      </c>
      <c r="Z498" s="4">
        <f>Games[[#This Row],[K]]*Games[[#This Row],[POMult]]</f>
        <v>71.2</v>
      </c>
      <c r="AA498" s="4">
        <f>(Games[[#This Row],[Keff]]*Games[[#This Row],[MOVMult]])*(Games[[#This Row],[Result]]-Games[[#This Row],[ExpectedWin%]])</f>
        <v>-10.957137984266833</v>
      </c>
      <c r="AB498" s="4">
        <f>Games[[#This Row],[PreGmRate]]+Games[[#This Row],[RatingChange]]</f>
        <v>1585.1295540956746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1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0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36747</v>
      </c>
      <c r="B499" s="2">
        <v>2000</v>
      </c>
      <c r="C499" s="2">
        <f>COUNTIFS(Games[Team],Games[[#This Row],[Team]],Games[Season],Games[[#This Row],[Season]],Games[Date],"&lt;=" &amp; Games[[#This Row],[Date]])</f>
        <v>32</v>
      </c>
      <c r="D499" s="2" t="s">
        <v>23</v>
      </c>
      <c r="E499" s="2" t="s">
        <v>29</v>
      </c>
      <c r="F499" s="1" t="s">
        <v>77</v>
      </c>
      <c r="G499" s="1" t="s">
        <v>66</v>
      </c>
      <c r="H499" s="1" t="s">
        <v>15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9" s="2">
        <f>Games[[#This Row],[DaysOff]]-Games[[#This Row],[OppDaysOff]]</f>
        <v>1</v>
      </c>
      <c r="L499" s="2">
        <f>Games[[#This Row],[OppDaysOff]]-Games[[#This Row],[DaysOff]]</f>
        <v>-1</v>
      </c>
      <c r="M499" s="16">
        <f>MAX(-16, MIN(16, Games[[#This Row],[RestDiff]]*8))</f>
        <v>8</v>
      </c>
      <c r="N499" s="16">
        <f>MAX(-16, MIN(16, Games[[#This Row],[OppRestDiff]]*8))</f>
        <v>-8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1419.6048400923119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1596.0866920799415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0.39167784338706668</v>
      </c>
      <c r="R499" s="1">
        <v>66</v>
      </c>
      <c r="S499" s="1">
        <v>63</v>
      </c>
      <c r="T499" s="1">
        <v>0</v>
      </c>
      <c r="U499" s="16">
        <f>Games[[#This Row],[PointsFor]]-Games[[#This Row],[PointsAgainst]]</f>
        <v>3</v>
      </c>
      <c r="V499" s="16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0.25297843543350912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9" s="9">
        <f>MAX(kmin, kmax - 0.15 * MIN(Games[[#This Row],[GamesPlayed]], 82))</f>
        <v>71.2</v>
      </c>
      <c r="Z499" s="4">
        <f>Games[[#This Row],[K]]*Games[[#This Row],[POMult]]</f>
        <v>71.2</v>
      </c>
      <c r="AA499" s="4">
        <f>(Games[[#This Row],[Keff]]*Games[[#This Row],[MOVMult]])*(Games[[#This Row],[Result]]-Games[[#This Row],[ExpectedWin%]])</f>
        <v>10.957137984266831</v>
      </c>
      <c r="AB499" s="4">
        <f>Games[[#This Row],[PreGmRate]]+Games[[#This Row],[RatingChange]]</f>
        <v>1430.5619780765787</v>
      </c>
      <c r="AC499" s="2">
        <f>IF(Games[[#This Row],[Type]]="R",IF(Games[[#This Row],[Result]]&gt;0.5,1,0),0)</f>
        <v>1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0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36747</v>
      </c>
      <c r="B500" s="2">
        <v>2000</v>
      </c>
      <c r="C500" s="2">
        <f>COUNTIFS(Games[Team],Games[[#This Row],[Team]],Games[Season],Games[[#This Row],[Season]],Games[Date],"&lt;=" &amp; Games[[#This Row],[Date]])</f>
        <v>32</v>
      </c>
      <c r="D500" s="2" t="s">
        <v>23</v>
      </c>
      <c r="E500" s="2" t="s">
        <v>29</v>
      </c>
      <c r="F500" s="1" t="s">
        <v>80</v>
      </c>
      <c r="G500" s="1" t="s">
        <v>2</v>
      </c>
      <c r="H500" s="1" t="s">
        <v>16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0" s="2">
        <f>Games[[#This Row],[DaysOff]]-Games[[#This Row],[OppDaysOff]]</f>
        <v>-1</v>
      </c>
      <c r="L500" s="2">
        <f>Games[[#This Row],[OppDaysOff]]-Games[[#This Row],[DaysOff]]</f>
        <v>1</v>
      </c>
      <c r="M500" s="16">
        <f>MAX(-16, MIN(16, Games[[#This Row],[RestDiff]]*8))</f>
        <v>-8</v>
      </c>
      <c r="N500" s="16">
        <f>MAX(-16, MIN(16, Games[[#This Row],[OppRestDiff]]*8))</f>
        <v>8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1481.1819048515058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1746.4664620374158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0.10883011970292122</v>
      </c>
      <c r="R500" s="1">
        <v>64</v>
      </c>
      <c r="S500" s="1">
        <v>77</v>
      </c>
      <c r="T500" s="1">
        <v>0</v>
      </c>
      <c r="U500" s="16">
        <f>Games[[#This Row],[PointsFor]]-Games[[#This Row],[PointsAgainst]]</f>
        <v>-13</v>
      </c>
      <c r="V500" s="16">
        <f>IF(Games[[#This Row],[MOV]]&gt;0,1,IF(Games[[#This Row],[MOV]]=0,0.5,0))</f>
        <v>0</v>
      </c>
      <c r="W500" s="4">
        <f>((ABS(Games[[#This Row],[MOV]])+5)^0.6)/(12+0.01*(ABS(Games[[#This Row],[PreGmRate]]-Games[[#This Row],[OppPreGmRate]])))*IF(Games[[#This Row],[OT]]=1,0.9,1)</f>
        <v>0.38658191270698805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0" s="9">
        <f>MAX(kmin, kmax - 0.15 * MIN(Games[[#This Row],[GamesPlayed]], 82))</f>
        <v>71.2</v>
      </c>
      <c r="Z500" s="4">
        <f>Games[[#This Row],[K]]*Games[[#This Row],[POMult]]</f>
        <v>71.2</v>
      </c>
      <c r="AA500" s="4">
        <f>(Games[[#This Row],[Keff]]*Games[[#This Row],[MOVMult]])*(Games[[#This Row],[Result]]-Games[[#This Row],[ExpectedWin%]])</f>
        <v>-2.9955090154438659</v>
      </c>
      <c r="AB500" s="4">
        <f>Games[[#This Row],[PreGmRate]]+Games[[#This Row],[RatingChange]]</f>
        <v>1478.186395836062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1</v>
      </c>
      <c r="AE500" s="2">
        <f>IF(AND(Games[[#This Row],[Type]]="P",Games[[#This Row],[Round]]=1),IF(Games[[#This Row],[Result]]&gt;0.5,1,0),0)</f>
        <v>0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0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36747</v>
      </c>
      <c r="B501" s="2">
        <v>2000</v>
      </c>
      <c r="C501" s="2">
        <f>COUNTIFS(Games[Team],Games[[#This Row],[Team]],Games[Season],Games[[#This Row],[Season]],Games[Date],"&lt;=" &amp; Games[[#This Row],[Date]])</f>
        <v>32</v>
      </c>
      <c r="D501" s="2" t="s">
        <v>23</v>
      </c>
      <c r="E501" s="2" t="s">
        <v>29</v>
      </c>
      <c r="F501" s="1" t="s">
        <v>2</v>
      </c>
      <c r="G501" s="1" t="s">
        <v>80</v>
      </c>
      <c r="H501" s="1" t="s">
        <v>15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1" s="2">
        <f>Games[[#This Row],[DaysOff]]-Games[[#This Row],[OppDaysOff]]</f>
        <v>1</v>
      </c>
      <c r="L501" s="2">
        <f>Games[[#This Row],[OppDaysOff]]-Games[[#This Row],[DaysOff]]</f>
        <v>-1</v>
      </c>
      <c r="M501" s="16">
        <f>MAX(-16, MIN(16, Games[[#This Row],[RestDiff]]*8))</f>
        <v>8</v>
      </c>
      <c r="N501" s="16">
        <f>MAX(-16, MIN(16, Games[[#This Row],[OppRestDiff]]*8))</f>
        <v>-8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1746.4664620374158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1481.1819048515058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0.89116988029707866</v>
      </c>
      <c r="R501" s="1">
        <v>77</v>
      </c>
      <c r="S501" s="1">
        <v>64</v>
      </c>
      <c r="T501" s="1">
        <v>0</v>
      </c>
      <c r="U501" s="16">
        <f>Games[[#This Row],[PointsFor]]-Games[[#This Row],[PointsAgainst]]</f>
        <v>13</v>
      </c>
      <c r="V501" s="16">
        <f>IF(Games[[#This Row],[MOV]]&gt;0,1,IF(Games[[#This Row],[MOV]]=0,0.5,0))</f>
        <v>1</v>
      </c>
      <c r="W501" s="4">
        <f>((ABS(Games[[#This Row],[MOV]])+5)^0.6)/(12+0.01*(ABS(Games[[#This Row],[PreGmRate]]-Games[[#This Row],[OppPreGmRate]])))*IF(Games[[#This Row],[OT]]=1,0.9,1)</f>
        <v>0.38658191270698805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1" s="9">
        <f>MAX(kmin, kmax - 0.15 * MIN(Games[[#This Row],[GamesPlayed]], 82))</f>
        <v>71.2</v>
      </c>
      <c r="Z501" s="4">
        <f>Games[[#This Row],[K]]*Games[[#This Row],[POMult]]</f>
        <v>71.2</v>
      </c>
      <c r="AA501" s="4">
        <f>(Games[[#This Row],[Keff]]*Games[[#This Row],[MOVMult]])*(Games[[#This Row],[Result]]-Games[[#This Row],[ExpectedWin%]])</f>
        <v>2.995509015443869</v>
      </c>
      <c r="AB501" s="4">
        <f>Games[[#This Row],[PreGmRate]]+Games[[#This Row],[RatingChange]]</f>
        <v>1749.4619710528596</v>
      </c>
      <c r="AC501" s="2">
        <f>IF(Games[[#This Row],[Type]]="R",IF(Games[[#This Row],[Result]]&gt;0.5,1,0),0)</f>
        <v>1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0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0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36747</v>
      </c>
      <c r="B502" s="2">
        <v>2000</v>
      </c>
      <c r="C502" s="2">
        <f>COUNTIFS(Games[Team],Games[[#This Row],[Team]],Games[Season],Games[[#This Row],[Season]],Games[Date],"&lt;=" &amp; Games[[#This Row],[Date]])</f>
        <v>32</v>
      </c>
      <c r="D502" s="2" t="s">
        <v>23</v>
      </c>
      <c r="E502" s="2" t="s">
        <v>29</v>
      </c>
      <c r="F502" s="1" t="s">
        <v>64</v>
      </c>
      <c r="G502" s="1" t="s">
        <v>85</v>
      </c>
      <c r="H502" s="1" t="s">
        <v>16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2" s="2">
        <f>Games[[#This Row],[DaysOff]]-Games[[#This Row],[OppDaysOff]]</f>
        <v>-1</v>
      </c>
      <c r="L502" s="2">
        <f>Games[[#This Row],[OppDaysOff]]-Games[[#This Row],[DaysOff]]</f>
        <v>1</v>
      </c>
      <c r="M502" s="16">
        <f>MAX(-16, MIN(16, Games[[#This Row],[RestDiff]]*8))</f>
        <v>-8</v>
      </c>
      <c r="N502" s="16">
        <f>MAX(-16, MIN(16, Games[[#This Row],[OppRestDiff]]*8))</f>
        <v>8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1345.2850789458353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1377.4379543540726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0.3184871229371789</v>
      </c>
      <c r="R502" s="1">
        <v>51</v>
      </c>
      <c r="S502" s="1">
        <v>67</v>
      </c>
      <c r="T502" s="1">
        <v>0</v>
      </c>
      <c r="U502" s="16">
        <f>Games[[#This Row],[PointsFor]]-Games[[#This Row],[PointsAgainst]]</f>
        <v>-16</v>
      </c>
      <c r="V502" s="16">
        <f>IF(Games[[#This Row],[MOV]]&gt;0,1,IF(Games[[#This Row],[MOV]]=0,0.5,0))</f>
        <v>0</v>
      </c>
      <c r="W502" s="4">
        <f>((ABS(Games[[#This Row],[MOV]])+5)^0.6)/(12+0.01*(ABS(Games[[#This Row],[PreGmRate]]-Games[[#This Row],[OppPreGmRate]])))*IF(Games[[#This Row],[OT]]=1,0.9,1)</f>
        <v>0.50427447043063589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2" s="9">
        <f>MAX(kmin, kmax - 0.15 * MIN(Games[[#This Row],[GamesPlayed]], 82))</f>
        <v>71.2</v>
      </c>
      <c r="Z502" s="4">
        <f>Games[[#This Row],[K]]*Games[[#This Row],[POMult]]</f>
        <v>71.2</v>
      </c>
      <c r="AA502" s="4">
        <f>(Games[[#This Row],[Keff]]*Games[[#This Row],[MOVMult]])*(Games[[#This Row],[Result]]-Games[[#This Row],[ExpectedWin%]])</f>
        <v>-11.435070678378338</v>
      </c>
      <c r="AB502" s="4">
        <f>Games[[#This Row],[PreGmRate]]+Games[[#This Row],[RatingChange]]</f>
        <v>1333.8500082674568</v>
      </c>
      <c r="AC502" s="2">
        <f>IF(Games[[#This Row],[Type]]="R",IF(Games[[#This Row],[Result]]&gt;0.5,1,0),0)</f>
        <v>0</v>
      </c>
      <c r="AD502" s="2">
        <f>IF(Games[[#This Row],[Type]]="R",IF(Games[[#This Row],[Result]]&lt;0.5,1,0),0)</f>
        <v>1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0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36747</v>
      </c>
      <c r="B503" s="2">
        <v>2000</v>
      </c>
      <c r="C503" s="2">
        <f>COUNTIFS(Games[Team],Games[[#This Row],[Team]],Games[Season],Games[[#This Row],[Season]],Games[Date],"&lt;=" &amp; Games[[#This Row],[Date]])</f>
        <v>32</v>
      </c>
      <c r="D503" s="2" t="s">
        <v>23</v>
      </c>
      <c r="E503" s="2" t="s">
        <v>29</v>
      </c>
      <c r="F503" s="1" t="s">
        <v>85</v>
      </c>
      <c r="G503" s="1" t="s">
        <v>64</v>
      </c>
      <c r="H503" s="1" t="s">
        <v>15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3" s="2">
        <f>Games[[#This Row],[DaysOff]]-Games[[#This Row],[OppDaysOff]]</f>
        <v>1</v>
      </c>
      <c r="L503" s="2">
        <f>Games[[#This Row],[OppDaysOff]]-Games[[#This Row],[DaysOff]]</f>
        <v>-1</v>
      </c>
      <c r="M503" s="16">
        <f>MAX(-16, MIN(16, Games[[#This Row],[RestDiff]]*8))</f>
        <v>8</v>
      </c>
      <c r="N503" s="16">
        <f>MAX(-16, MIN(16, Games[[#This Row],[OppRestDiff]]*8))</f>
        <v>-8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1377.4379543540726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1345.2850789458353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0.68151287706282104</v>
      </c>
      <c r="R503" s="1">
        <v>67</v>
      </c>
      <c r="S503" s="1">
        <v>51</v>
      </c>
      <c r="T503" s="1">
        <v>0</v>
      </c>
      <c r="U503" s="16">
        <f>Games[[#This Row],[PointsFor]]-Games[[#This Row],[PointsAgainst]]</f>
        <v>16</v>
      </c>
      <c r="V503" s="16">
        <f>IF(Games[[#This Row],[MOV]]&gt;0,1,IF(Games[[#This Row],[MOV]]=0,0.5,0))</f>
        <v>1</v>
      </c>
      <c r="W503" s="4">
        <f>((ABS(Games[[#This Row],[MOV]])+5)^0.6)/(12+0.01*(ABS(Games[[#This Row],[PreGmRate]]-Games[[#This Row],[OppPreGmRate]])))*IF(Games[[#This Row],[OT]]=1,0.9,1)</f>
        <v>0.50427447043063589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3" s="9">
        <f>MAX(kmin, kmax - 0.15 * MIN(Games[[#This Row],[GamesPlayed]], 82))</f>
        <v>71.2</v>
      </c>
      <c r="Z503" s="4">
        <f>Games[[#This Row],[K]]*Games[[#This Row],[POMult]]</f>
        <v>71.2</v>
      </c>
      <c r="AA503" s="4">
        <f>(Games[[#This Row],[Keff]]*Games[[#This Row],[MOVMult]])*(Games[[#This Row],[Result]]-Games[[#This Row],[ExpectedWin%]])</f>
        <v>11.43507067837834</v>
      </c>
      <c r="AB503" s="4">
        <f>Games[[#This Row],[PreGmRate]]+Games[[#This Row],[RatingChange]]</f>
        <v>1388.8730250324511</v>
      </c>
      <c r="AC503" s="2">
        <f>IF(Games[[#This Row],[Type]]="R",IF(Games[[#This Row],[Result]]&gt;0.5,1,0),0)</f>
        <v>1</v>
      </c>
      <c r="AD503" s="2">
        <f>IF(Games[[#This Row],[Type]]="R",IF(Games[[#This Row],[Result]]&lt;0.5,1,0),0)</f>
        <v>0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0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36747</v>
      </c>
      <c r="B504" s="2">
        <v>2000</v>
      </c>
      <c r="C504" s="2">
        <f>COUNTIFS(Games[Team],Games[[#This Row],[Team]],Games[Season],Games[[#This Row],[Season]],Games[Date],"&lt;=" &amp; Games[[#This Row],[Date]])</f>
        <v>32</v>
      </c>
      <c r="D504" s="2" t="s">
        <v>23</v>
      </c>
      <c r="E504" s="2" t="s">
        <v>29</v>
      </c>
      <c r="F504" s="1" t="s">
        <v>79</v>
      </c>
      <c r="G504" s="1" t="s">
        <v>83</v>
      </c>
      <c r="H504" s="1" t="s">
        <v>16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4" s="2">
        <f>Games[[#This Row],[DaysOff]]-Games[[#This Row],[OppDaysOff]]</f>
        <v>-1</v>
      </c>
      <c r="L504" s="2">
        <f>Games[[#This Row],[OppDaysOff]]-Games[[#This Row],[DaysOff]]</f>
        <v>1</v>
      </c>
      <c r="M504" s="16">
        <f>MAX(-16, MIN(16, Games[[#This Row],[RestDiff]]*8))</f>
        <v>-8</v>
      </c>
      <c r="N504" s="16">
        <f>MAX(-16, MIN(16, Games[[#This Row],[OppRestDiff]]*8))</f>
        <v>8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1480.7542074374667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1420.4530641974166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0.44311609462563206</v>
      </c>
      <c r="R504" s="1">
        <v>64</v>
      </c>
      <c r="S504" s="1">
        <v>68</v>
      </c>
      <c r="T504" s="1">
        <v>1</v>
      </c>
      <c r="U504" s="16">
        <f>Games[[#This Row],[PointsFor]]-Games[[#This Row],[PointsAgainst]]</f>
        <v>-4</v>
      </c>
      <c r="V504" s="16">
        <f>IF(Games[[#This Row],[MOV]]&gt;0,1,IF(Games[[#This Row],[MOV]]=0,0.5,0))</f>
        <v>0</v>
      </c>
      <c r="W504" s="4">
        <f>((ABS(Games[[#This Row],[MOV]])+5)^0.6)/(12+0.01*(ABS(Games[[#This Row],[PreGmRate]]-Games[[#This Row],[OppPreGmRate]])))*IF(Games[[#This Row],[OT]]=1,0.9,1)</f>
        <v>0.266878559541325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4" s="9">
        <f>MAX(kmin, kmax - 0.15 * MIN(Games[[#This Row],[GamesPlayed]], 82))</f>
        <v>71.2</v>
      </c>
      <c r="Z504" s="4">
        <f>Games[[#This Row],[K]]*Games[[#This Row],[POMult]]</f>
        <v>71.2</v>
      </c>
      <c r="AA504" s="4">
        <f>(Games[[#This Row],[Keff]]*Games[[#This Row],[MOVMult]])*(Games[[#This Row],[Result]]-Games[[#This Row],[ExpectedWin%]])</f>
        <v>-8.41998277508055</v>
      </c>
      <c r="AB504" s="4">
        <f>Games[[#This Row],[PreGmRate]]+Games[[#This Row],[RatingChange]]</f>
        <v>1472.3342246623861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1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0</v>
      </c>
      <c r="AH504" s="2">
        <f>IF(AND(Games[[#This Row],[Type]]="P",Games[[#This Row],[Round]]=2),IF(Games[[#This Row],[Result]]&lt;0.5,1,0),0)</f>
        <v>0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36747</v>
      </c>
      <c r="B505" s="2">
        <v>2000</v>
      </c>
      <c r="C505" s="2">
        <f>COUNTIFS(Games[Team],Games[[#This Row],[Team]],Games[Season],Games[[#This Row],[Season]],Games[Date],"&lt;=" &amp; Games[[#This Row],[Date]])</f>
        <v>32</v>
      </c>
      <c r="D505" s="2" t="s">
        <v>23</v>
      </c>
      <c r="E505" s="2" t="s">
        <v>29</v>
      </c>
      <c r="F505" s="1" t="s">
        <v>83</v>
      </c>
      <c r="G505" s="1" t="s">
        <v>79</v>
      </c>
      <c r="H505" s="1" t="s">
        <v>15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5" s="2">
        <f>Games[[#This Row],[DaysOff]]-Games[[#This Row],[OppDaysOff]]</f>
        <v>1</v>
      </c>
      <c r="L505" s="2">
        <f>Games[[#This Row],[OppDaysOff]]-Games[[#This Row],[DaysOff]]</f>
        <v>-1</v>
      </c>
      <c r="M505" s="16">
        <f>MAX(-16, MIN(16, Games[[#This Row],[RestDiff]]*8))</f>
        <v>8</v>
      </c>
      <c r="N505" s="16">
        <f>MAX(-16, MIN(16, Games[[#This Row],[OppRestDiff]]*8))</f>
        <v>-8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1420.4530641974166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1480.7542074374667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0.55688390537436794</v>
      </c>
      <c r="R505" s="1">
        <v>68</v>
      </c>
      <c r="S505" s="1">
        <v>64</v>
      </c>
      <c r="T505" s="1">
        <v>1</v>
      </c>
      <c r="U505" s="16">
        <f>Games[[#This Row],[PointsFor]]-Games[[#This Row],[PointsAgainst]]</f>
        <v>4</v>
      </c>
      <c r="V505" s="16">
        <f>IF(Games[[#This Row],[MOV]]&gt;0,1,IF(Games[[#This Row],[MOV]]=0,0.5,0))</f>
        <v>1</v>
      </c>
      <c r="W505" s="4">
        <f>((ABS(Games[[#This Row],[MOV]])+5)^0.6)/(12+0.01*(ABS(Games[[#This Row],[PreGmRate]]-Games[[#This Row],[OppPreGmRate]])))*IF(Games[[#This Row],[OT]]=1,0.9,1)</f>
        <v>0.266878559541325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5" s="9">
        <f>MAX(kmin, kmax - 0.15 * MIN(Games[[#This Row],[GamesPlayed]], 82))</f>
        <v>71.2</v>
      </c>
      <c r="Z505" s="4">
        <f>Games[[#This Row],[K]]*Games[[#This Row],[POMult]]</f>
        <v>71.2</v>
      </c>
      <c r="AA505" s="4">
        <f>(Games[[#This Row],[Keff]]*Games[[#This Row],[MOVMult]])*(Games[[#This Row],[Result]]-Games[[#This Row],[ExpectedWin%]])</f>
        <v>8.41998277508055</v>
      </c>
      <c r="AB505" s="4">
        <f>Games[[#This Row],[PreGmRate]]+Games[[#This Row],[RatingChange]]</f>
        <v>1428.8730469724971</v>
      </c>
      <c r="AC505" s="2">
        <f>IF(Games[[#This Row],[Type]]="R",IF(Games[[#This Row],[Result]]&gt;0.5,1,0),0)</f>
        <v>1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0</v>
      </c>
      <c r="AH505" s="2">
        <f>IF(AND(Games[[#This Row],[Type]]="P",Games[[#This Row],[Round]]=2),IF(Games[[#This Row],[Result]]&lt;0.5,1,0),0)</f>
        <v>0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36747</v>
      </c>
      <c r="B506" s="2">
        <v>2000</v>
      </c>
      <c r="C506" s="2">
        <f>COUNTIFS(Games[Team],Games[[#This Row],[Team]],Games[Season],Games[[#This Row],[Season]],Games[Date],"&lt;=" &amp; Games[[#This Row],[Date]])</f>
        <v>32</v>
      </c>
      <c r="D506" s="2" t="s">
        <v>23</v>
      </c>
      <c r="E506" s="2" t="s">
        <v>29</v>
      </c>
      <c r="F506" s="1" t="s">
        <v>44</v>
      </c>
      <c r="G506" s="1" t="s">
        <v>89</v>
      </c>
      <c r="H506" s="1" t="s">
        <v>16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6" s="2">
        <f>Games[[#This Row],[DaysOff]]-Games[[#This Row],[OppDaysOff]]</f>
        <v>0</v>
      </c>
      <c r="L506" s="2">
        <f>Games[[#This Row],[OppDaysOff]]-Games[[#This Row],[DaysOff]]</f>
        <v>0</v>
      </c>
      <c r="M506" s="16">
        <f>MAX(-16, MIN(16, Games[[#This Row],[RestDiff]]*8))</f>
        <v>0</v>
      </c>
      <c r="N506" s="16">
        <f>MAX(-16, MIN(16, Games[[#This Row],[OppRestDiff]]*8))</f>
        <v>0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1573.0948822075561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1412.0576554231545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0.60908362830366369</v>
      </c>
      <c r="R506" s="1">
        <v>68</v>
      </c>
      <c r="S506" s="1">
        <v>60</v>
      </c>
      <c r="T506" s="1">
        <v>0</v>
      </c>
      <c r="U506" s="16">
        <f>Games[[#This Row],[PointsFor]]-Games[[#This Row],[PointsAgainst]]</f>
        <v>8</v>
      </c>
      <c r="V506" s="16">
        <f>IF(Games[[#This Row],[MOV]]&gt;0,1,IF(Games[[#This Row],[MOV]]=0,0.5,0))</f>
        <v>1</v>
      </c>
      <c r="W506" s="4">
        <f>((ABS(Games[[#This Row],[MOV]])+5)^0.6)/(12+0.01*(ABS(Games[[#This Row],[PreGmRate]]-Games[[#This Row],[OppPreGmRate]])))*IF(Games[[#This Row],[OT]]=1,0.9,1)</f>
        <v>0.34237024001505956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6" s="9">
        <f>MAX(kmin, kmax - 0.15 * MIN(Games[[#This Row],[GamesPlayed]], 82))</f>
        <v>71.2</v>
      </c>
      <c r="Z506" s="4">
        <f>Games[[#This Row],[K]]*Games[[#This Row],[POMult]]</f>
        <v>71.2</v>
      </c>
      <c r="AA506" s="4">
        <f>(Games[[#This Row],[Keff]]*Games[[#This Row],[MOVMult]])*(Games[[#This Row],[Result]]-Games[[#This Row],[ExpectedWin%]])</f>
        <v>9.5292749986485532</v>
      </c>
      <c r="AB506" s="4">
        <f>Games[[#This Row],[PreGmRate]]+Games[[#This Row],[RatingChange]]</f>
        <v>1582.6241572062047</v>
      </c>
      <c r="AC506" s="2">
        <f>IF(Games[[#This Row],[Type]]="R",IF(Games[[#This Row],[Result]]&gt;0.5,1,0),0)</f>
        <v>1</v>
      </c>
      <c r="AD506" s="2">
        <f>IF(Games[[#This Row],[Type]]="R",IF(Games[[#This Row],[Result]]&lt;0.5,1,0),0)</f>
        <v>0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0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36747</v>
      </c>
      <c r="B507" s="2">
        <v>2000</v>
      </c>
      <c r="C507" s="2">
        <f>COUNTIFS(Games[Team],Games[[#This Row],[Team]],Games[Season],Games[[#This Row],[Season]],Games[Date],"&lt;=" &amp; Games[[#This Row],[Date]])</f>
        <v>32</v>
      </c>
      <c r="D507" s="2" t="s">
        <v>23</v>
      </c>
      <c r="E507" s="2" t="s">
        <v>29</v>
      </c>
      <c r="F507" s="1" t="s">
        <v>89</v>
      </c>
      <c r="G507" s="1" t="s">
        <v>44</v>
      </c>
      <c r="H507" s="1" t="s">
        <v>15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0</v>
      </c>
      <c r="L507" s="2">
        <f>Games[[#This Row],[OppDaysOff]]-Games[[#This Row],[DaysOff]]</f>
        <v>0</v>
      </c>
      <c r="M507" s="16">
        <f>MAX(-16, MIN(16, Games[[#This Row],[RestDiff]]*8))</f>
        <v>0</v>
      </c>
      <c r="N507" s="16">
        <f>MAX(-16, MIN(16, Games[[#This Row],[OppRestDiff]]*8))</f>
        <v>0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1412.0576554231545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1573.0948822075561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0.39091637169633631</v>
      </c>
      <c r="R507" s="1">
        <v>60</v>
      </c>
      <c r="S507" s="1">
        <v>68</v>
      </c>
      <c r="T507" s="1">
        <v>0</v>
      </c>
      <c r="U507" s="16">
        <f>Games[[#This Row],[PointsFor]]-Games[[#This Row],[PointsAgainst]]</f>
        <v>-8</v>
      </c>
      <c r="V507" s="16">
        <f>IF(Games[[#This Row],[MOV]]&gt;0,1,IF(Games[[#This Row],[MOV]]=0,0.5,0))</f>
        <v>0</v>
      </c>
      <c r="W507" s="4">
        <f>((ABS(Games[[#This Row],[MOV]])+5)^0.6)/(12+0.01*(ABS(Games[[#This Row],[PreGmRate]]-Games[[#This Row],[OppPreGmRate]])))*IF(Games[[#This Row],[OT]]=1,0.9,1)</f>
        <v>0.34237024001505956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7" s="9">
        <f>MAX(kmin, kmax - 0.15 * MIN(Games[[#This Row],[GamesPlayed]], 82))</f>
        <v>71.2</v>
      </c>
      <c r="Z507" s="4">
        <f>Games[[#This Row],[K]]*Games[[#This Row],[POMult]]</f>
        <v>71.2</v>
      </c>
      <c r="AA507" s="4">
        <f>(Games[[#This Row],[Keff]]*Games[[#This Row],[MOVMult]])*(Games[[#This Row],[Result]]-Games[[#This Row],[ExpectedWin%]])</f>
        <v>-9.5292749986485532</v>
      </c>
      <c r="AB507" s="4">
        <f>Games[[#This Row],[PreGmRate]]+Games[[#This Row],[RatingChange]]</f>
        <v>1402.5283804245059</v>
      </c>
      <c r="AC507" s="2">
        <f>IF(Games[[#This Row],[Type]]="R",IF(Games[[#This Row],[Result]]&gt;0.5,1,0),0)</f>
        <v>0</v>
      </c>
      <c r="AD507" s="2">
        <f>IF(Games[[#This Row],[Type]]="R",IF(Games[[#This Row],[Result]]&lt;0.5,1,0),0)</f>
        <v>1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0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36747</v>
      </c>
      <c r="B508" s="2">
        <v>2000</v>
      </c>
      <c r="C508" s="2">
        <f>COUNTIFS(Games[Team],Games[[#This Row],[Team]],Games[Season],Games[[#This Row],[Season]],Games[Date],"&lt;=" &amp; Games[[#This Row],[Date]])</f>
        <v>32</v>
      </c>
      <c r="D508" s="2" t="s">
        <v>23</v>
      </c>
      <c r="E508" s="2" t="s">
        <v>29</v>
      </c>
      <c r="F508" s="1" t="s">
        <v>87</v>
      </c>
      <c r="G508" s="1" t="s">
        <v>45</v>
      </c>
      <c r="H508" s="1" t="s">
        <v>16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8" s="2">
        <f>Games[[#This Row],[DaysOff]]-Games[[#This Row],[OppDaysOff]]</f>
        <v>-2</v>
      </c>
      <c r="L508" s="2">
        <f>Games[[#This Row],[OppDaysOff]]-Games[[#This Row],[DaysOff]]</f>
        <v>2</v>
      </c>
      <c r="M508" s="16">
        <f>MAX(-16, MIN(16, Games[[#This Row],[RestDiff]]*8))</f>
        <v>-16</v>
      </c>
      <c r="N508" s="16">
        <f>MAX(-16, MIN(16, Games[[#This Row],[OppRestDiff]]*8))</f>
        <v>16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1330.6554756893534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1610.0895993543886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9.3104746064997135E-2</v>
      </c>
      <c r="R508" s="1">
        <v>46</v>
      </c>
      <c r="S508" s="1">
        <v>79</v>
      </c>
      <c r="T508" s="1">
        <v>0</v>
      </c>
      <c r="U508" s="16">
        <f>Games[[#This Row],[PointsFor]]-Games[[#This Row],[PointsAgainst]]</f>
        <v>-33</v>
      </c>
      <c r="V508" s="16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0.59947976216238086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8" s="9">
        <f>MAX(kmin, kmax - 0.15 * MIN(Games[[#This Row],[GamesPlayed]], 82))</f>
        <v>71.2</v>
      </c>
      <c r="Z508" s="4">
        <f>Games[[#This Row],[K]]*Games[[#This Row],[POMult]]</f>
        <v>71.2</v>
      </c>
      <c r="AA508" s="4">
        <f>(Games[[#This Row],[Keff]]*Games[[#This Row],[MOVMult]])*(Games[[#This Row],[Result]]-Games[[#This Row],[ExpectedWin%]])</f>
        <v>-3.9739860651390146</v>
      </c>
      <c r="AB508" s="4">
        <f>Games[[#This Row],[PreGmRate]]+Games[[#This Row],[RatingChange]]</f>
        <v>1326.6814896242142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1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0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36747</v>
      </c>
      <c r="B509" s="2">
        <v>2000</v>
      </c>
      <c r="C509" s="2">
        <f>COUNTIFS(Games[Team],Games[[#This Row],[Team]],Games[Season],Games[[#This Row],[Season]],Games[Date],"&lt;=" &amp; Games[[#This Row],[Date]])</f>
        <v>32</v>
      </c>
      <c r="D509" s="2" t="s">
        <v>23</v>
      </c>
      <c r="E509" s="2" t="s">
        <v>29</v>
      </c>
      <c r="F509" s="1" t="s">
        <v>45</v>
      </c>
      <c r="G509" s="1" t="s">
        <v>87</v>
      </c>
      <c r="H509" s="1" t="s">
        <v>15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9" s="2">
        <f>Games[[#This Row],[DaysOff]]-Games[[#This Row],[OppDaysOff]]</f>
        <v>2</v>
      </c>
      <c r="L509" s="2">
        <f>Games[[#This Row],[OppDaysOff]]-Games[[#This Row],[DaysOff]]</f>
        <v>-2</v>
      </c>
      <c r="M509" s="16">
        <f>MAX(-16, MIN(16, Games[[#This Row],[RestDiff]]*8))</f>
        <v>16</v>
      </c>
      <c r="N509" s="16">
        <f>MAX(-16, MIN(16, Games[[#This Row],[OppRestDiff]]*8))</f>
        <v>-16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1610.0895993543886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1330.6554756893534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0.90689525393500281</v>
      </c>
      <c r="R509" s="1">
        <v>79</v>
      </c>
      <c r="S509" s="1">
        <v>46</v>
      </c>
      <c r="T509" s="1">
        <v>0</v>
      </c>
      <c r="U509" s="16">
        <f>Games[[#This Row],[PointsFor]]-Games[[#This Row],[PointsAgainst]]</f>
        <v>33</v>
      </c>
      <c r="V509" s="16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0.59947976216238086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9" s="9">
        <f>MAX(kmin, kmax - 0.15 * MIN(Games[[#This Row],[GamesPlayed]], 82))</f>
        <v>71.2</v>
      </c>
      <c r="Z509" s="4">
        <f>Games[[#This Row],[K]]*Games[[#This Row],[POMult]]</f>
        <v>71.2</v>
      </c>
      <c r="AA509" s="4">
        <f>(Games[[#This Row],[Keff]]*Games[[#This Row],[MOVMult]])*(Games[[#This Row],[Result]]-Games[[#This Row],[ExpectedWin%]])</f>
        <v>3.9739860651390169</v>
      </c>
      <c r="AB509" s="4">
        <f>Games[[#This Row],[PreGmRate]]+Games[[#This Row],[RatingChange]]</f>
        <v>1614.0635854195277</v>
      </c>
      <c r="AC509" s="2">
        <f>IF(Games[[#This Row],[Type]]="R",IF(Games[[#This Row],[Result]]&gt;0.5,1,0),0)</f>
        <v>1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0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36747</v>
      </c>
      <c r="B510" s="2">
        <v>2000</v>
      </c>
      <c r="C510" s="2">
        <f>COUNTIFS(Games[Team],Games[[#This Row],[Team]],Games[Season],Games[[#This Row],[Season]],Games[Date],"&lt;=" &amp; Games[[#This Row],[Date]])</f>
        <v>32</v>
      </c>
      <c r="D510" s="2" t="s">
        <v>23</v>
      </c>
      <c r="E510" s="2" t="s">
        <v>29</v>
      </c>
      <c r="F510" s="1" t="s">
        <v>71</v>
      </c>
      <c r="G510" s="1" t="s">
        <v>43</v>
      </c>
      <c r="H510" s="1" t="s">
        <v>16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0" s="2">
        <f>Games[[#This Row],[DaysOff]]-Games[[#This Row],[OppDaysOff]]</f>
        <v>-1</v>
      </c>
      <c r="L510" s="2">
        <f>Games[[#This Row],[OppDaysOff]]-Games[[#This Row],[DaysOff]]</f>
        <v>1</v>
      </c>
      <c r="M510" s="16">
        <f>MAX(-16, MIN(16, Games[[#This Row],[RestDiff]]*8))</f>
        <v>-8</v>
      </c>
      <c r="N510" s="16">
        <f>MAX(-16, MIN(16, Games[[#This Row],[OppRestDiff]]*8))</f>
        <v>8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1754.0277681878872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1534.4866217890067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0.6655517316203905</v>
      </c>
      <c r="R510" s="1">
        <v>77</v>
      </c>
      <c r="S510" s="1">
        <v>89</v>
      </c>
      <c r="T510" s="1">
        <v>0</v>
      </c>
      <c r="U510" s="16">
        <f>Games[[#This Row],[PointsFor]]-Games[[#This Row],[PointsAgainst]]</f>
        <v>-12</v>
      </c>
      <c r="V510" s="16">
        <f>IF(Games[[#This Row],[MOV]]&gt;0,1,IF(Games[[#This Row],[MOV]]=0,0.5,0))</f>
        <v>0</v>
      </c>
      <c r="W510" s="4">
        <f>((ABS(Games[[#This Row],[MOV]])+5)^0.6)/(12+0.01*(ABS(Games[[#This Row],[PreGmRate]]-Games[[#This Row],[OppPreGmRate]])))*IF(Games[[#This Row],[OT]]=1,0.9,1)</f>
        <v>0.38558609807147226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0" s="9">
        <f>MAX(kmin, kmax - 0.15 * MIN(Games[[#This Row],[GamesPlayed]], 82))</f>
        <v>71.2</v>
      </c>
      <c r="Z510" s="4">
        <f>Games[[#This Row],[K]]*Games[[#This Row],[POMult]]</f>
        <v>71.2</v>
      </c>
      <c r="AA510" s="4">
        <f>(Games[[#This Row],[Keff]]*Games[[#This Row],[MOVMult]])*(Games[[#This Row],[Result]]-Games[[#This Row],[ExpectedWin%]])</f>
        <v>-18.271877662527526</v>
      </c>
      <c r="AB510" s="4">
        <f>Games[[#This Row],[PreGmRate]]+Games[[#This Row],[RatingChange]]</f>
        <v>1735.7558905253597</v>
      </c>
      <c r="AC510" s="2">
        <f>IF(Games[[#This Row],[Type]]="R",IF(Games[[#This Row],[Result]]&gt;0.5,1,0),0)</f>
        <v>0</v>
      </c>
      <c r="AD510" s="2">
        <f>IF(Games[[#This Row],[Type]]="R",IF(Games[[#This Row],[Result]]&lt;0.5,1,0),0)</f>
        <v>1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0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0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36747</v>
      </c>
      <c r="B511" s="2">
        <v>2000</v>
      </c>
      <c r="C511" s="2">
        <f>COUNTIFS(Games[Team],Games[[#This Row],[Team]],Games[Season],Games[[#This Row],[Season]],Games[Date],"&lt;=" &amp; Games[[#This Row],[Date]])</f>
        <v>32</v>
      </c>
      <c r="D511" s="2" t="s">
        <v>23</v>
      </c>
      <c r="E511" s="2" t="s">
        <v>29</v>
      </c>
      <c r="F511" s="1" t="s">
        <v>43</v>
      </c>
      <c r="G511" s="1" t="s">
        <v>71</v>
      </c>
      <c r="H511" s="1" t="s">
        <v>15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1" s="2">
        <f>Games[[#This Row],[DaysOff]]-Games[[#This Row],[OppDaysOff]]</f>
        <v>1</v>
      </c>
      <c r="L511" s="2">
        <f>Games[[#This Row],[OppDaysOff]]-Games[[#This Row],[DaysOff]]</f>
        <v>-1</v>
      </c>
      <c r="M511" s="16">
        <f>MAX(-16, MIN(16, Games[[#This Row],[RestDiff]]*8))</f>
        <v>8</v>
      </c>
      <c r="N511" s="16">
        <f>MAX(-16, MIN(16, Games[[#This Row],[OppRestDiff]]*8))</f>
        <v>-8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1534.4866217890067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1754.0277681878872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0.3344482683796095</v>
      </c>
      <c r="R511" s="1">
        <v>89</v>
      </c>
      <c r="S511" s="1">
        <v>77</v>
      </c>
      <c r="T511" s="1">
        <v>0</v>
      </c>
      <c r="U511" s="16">
        <f>Games[[#This Row],[PointsFor]]-Games[[#This Row],[PointsAgainst]]</f>
        <v>12</v>
      </c>
      <c r="V511" s="16">
        <f>IF(Games[[#This Row],[MOV]]&gt;0,1,IF(Games[[#This Row],[MOV]]=0,0.5,0))</f>
        <v>1</v>
      </c>
      <c r="W511" s="4">
        <f>((ABS(Games[[#This Row],[MOV]])+5)^0.6)/(12+0.01*(ABS(Games[[#This Row],[PreGmRate]]-Games[[#This Row],[OppPreGmRate]])))*IF(Games[[#This Row],[OT]]=1,0.9,1)</f>
        <v>0.38558609807147226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1" s="9">
        <f>MAX(kmin, kmax - 0.15 * MIN(Games[[#This Row],[GamesPlayed]], 82))</f>
        <v>71.2</v>
      </c>
      <c r="Z511" s="4">
        <f>Games[[#This Row],[K]]*Games[[#This Row],[POMult]]</f>
        <v>71.2</v>
      </c>
      <c r="AA511" s="4">
        <f>(Games[[#This Row],[Keff]]*Games[[#This Row],[MOVMult]])*(Games[[#This Row],[Result]]-Games[[#This Row],[ExpectedWin%]])</f>
        <v>18.271877662527526</v>
      </c>
      <c r="AB511" s="4">
        <f>Games[[#This Row],[PreGmRate]]+Games[[#This Row],[RatingChange]]</f>
        <v>1552.7584994515341</v>
      </c>
      <c r="AC511" s="2">
        <f>IF(Games[[#This Row],[Type]]="R",IF(Games[[#This Row],[Result]]&gt;0.5,1,0),0)</f>
        <v>1</v>
      </c>
      <c r="AD511" s="2">
        <f>IF(Games[[#This Row],[Type]]="R",IF(Games[[#This Row],[Result]]&lt;0.5,1,0),0)</f>
        <v>0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0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0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36747</v>
      </c>
      <c r="B512" s="2">
        <v>2000</v>
      </c>
      <c r="C512" s="2">
        <f>COUNTIFS(Games[Team],Games[[#This Row],[Team]],Games[Season],Games[[#This Row],[Season]],Games[Date],"&lt;=" &amp; Games[[#This Row],[Date]])</f>
        <v>32</v>
      </c>
      <c r="D512" s="2" t="s">
        <v>23</v>
      </c>
      <c r="E512" s="2" t="s">
        <v>29</v>
      </c>
      <c r="F512" s="1" t="s">
        <v>1</v>
      </c>
      <c r="G512" s="1" t="s">
        <v>75</v>
      </c>
      <c r="H512" s="1" t="s">
        <v>16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2" s="2">
        <f>Games[[#This Row],[DaysOff]]-Games[[#This Row],[OppDaysOff]]</f>
        <v>-1</v>
      </c>
      <c r="L512" s="2">
        <f>Games[[#This Row],[OppDaysOff]]-Games[[#This Row],[DaysOff]]</f>
        <v>1</v>
      </c>
      <c r="M512" s="16">
        <f>MAX(-16, MIN(16, Games[[#This Row],[RestDiff]]*8))</f>
        <v>-8</v>
      </c>
      <c r="N512" s="16">
        <f>MAX(-16, MIN(16, Games[[#This Row],[OppRestDiff]]*8))</f>
        <v>8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1500.0271603156884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1417.3131456424621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0.47514397330113539</v>
      </c>
      <c r="R512" s="1">
        <v>48</v>
      </c>
      <c r="S512" s="1">
        <v>60</v>
      </c>
      <c r="T512" s="1">
        <v>0</v>
      </c>
      <c r="U512" s="16">
        <f>Games[[#This Row],[PointsFor]]-Games[[#This Row],[PointsAgainst]]</f>
        <v>-12</v>
      </c>
      <c r="V512" s="16">
        <f>IF(Games[[#This Row],[MOV]]&gt;0,1,IF(Games[[#This Row],[MOV]]=0,0.5,0))</f>
        <v>0</v>
      </c>
      <c r="W512" s="4">
        <f>((ABS(Games[[#This Row],[MOV]])+5)^0.6)/(12+0.01*(ABS(Games[[#This Row],[PreGmRate]]-Games[[#This Row],[OppPreGmRate]])))*IF(Games[[#This Row],[OT]]=1,0.9,1)</f>
        <v>0.42671657550361186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2" s="9">
        <f>MAX(kmin, kmax - 0.15 * MIN(Games[[#This Row],[GamesPlayed]], 82))</f>
        <v>71.2</v>
      </c>
      <c r="Z512" s="4">
        <f>Games[[#This Row],[K]]*Games[[#This Row],[POMult]]</f>
        <v>71.2</v>
      </c>
      <c r="AA512" s="4">
        <f>(Games[[#This Row],[Keff]]*Games[[#This Row],[MOVMult]])*(Games[[#This Row],[Result]]-Games[[#This Row],[ExpectedWin%]])</f>
        <v>-14.435928812066695</v>
      </c>
      <c r="AB512" s="4">
        <f>Games[[#This Row],[PreGmRate]]+Games[[#This Row],[RatingChange]]</f>
        <v>1485.5912315036217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1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0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36747</v>
      </c>
      <c r="B513" s="2">
        <v>2000</v>
      </c>
      <c r="C513" s="2">
        <f>COUNTIFS(Games[Team],Games[[#This Row],[Team]],Games[Season],Games[[#This Row],[Season]],Games[Date],"&lt;=" &amp; Games[[#This Row],[Date]])</f>
        <v>32</v>
      </c>
      <c r="D513" s="2" t="s">
        <v>23</v>
      </c>
      <c r="E513" s="2" t="s">
        <v>29</v>
      </c>
      <c r="F513" s="1" t="s">
        <v>75</v>
      </c>
      <c r="G513" s="1" t="s">
        <v>1</v>
      </c>
      <c r="H513" s="1" t="s">
        <v>15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3" s="2">
        <f>Games[[#This Row],[DaysOff]]-Games[[#This Row],[OppDaysOff]]</f>
        <v>1</v>
      </c>
      <c r="L513" s="2">
        <f>Games[[#This Row],[OppDaysOff]]-Games[[#This Row],[DaysOff]]</f>
        <v>-1</v>
      </c>
      <c r="M513" s="16">
        <f>MAX(-16, MIN(16, Games[[#This Row],[RestDiff]]*8))</f>
        <v>8</v>
      </c>
      <c r="N513" s="16">
        <f>MAX(-16, MIN(16, Games[[#This Row],[OppRestDiff]]*8))</f>
        <v>-8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1417.3131456424621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1500.0271603156884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0.52485602669886455</v>
      </c>
      <c r="R513" s="1">
        <v>60</v>
      </c>
      <c r="S513" s="1">
        <v>48</v>
      </c>
      <c r="T513" s="1">
        <v>0</v>
      </c>
      <c r="U513" s="16">
        <f>Games[[#This Row],[PointsFor]]-Games[[#This Row],[PointsAgainst]]</f>
        <v>12</v>
      </c>
      <c r="V513" s="16">
        <f>IF(Games[[#This Row],[MOV]]&gt;0,1,IF(Games[[#This Row],[MOV]]=0,0.5,0))</f>
        <v>1</v>
      </c>
      <c r="W513" s="4">
        <f>((ABS(Games[[#This Row],[MOV]])+5)^0.6)/(12+0.01*(ABS(Games[[#This Row],[PreGmRate]]-Games[[#This Row],[OppPreGmRate]])))*IF(Games[[#This Row],[OT]]=1,0.9,1)</f>
        <v>0.42671657550361186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3" s="9">
        <f>MAX(kmin, kmax - 0.15 * MIN(Games[[#This Row],[GamesPlayed]], 82))</f>
        <v>71.2</v>
      </c>
      <c r="Z513" s="4">
        <f>Games[[#This Row],[K]]*Games[[#This Row],[POMult]]</f>
        <v>71.2</v>
      </c>
      <c r="AA513" s="4">
        <f>(Games[[#This Row],[Keff]]*Games[[#This Row],[MOVMult]])*(Games[[#This Row],[Result]]-Games[[#This Row],[ExpectedWin%]])</f>
        <v>14.435928812066697</v>
      </c>
      <c r="AB513" s="4">
        <f>Games[[#This Row],[PreGmRate]]+Games[[#This Row],[RatingChange]]</f>
        <v>1431.7490744545289</v>
      </c>
      <c r="AC513" s="2">
        <f>IF(Games[[#This Row],[Type]]="R",IF(Games[[#This Row],[Result]]&gt;0.5,1,0),0)</f>
        <v>1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0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36749</v>
      </c>
      <c r="B514" s="2">
        <v>2000</v>
      </c>
      <c r="C514" s="2">
        <f>COUNTIFS(Games[Team],Games[[#This Row],[Team]],Games[Season],Games[[#This Row],[Season]],Games[Date],"&lt;=" &amp; Games[[#This Row],[Date]])</f>
        <v>33</v>
      </c>
      <c r="D514" s="2" t="s">
        <v>46</v>
      </c>
      <c r="E514" s="2">
        <v>1</v>
      </c>
      <c r="F514" s="1" t="s">
        <v>1</v>
      </c>
      <c r="G514" s="1" t="s">
        <v>79</v>
      </c>
      <c r="H514" s="1" t="s">
        <v>16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4" s="2">
        <f>Games[[#This Row],[DaysOff]]-Games[[#This Row],[OppDaysOff]]</f>
        <v>0</v>
      </c>
      <c r="L514" s="2">
        <f>Games[[#This Row],[OppDaysOff]]-Games[[#This Row],[DaysOff]]</f>
        <v>0</v>
      </c>
      <c r="M514" s="16">
        <f>MAX(-16, MIN(16, Games[[#This Row],[RestDiff]]*8))</f>
        <v>0</v>
      </c>
      <c r="N514" s="16">
        <f>MAX(-16, MIN(16, Games[[#This Row],[OppRestDiff]]*8))</f>
        <v>0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1485.5912315036217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1472.3342246623861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0.39957664385962277</v>
      </c>
      <c r="R514" s="1">
        <v>55</v>
      </c>
      <c r="S514" s="1">
        <v>62</v>
      </c>
      <c r="T514" s="1">
        <v>0</v>
      </c>
      <c r="U514" s="16">
        <f>Games[[#This Row],[PointsFor]]-Games[[#This Row],[PointsAgainst]]</f>
        <v>-7</v>
      </c>
      <c r="V514" s="16">
        <f>IF(Games[[#This Row],[MOV]]&gt;0,1,IF(Games[[#This Row],[MOV]]=0,0.5,0))</f>
        <v>0</v>
      </c>
      <c r="W514" s="4">
        <f>((ABS(Games[[#This Row],[MOV]])+5)^0.6)/(12+0.01*(ABS(Games[[#This Row],[PreGmRate]]-Games[[#This Row],[OppPreGmRate]])))*IF(Games[[#This Row],[OT]]=1,0.9,1)</f>
        <v>0.36606308843077778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4" s="9">
        <f>MAX(kmin, kmax - 0.15 * MIN(Games[[#This Row],[GamesPlayed]], 82))</f>
        <v>71.05</v>
      </c>
      <c r="Z514" s="4">
        <f>Games[[#This Row],[K]]*Games[[#This Row],[POMult]]</f>
        <v>78.155000000000001</v>
      </c>
      <c r="AA514" s="4">
        <f>(Games[[#This Row],[Keff]]*Games[[#This Row],[MOVMult]])*(Games[[#This Row],[Result]]-Games[[#This Row],[ExpectedWin%]])</f>
        <v>-11.431752195001552</v>
      </c>
      <c r="AB514" s="4">
        <f>Games[[#This Row],[PreGmRate]]+Games[[#This Row],[RatingChange]]</f>
        <v>1474.1594793086201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1</v>
      </c>
      <c r="AG514" s="2">
        <f>IF(AND(Games[[#This Row],[Type]]="P",Games[[#This Row],[Round]]=2),IF(Games[[#This Row],[Result]]&gt;0.5,1,0),0)</f>
        <v>0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0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36749</v>
      </c>
      <c r="B515" s="2">
        <v>2000</v>
      </c>
      <c r="C515" s="2">
        <f>COUNTIFS(Games[Team],Games[[#This Row],[Team]],Games[Season],Games[[#This Row],[Season]],Games[Date],"&lt;=" &amp; Games[[#This Row],[Date]])</f>
        <v>33</v>
      </c>
      <c r="D515" s="2" t="s">
        <v>46</v>
      </c>
      <c r="E515" s="2">
        <v>1</v>
      </c>
      <c r="F515" s="1" t="s">
        <v>79</v>
      </c>
      <c r="G515" s="1" t="s">
        <v>1</v>
      </c>
      <c r="H515" s="1" t="s">
        <v>15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0</v>
      </c>
      <c r="L515" s="2">
        <f>Games[[#This Row],[OppDaysOff]]-Games[[#This Row],[DaysOff]]</f>
        <v>0</v>
      </c>
      <c r="M515" s="16">
        <f>MAX(-16, MIN(16, Games[[#This Row],[RestDiff]]*8))</f>
        <v>0</v>
      </c>
      <c r="N515" s="16">
        <f>MAX(-16, MIN(16, Games[[#This Row],[OppRestDiff]]*8))</f>
        <v>0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1472.3342246623861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1485.5912315036217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0.60042335614037723</v>
      </c>
      <c r="R515" s="1">
        <v>62</v>
      </c>
      <c r="S515" s="1">
        <v>55</v>
      </c>
      <c r="T515" s="1">
        <v>0</v>
      </c>
      <c r="U515" s="16">
        <f>Games[[#This Row],[PointsFor]]-Games[[#This Row],[PointsAgainst]]</f>
        <v>7</v>
      </c>
      <c r="V515" s="16">
        <f>IF(Games[[#This Row],[MOV]]&gt;0,1,IF(Games[[#This Row],[MOV]]=0,0.5,0))</f>
        <v>1</v>
      </c>
      <c r="W515" s="4">
        <f>((ABS(Games[[#This Row],[MOV]])+5)^0.6)/(12+0.01*(ABS(Games[[#This Row],[PreGmRate]]-Games[[#This Row],[OppPreGmRate]])))*IF(Games[[#This Row],[OT]]=1,0.9,1)</f>
        <v>0.36606308843077778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5" s="9">
        <f>MAX(kmin, kmax - 0.15 * MIN(Games[[#This Row],[GamesPlayed]], 82))</f>
        <v>71.05</v>
      </c>
      <c r="Z515" s="4">
        <f>Games[[#This Row],[K]]*Games[[#This Row],[POMult]]</f>
        <v>78.155000000000001</v>
      </c>
      <c r="AA515" s="4">
        <f>(Games[[#This Row],[Keff]]*Games[[#This Row],[MOVMult]])*(Games[[#This Row],[Result]]-Games[[#This Row],[ExpectedWin%]])</f>
        <v>11.431752195001552</v>
      </c>
      <c r="AB515" s="4">
        <f>Games[[#This Row],[PreGmRate]]+Games[[#This Row],[RatingChange]]</f>
        <v>1483.7659768573876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1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0</v>
      </c>
      <c r="AI515" s="2">
        <f>IF(AND(Games[[#This Row],[Type]]="P",Games[[#This Row],[Round]]=3),IF(Games[[#This Row],[Result]]&gt;0.5,1,0),0)</f>
        <v>0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  <row r="516" spans="1:38" x14ac:dyDescent="0.35">
      <c r="A516" s="10">
        <v>36749</v>
      </c>
      <c r="B516" s="2">
        <v>2000</v>
      </c>
      <c r="C516" s="2">
        <f>COUNTIFS(Games[Team],Games[[#This Row],[Team]],Games[Season],Games[[#This Row],[Season]],Games[Date],"&lt;=" &amp; Games[[#This Row],[Date]])</f>
        <v>33</v>
      </c>
      <c r="D516" s="2" t="s">
        <v>46</v>
      </c>
      <c r="E516" s="2">
        <v>1</v>
      </c>
      <c r="F516" s="1" t="s">
        <v>71</v>
      </c>
      <c r="G516" s="1" t="s">
        <v>44</v>
      </c>
      <c r="H516" s="1" t="s">
        <v>16</v>
      </c>
      <c r="I516" s="2" cm="1">
        <f t="array" ref="I5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6" s="2" cm="1">
        <f t="array" ref="J5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6" s="2">
        <f>Games[[#This Row],[DaysOff]]-Games[[#This Row],[OppDaysOff]]</f>
        <v>0</v>
      </c>
      <c r="L516" s="2">
        <f>Games[[#This Row],[OppDaysOff]]-Games[[#This Row],[DaysOff]]</f>
        <v>0</v>
      </c>
      <c r="M516" s="16">
        <f>MAX(-16, MIN(16, Games[[#This Row],[RestDiff]]*8))</f>
        <v>0</v>
      </c>
      <c r="N516" s="16">
        <f>MAX(-16, MIN(16, Games[[#This Row],[OppRestDiff]]*8))</f>
        <v>0</v>
      </c>
      <c r="O516" s="4" cm="1">
        <f t="array" ref="O5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1735.7558905253597</v>
      </c>
      <c r="P516" s="4" cm="1">
        <f t="array" ref="P5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1582.6241572062047</v>
      </c>
      <c r="Q516" s="4">
        <f>1/(1+10^(((Games[[#This Row],[OppPreGmRate]]+IF(Games[[#This Row],[HomeAway]]="A",HCA,0)+Games[[#This Row],[OppRestAdj]])-(Games[[#This Row],[PreGmRate]]+IF(Games[[#This Row],[HomeAway]]="H",HCA,0)+Games[[#This Row],[RestAdj]]))/400))</f>
        <v>0.59819604676637772</v>
      </c>
      <c r="R516" s="1">
        <v>86</v>
      </c>
      <c r="S516" s="1">
        <v>71</v>
      </c>
      <c r="T516" s="1">
        <v>0</v>
      </c>
      <c r="U516" s="16">
        <f>Games[[#This Row],[PointsFor]]-Games[[#This Row],[PointsAgainst]]</f>
        <v>15</v>
      </c>
      <c r="V516" s="16">
        <f>IF(Games[[#This Row],[MOV]]&gt;0,1,IF(Games[[#This Row],[MOV]]=0,0.5,0))</f>
        <v>1</v>
      </c>
      <c r="W516" s="4">
        <f>((ABS(Games[[#This Row],[MOV]])+5)^0.6)/(12+0.01*(ABS(Games[[#This Row],[PreGmRate]]-Games[[#This Row],[OppPreGmRate]])))*IF(Games[[#This Row],[OT]]=1,0.9,1)</f>
        <v>0.44594152867464509</v>
      </c>
      <c r="X516" s="7" cm="1">
        <f t="array" ref="X5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6" s="9">
        <f>MAX(kmin, kmax - 0.15 * MIN(Games[[#This Row],[GamesPlayed]], 82))</f>
        <v>71.05</v>
      </c>
      <c r="Z516" s="4">
        <f>Games[[#This Row],[K]]*Games[[#This Row],[POMult]]</f>
        <v>78.155000000000001</v>
      </c>
      <c r="AA516" s="4">
        <f>(Games[[#This Row],[Keff]]*Games[[#This Row],[MOVMult]])*(Games[[#This Row],[Result]]-Games[[#This Row],[ExpectedWin%]])</f>
        <v>14.003896458051875</v>
      </c>
      <c r="AB516" s="4">
        <f>Games[[#This Row],[PreGmRate]]+Games[[#This Row],[RatingChange]]</f>
        <v>1749.7597869834117</v>
      </c>
      <c r="AC516" s="2">
        <f>IF(Games[[#This Row],[Type]]="R",IF(Games[[#This Row],[Result]]&gt;0.5,1,0),0)</f>
        <v>0</v>
      </c>
      <c r="AD516" s="2">
        <f>IF(Games[[#This Row],[Type]]="R",IF(Games[[#This Row],[Result]]&lt;0.5,1,0),0)</f>
        <v>0</v>
      </c>
      <c r="AE516" s="2">
        <f>IF(AND(Games[[#This Row],[Type]]="P",Games[[#This Row],[Round]]=1),IF(Games[[#This Row],[Result]]&gt;0.5,1,0),0)</f>
        <v>1</v>
      </c>
      <c r="AF516" s="2">
        <f>IF(AND(Games[[#This Row],[Type]]="P",Games[[#This Row],[Round]]=1),IF(Games[[#This Row],[Result]]&lt;0.5,1,0),0)</f>
        <v>0</v>
      </c>
      <c r="AG516" s="2">
        <f>IF(AND(Games[[#This Row],[Type]]="P",Games[[#This Row],[Round]]=2),IF(Games[[#This Row],[Result]]&gt;0.5,1,0),0)</f>
        <v>0</v>
      </c>
      <c r="AH516" s="2">
        <f>IF(AND(Games[[#This Row],[Type]]="P",Games[[#This Row],[Round]]=2),IF(Games[[#This Row],[Result]]&lt;0.5,1,0),0)</f>
        <v>0</v>
      </c>
      <c r="AI516" s="2">
        <f>IF(AND(Games[[#This Row],[Type]]="P",Games[[#This Row],[Round]]=3),IF(Games[[#This Row],[Result]]&gt;0.5,1,0),0)</f>
        <v>0</v>
      </c>
      <c r="AJ516" s="2">
        <f>IF(AND(Games[[#This Row],[Type]]="P",Games[[#This Row],[Round]]=3),IF(Games[[#This Row],[Result]]&lt;0.5,1,0),0)</f>
        <v>0</v>
      </c>
      <c r="AK516" s="2">
        <f>IF(AND(Games[[#This Row],[Type]]="P",Games[[#This Row],[Round]]=4),IF(Games[[#This Row],[Result]]&gt;0.5,1,0),0)</f>
        <v>0</v>
      </c>
      <c r="AL516" s="2">
        <f>IF(AND(Games[[#This Row],[Type]]="P",Games[[#This Row],[Round]]=4),IF(Games[[#This Row],[Result]]&lt;0.5,1,0),0)</f>
        <v>0</v>
      </c>
    </row>
    <row r="517" spans="1:38" x14ac:dyDescent="0.35">
      <c r="A517" s="10">
        <v>36749</v>
      </c>
      <c r="B517" s="2">
        <v>2000</v>
      </c>
      <c r="C517" s="2">
        <f>COUNTIFS(Games[Team],Games[[#This Row],[Team]],Games[Season],Games[[#This Row],[Season]],Games[Date],"&lt;=" &amp; Games[[#This Row],[Date]])</f>
        <v>33</v>
      </c>
      <c r="D517" s="2" t="s">
        <v>46</v>
      </c>
      <c r="E517" s="2">
        <v>1</v>
      </c>
      <c r="F517" s="1" t="s">
        <v>44</v>
      </c>
      <c r="G517" s="1" t="s">
        <v>71</v>
      </c>
      <c r="H517" s="1" t="s">
        <v>15</v>
      </c>
      <c r="I517" s="2" cm="1">
        <f t="array" ref="I5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7" s="2" cm="1">
        <f t="array" ref="J5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7" s="2">
        <f>Games[[#This Row],[DaysOff]]-Games[[#This Row],[OppDaysOff]]</f>
        <v>0</v>
      </c>
      <c r="L517" s="2">
        <f>Games[[#This Row],[OppDaysOff]]-Games[[#This Row],[DaysOff]]</f>
        <v>0</v>
      </c>
      <c r="M517" s="16">
        <f>MAX(-16, MIN(16, Games[[#This Row],[RestDiff]]*8))</f>
        <v>0</v>
      </c>
      <c r="N517" s="16">
        <f>MAX(-16, MIN(16, Games[[#This Row],[OppRestDiff]]*8))</f>
        <v>0</v>
      </c>
      <c r="O517" s="4" cm="1">
        <f t="array" ref="O5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1582.6241572062047</v>
      </c>
      <c r="P517" s="4" cm="1">
        <f t="array" ref="P5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1735.7558905253597</v>
      </c>
      <c r="Q517" s="4">
        <f>1/(1+10^(((Games[[#This Row],[OppPreGmRate]]+IF(Games[[#This Row],[HomeAway]]="A",HCA,0)+Games[[#This Row],[OppRestAdj]])-(Games[[#This Row],[PreGmRate]]+IF(Games[[#This Row],[HomeAway]]="H",HCA,0)+Games[[#This Row],[RestAdj]]))/400))</f>
        <v>0.40180395323362228</v>
      </c>
      <c r="R517" s="1">
        <v>71</v>
      </c>
      <c r="S517" s="1">
        <v>86</v>
      </c>
      <c r="T517" s="1">
        <v>0</v>
      </c>
      <c r="U517" s="16">
        <f>Games[[#This Row],[PointsFor]]-Games[[#This Row],[PointsAgainst]]</f>
        <v>-15</v>
      </c>
      <c r="V517" s="16">
        <f>IF(Games[[#This Row],[MOV]]&gt;0,1,IF(Games[[#This Row],[MOV]]=0,0.5,0))</f>
        <v>0</v>
      </c>
      <c r="W517" s="4">
        <f>((ABS(Games[[#This Row],[MOV]])+5)^0.6)/(12+0.01*(ABS(Games[[#This Row],[PreGmRate]]-Games[[#This Row],[OppPreGmRate]])))*IF(Games[[#This Row],[OT]]=1,0.9,1)</f>
        <v>0.44594152867464509</v>
      </c>
      <c r="X517" s="7" cm="1">
        <f t="array" ref="X5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7" s="9">
        <f>MAX(kmin, kmax - 0.15 * MIN(Games[[#This Row],[GamesPlayed]], 82))</f>
        <v>71.05</v>
      </c>
      <c r="Z517" s="4">
        <f>Games[[#This Row],[K]]*Games[[#This Row],[POMult]]</f>
        <v>78.155000000000001</v>
      </c>
      <c r="AA517" s="4">
        <f>(Games[[#This Row],[Keff]]*Games[[#This Row],[MOVMult]])*(Games[[#This Row],[Result]]-Games[[#This Row],[ExpectedWin%]])</f>
        <v>-14.003896458051875</v>
      </c>
      <c r="AB517" s="4">
        <f>Games[[#This Row],[PreGmRate]]+Games[[#This Row],[RatingChange]]</f>
        <v>1568.6202607481528</v>
      </c>
      <c r="AC517" s="2">
        <f>IF(Games[[#This Row],[Type]]="R",IF(Games[[#This Row],[Result]]&gt;0.5,1,0),0)</f>
        <v>0</v>
      </c>
      <c r="AD517" s="2">
        <f>IF(Games[[#This Row],[Type]]="R",IF(Games[[#This Row],[Result]]&lt;0.5,1,0),0)</f>
        <v>0</v>
      </c>
      <c r="AE517" s="2">
        <f>IF(AND(Games[[#This Row],[Type]]="P",Games[[#This Row],[Round]]=1),IF(Games[[#This Row],[Result]]&gt;0.5,1,0),0)</f>
        <v>0</v>
      </c>
      <c r="AF517" s="2">
        <f>IF(AND(Games[[#This Row],[Type]]="P",Games[[#This Row],[Round]]=1),IF(Games[[#This Row],[Result]]&lt;0.5,1,0),0)</f>
        <v>1</v>
      </c>
      <c r="AG517" s="2">
        <f>IF(AND(Games[[#This Row],[Type]]="P",Games[[#This Row],[Round]]=2),IF(Games[[#This Row],[Result]]&gt;0.5,1,0),0)</f>
        <v>0</v>
      </c>
      <c r="AH517" s="2">
        <f>IF(AND(Games[[#This Row],[Type]]="P",Games[[#This Row],[Round]]=2),IF(Games[[#This Row],[Result]]&lt;0.5,1,0),0)</f>
        <v>0</v>
      </c>
      <c r="AI517" s="2">
        <f>IF(AND(Games[[#This Row],[Type]]="P",Games[[#This Row],[Round]]=3),IF(Games[[#This Row],[Result]]&gt;0.5,1,0),0)</f>
        <v>0</v>
      </c>
      <c r="AJ517" s="2">
        <f>IF(AND(Games[[#This Row],[Type]]="P",Games[[#This Row],[Round]]=3),IF(Games[[#This Row],[Result]]&lt;0.5,1,0),0)</f>
        <v>0</v>
      </c>
      <c r="AK517" s="2">
        <f>IF(AND(Games[[#This Row],[Type]]="P",Games[[#This Row],[Round]]=4),IF(Games[[#This Row],[Result]]&gt;0.5,1,0),0)</f>
        <v>0</v>
      </c>
      <c r="AL517" s="2">
        <f>IF(AND(Games[[#This Row],[Type]]="P",Games[[#This Row],[Round]]=4),IF(Games[[#This Row],[Result]]&lt;0.5,1,0),0)</f>
        <v>0</v>
      </c>
    </row>
    <row r="518" spans="1:38" x14ac:dyDescent="0.35">
      <c r="A518" s="10">
        <v>36750</v>
      </c>
      <c r="B518" s="2">
        <v>2000</v>
      </c>
      <c r="C518" s="2">
        <f>COUNTIFS(Games[Team],Games[[#This Row],[Team]],Games[Season],Games[[#This Row],[Season]],Games[Date],"&lt;=" &amp; Games[[#This Row],[Date]])</f>
        <v>33</v>
      </c>
      <c r="D518" s="2" t="s">
        <v>46</v>
      </c>
      <c r="E518" s="2">
        <v>1</v>
      </c>
      <c r="F518" s="1" t="s">
        <v>2</v>
      </c>
      <c r="G518" s="1" t="s">
        <v>45</v>
      </c>
      <c r="H518" s="1" t="s">
        <v>16</v>
      </c>
      <c r="I518" s="2" cm="1">
        <f t="array" ref="I5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8" s="2" cm="1">
        <f t="array" ref="J5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8" s="2">
        <f>Games[[#This Row],[DaysOff]]-Games[[#This Row],[OppDaysOff]]</f>
        <v>0</v>
      </c>
      <c r="L518" s="2">
        <f>Games[[#This Row],[OppDaysOff]]-Games[[#This Row],[DaysOff]]</f>
        <v>0</v>
      </c>
      <c r="M518" s="16">
        <f>MAX(-16, MIN(16, Games[[#This Row],[RestDiff]]*8))</f>
        <v>0</v>
      </c>
      <c r="N518" s="16">
        <f>MAX(-16, MIN(16, Games[[#This Row],[OppRestDiff]]*8))</f>
        <v>0</v>
      </c>
      <c r="O518" s="4" cm="1">
        <f t="array" ref="O5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1749.4619710528596</v>
      </c>
      <c r="P518" s="4" cm="1">
        <f t="array" ref="P5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1614.0635854195277</v>
      </c>
      <c r="Q518" s="4">
        <f>1/(1+10^(((Games[[#This Row],[OppPreGmRate]]+IF(Games[[#This Row],[HomeAway]]="A",HCA,0)+Games[[#This Row],[OppRestAdj]])-(Games[[#This Row],[PreGmRate]]+IF(Games[[#This Row],[HomeAway]]="H",HCA,0)+Games[[#This Row],[RestAdj]]))/400))</f>
        <v>0.5734333021822513</v>
      </c>
      <c r="R518" s="1">
        <v>72</v>
      </c>
      <c r="S518" s="1">
        <v>64</v>
      </c>
      <c r="T518" s="1">
        <v>0</v>
      </c>
      <c r="U518" s="16">
        <f>Games[[#This Row],[PointsFor]]-Games[[#This Row],[PointsAgainst]]</f>
        <v>8</v>
      </c>
      <c r="V518" s="16">
        <f>IF(Games[[#This Row],[MOV]]&gt;0,1,IF(Games[[#This Row],[MOV]]=0,0.5,0))</f>
        <v>1</v>
      </c>
      <c r="W518" s="4">
        <f>((ABS(Games[[#This Row],[MOV]])+5)^0.6)/(12+0.01*(ABS(Games[[#This Row],[PreGmRate]]-Games[[#This Row],[OppPreGmRate]])))*IF(Games[[#This Row],[OT]]=1,0.9,1)</f>
        <v>0.34894354150548829</v>
      </c>
      <c r="X518" s="7" cm="1">
        <f t="array" ref="X5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8" s="9">
        <f>MAX(kmin, kmax - 0.15 * MIN(Games[[#This Row],[GamesPlayed]], 82))</f>
        <v>71.05</v>
      </c>
      <c r="Z518" s="4">
        <f>Games[[#This Row],[K]]*Games[[#This Row],[POMult]]</f>
        <v>78.155000000000001</v>
      </c>
      <c r="AA518" s="4">
        <f>(Games[[#This Row],[Keff]]*Games[[#This Row],[MOVMult]])*(Games[[#This Row],[Result]]-Games[[#This Row],[ExpectedWin%]])</f>
        <v>11.633191542141329</v>
      </c>
      <c r="AB518" s="4">
        <f>Games[[#This Row],[PreGmRate]]+Games[[#This Row],[RatingChange]]</f>
        <v>1761.0951625950008</v>
      </c>
      <c r="AC518" s="2">
        <f>IF(Games[[#This Row],[Type]]="R",IF(Games[[#This Row],[Result]]&gt;0.5,1,0),0)</f>
        <v>0</v>
      </c>
      <c r="AD518" s="2">
        <f>IF(Games[[#This Row],[Type]]="R",IF(Games[[#This Row],[Result]]&lt;0.5,1,0),0)</f>
        <v>0</v>
      </c>
      <c r="AE518" s="2">
        <f>IF(AND(Games[[#This Row],[Type]]="P",Games[[#This Row],[Round]]=1),IF(Games[[#This Row],[Result]]&gt;0.5,1,0),0)</f>
        <v>1</v>
      </c>
      <c r="AF518" s="2">
        <f>IF(AND(Games[[#This Row],[Type]]="P",Games[[#This Row],[Round]]=1),IF(Games[[#This Row],[Result]]&lt;0.5,1,0),0)</f>
        <v>0</v>
      </c>
      <c r="AG518" s="2">
        <f>IF(AND(Games[[#This Row],[Type]]="P",Games[[#This Row],[Round]]=2),IF(Games[[#This Row],[Result]]&gt;0.5,1,0),0)</f>
        <v>0</v>
      </c>
      <c r="AH518" s="2">
        <f>IF(AND(Games[[#This Row],[Type]]="P",Games[[#This Row],[Round]]=2),IF(Games[[#This Row],[Result]]&lt;0.5,1,0),0)</f>
        <v>0</v>
      </c>
      <c r="AI518" s="2">
        <f>IF(AND(Games[[#This Row],[Type]]="P",Games[[#This Row],[Round]]=3),IF(Games[[#This Row],[Result]]&gt;0.5,1,0),0)</f>
        <v>0</v>
      </c>
      <c r="AJ518" s="2">
        <f>IF(AND(Games[[#This Row],[Type]]="P",Games[[#This Row],[Round]]=3),IF(Games[[#This Row],[Result]]&lt;0.5,1,0),0)</f>
        <v>0</v>
      </c>
      <c r="AK518" s="2">
        <f>IF(AND(Games[[#This Row],[Type]]="P",Games[[#This Row],[Round]]=4),IF(Games[[#This Row],[Result]]&gt;0.5,1,0),0)</f>
        <v>0</v>
      </c>
      <c r="AL518" s="2">
        <f>IF(AND(Games[[#This Row],[Type]]="P",Games[[#This Row],[Round]]=4),IF(Games[[#This Row],[Result]]&lt;0.5,1,0),0)</f>
        <v>0</v>
      </c>
    </row>
    <row r="519" spans="1:38" x14ac:dyDescent="0.35">
      <c r="A519" s="10">
        <v>36750</v>
      </c>
      <c r="B519" s="2">
        <v>2000</v>
      </c>
      <c r="C519" s="2">
        <f>COUNTIFS(Games[Team],Games[[#This Row],[Team]],Games[Season],Games[[#This Row],[Season]],Games[Date],"&lt;=" &amp; Games[[#This Row],[Date]])</f>
        <v>33</v>
      </c>
      <c r="D519" s="2" t="s">
        <v>46</v>
      </c>
      <c r="E519" s="2">
        <v>1</v>
      </c>
      <c r="F519" s="1" t="s">
        <v>45</v>
      </c>
      <c r="G519" s="1" t="s">
        <v>2</v>
      </c>
      <c r="H519" s="1" t="s">
        <v>15</v>
      </c>
      <c r="I519" s="2" cm="1">
        <f t="array" ref="I5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9" s="2" cm="1">
        <f t="array" ref="J5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9" s="2">
        <f>Games[[#This Row],[DaysOff]]-Games[[#This Row],[OppDaysOff]]</f>
        <v>0</v>
      </c>
      <c r="L519" s="2">
        <f>Games[[#This Row],[OppDaysOff]]-Games[[#This Row],[DaysOff]]</f>
        <v>0</v>
      </c>
      <c r="M519" s="16">
        <f>MAX(-16, MIN(16, Games[[#This Row],[RestDiff]]*8))</f>
        <v>0</v>
      </c>
      <c r="N519" s="16">
        <f>MAX(-16, MIN(16, Games[[#This Row],[OppRestDiff]]*8))</f>
        <v>0</v>
      </c>
      <c r="O519" s="4" cm="1">
        <f t="array" ref="O5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1614.0635854195277</v>
      </c>
      <c r="P519" s="4" cm="1">
        <f t="array" ref="P5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1749.4619710528596</v>
      </c>
      <c r="Q519" s="4">
        <f>1/(1+10^(((Games[[#This Row],[OppPreGmRate]]+IF(Games[[#This Row],[HomeAway]]="A",HCA,0)+Games[[#This Row],[OppRestAdj]])-(Games[[#This Row],[PreGmRate]]+IF(Games[[#This Row],[HomeAway]]="H",HCA,0)+Games[[#This Row],[RestAdj]]))/400))</f>
        <v>0.42656669781774864</v>
      </c>
      <c r="R519" s="1">
        <v>64</v>
      </c>
      <c r="S519" s="1">
        <v>72</v>
      </c>
      <c r="T519" s="1">
        <v>0</v>
      </c>
      <c r="U519" s="16">
        <f>Games[[#This Row],[PointsFor]]-Games[[#This Row],[PointsAgainst]]</f>
        <v>-8</v>
      </c>
      <c r="V519" s="16">
        <f>IF(Games[[#This Row],[MOV]]&gt;0,1,IF(Games[[#This Row],[MOV]]=0,0.5,0))</f>
        <v>0</v>
      </c>
      <c r="W519" s="4">
        <f>((ABS(Games[[#This Row],[MOV]])+5)^0.6)/(12+0.01*(ABS(Games[[#This Row],[PreGmRate]]-Games[[#This Row],[OppPreGmRate]])))*IF(Games[[#This Row],[OT]]=1,0.9,1)</f>
        <v>0.34894354150548829</v>
      </c>
      <c r="X519" s="7" cm="1">
        <f t="array" ref="X5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9" s="9">
        <f>MAX(kmin, kmax - 0.15 * MIN(Games[[#This Row],[GamesPlayed]], 82))</f>
        <v>71.05</v>
      </c>
      <c r="Z519" s="4">
        <f>Games[[#This Row],[K]]*Games[[#This Row],[POMult]]</f>
        <v>78.155000000000001</v>
      </c>
      <c r="AA519" s="4">
        <f>(Games[[#This Row],[Keff]]*Games[[#This Row],[MOVMult]])*(Games[[#This Row],[Result]]-Games[[#This Row],[ExpectedWin%]])</f>
        <v>-11.633191542141327</v>
      </c>
      <c r="AB519" s="4">
        <f>Games[[#This Row],[PreGmRate]]+Games[[#This Row],[RatingChange]]</f>
        <v>1602.4303938773865</v>
      </c>
      <c r="AC519" s="2">
        <f>IF(Games[[#This Row],[Type]]="R",IF(Games[[#This Row],[Result]]&gt;0.5,1,0),0)</f>
        <v>0</v>
      </c>
      <c r="AD519" s="2">
        <f>IF(Games[[#This Row],[Type]]="R",IF(Games[[#This Row],[Result]]&lt;0.5,1,0),0)</f>
        <v>0</v>
      </c>
      <c r="AE519" s="2">
        <f>IF(AND(Games[[#This Row],[Type]]="P",Games[[#This Row],[Round]]=1),IF(Games[[#This Row],[Result]]&gt;0.5,1,0),0)</f>
        <v>0</v>
      </c>
      <c r="AF519" s="2">
        <f>IF(AND(Games[[#This Row],[Type]]="P",Games[[#This Row],[Round]]=1),IF(Games[[#This Row],[Result]]&lt;0.5,1,0),0)</f>
        <v>1</v>
      </c>
      <c r="AG519" s="2">
        <f>IF(AND(Games[[#This Row],[Type]]="P",Games[[#This Row],[Round]]=2),IF(Games[[#This Row],[Result]]&gt;0.5,1,0),0)</f>
        <v>0</v>
      </c>
      <c r="AH519" s="2">
        <f>IF(AND(Games[[#This Row],[Type]]="P",Games[[#This Row],[Round]]=2),IF(Games[[#This Row],[Result]]&lt;0.5,1,0),0)</f>
        <v>0</v>
      </c>
      <c r="AI519" s="2">
        <f>IF(AND(Games[[#This Row],[Type]]="P",Games[[#This Row],[Round]]=3),IF(Games[[#This Row],[Result]]&gt;0.5,1,0),0)</f>
        <v>0</v>
      </c>
      <c r="AJ519" s="2">
        <f>IF(AND(Games[[#This Row],[Type]]="P",Games[[#This Row],[Round]]=3),IF(Games[[#This Row],[Result]]&lt;0.5,1,0),0)</f>
        <v>0</v>
      </c>
      <c r="AK519" s="2">
        <f>IF(AND(Games[[#This Row],[Type]]="P",Games[[#This Row],[Round]]=4),IF(Games[[#This Row],[Result]]&gt;0.5,1,0),0)</f>
        <v>0</v>
      </c>
      <c r="AL519" s="2">
        <f>IF(AND(Games[[#This Row],[Type]]="P",Games[[#This Row],[Round]]=4),IF(Games[[#This Row],[Result]]&lt;0.5,1,0),0)</f>
        <v>0</v>
      </c>
    </row>
    <row r="520" spans="1:38" x14ac:dyDescent="0.35">
      <c r="A520" s="10">
        <v>36750</v>
      </c>
      <c r="B520" s="2">
        <v>2000</v>
      </c>
      <c r="C520" s="2">
        <f>COUNTIFS(Games[Team],Games[[#This Row],[Team]],Games[Season],Games[[#This Row],[Season]],Games[Date],"&lt;=" &amp; Games[[#This Row],[Date]])</f>
        <v>33</v>
      </c>
      <c r="D520" s="2" t="s">
        <v>46</v>
      </c>
      <c r="E520" s="2">
        <v>1</v>
      </c>
      <c r="F520" s="1" t="s">
        <v>66</v>
      </c>
      <c r="G520" s="1" t="s">
        <v>75</v>
      </c>
      <c r="H520" s="1" t="s">
        <v>16</v>
      </c>
      <c r="I520" s="2" cm="1">
        <f t="array" ref="I5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0" s="2" cm="1">
        <f t="array" ref="J5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0" s="2">
        <f>Games[[#This Row],[DaysOff]]-Games[[#This Row],[OppDaysOff]]</f>
        <v>0</v>
      </c>
      <c r="L520" s="2">
        <f>Games[[#This Row],[OppDaysOff]]-Games[[#This Row],[DaysOff]]</f>
        <v>0</v>
      </c>
      <c r="M520" s="16">
        <f>MAX(-16, MIN(16, Games[[#This Row],[RestDiff]]*8))</f>
        <v>0</v>
      </c>
      <c r="N520" s="16">
        <f>MAX(-16, MIN(16, Games[[#This Row],[OppRestDiff]]*8))</f>
        <v>0</v>
      </c>
      <c r="O520" s="4" cm="1">
        <f t="array" ref="O5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1585.1295540956746</v>
      </c>
      <c r="P520" s="4" cm="1">
        <f t="array" ref="P5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1431.7490744545289</v>
      </c>
      <c r="Q520" s="4">
        <f>1/(1+10^(((Games[[#This Row],[OppPreGmRate]]+IF(Games[[#This Row],[HomeAway]]="A",HCA,0)+Games[[#This Row],[OppRestAdj]])-(Games[[#This Row],[PreGmRate]]+IF(Games[[#This Row],[HomeAway]]="H",HCA,0)+Games[[#This Row],[RestAdj]]))/400))</f>
        <v>0.59854016602182902</v>
      </c>
      <c r="R520" s="1">
        <v>72</v>
      </c>
      <c r="S520" s="1">
        <v>63</v>
      </c>
      <c r="T520" s="1">
        <v>0</v>
      </c>
      <c r="U520" s="16">
        <f>Games[[#This Row],[PointsFor]]-Games[[#This Row],[PointsAgainst]]</f>
        <v>9</v>
      </c>
      <c r="V520" s="16">
        <f>IF(Games[[#This Row],[MOV]]&gt;0,1,IF(Games[[#This Row],[MOV]]=0,0.5,0))</f>
        <v>1</v>
      </c>
      <c r="W520" s="4">
        <f>((ABS(Games[[#This Row],[MOV]])+5)^0.6)/(12+0.01*(ABS(Games[[#This Row],[PreGmRate]]-Games[[#This Row],[OppPreGmRate]])))*IF(Games[[#This Row],[OT]]=1,0.9,1)</f>
        <v>0.35996221306950232</v>
      </c>
      <c r="X520" s="7" cm="1">
        <f t="array" ref="X5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0" s="9">
        <f>MAX(kmin, kmax - 0.15 * MIN(Games[[#This Row],[GamesPlayed]], 82))</f>
        <v>71.05</v>
      </c>
      <c r="Z520" s="4">
        <f>Games[[#This Row],[K]]*Games[[#This Row],[POMult]]</f>
        <v>78.155000000000001</v>
      </c>
      <c r="AA520" s="4">
        <f>(Games[[#This Row],[Keff]]*Games[[#This Row],[MOVMult]])*(Games[[#This Row],[Result]]-Games[[#This Row],[ExpectedWin%]])</f>
        <v>11.29420799058528</v>
      </c>
      <c r="AB520" s="4">
        <f>Games[[#This Row],[PreGmRate]]+Games[[#This Row],[RatingChange]]</f>
        <v>1596.42376208626</v>
      </c>
      <c r="AC520" s="2">
        <f>IF(Games[[#This Row],[Type]]="R",IF(Games[[#This Row],[Result]]&gt;0.5,1,0),0)</f>
        <v>0</v>
      </c>
      <c r="AD520" s="2">
        <f>IF(Games[[#This Row],[Type]]="R",IF(Games[[#This Row],[Result]]&lt;0.5,1,0),0)</f>
        <v>0</v>
      </c>
      <c r="AE520" s="2">
        <f>IF(AND(Games[[#This Row],[Type]]="P",Games[[#This Row],[Round]]=1),IF(Games[[#This Row],[Result]]&gt;0.5,1,0),0)</f>
        <v>1</v>
      </c>
      <c r="AF520" s="2">
        <f>IF(AND(Games[[#This Row],[Type]]="P",Games[[#This Row],[Round]]=1),IF(Games[[#This Row],[Result]]&lt;0.5,1,0),0)</f>
        <v>0</v>
      </c>
      <c r="AG520" s="2">
        <f>IF(AND(Games[[#This Row],[Type]]="P",Games[[#This Row],[Round]]=2),IF(Games[[#This Row],[Result]]&gt;0.5,1,0),0)</f>
        <v>0</v>
      </c>
      <c r="AH520" s="2">
        <f>IF(AND(Games[[#This Row],[Type]]="P",Games[[#This Row],[Round]]=2),IF(Games[[#This Row],[Result]]&lt;0.5,1,0),0)</f>
        <v>0</v>
      </c>
      <c r="AI520" s="2">
        <f>IF(AND(Games[[#This Row],[Type]]="P",Games[[#This Row],[Round]]=3),IF(Games[[#This Row],[Result]]&gt;0.5,1,0),0)</f>
        <v>0</v>
      </c>
      <c r="AJ520" s="2">
        <f>IF(AND(Games[[#This Row],[Type]]="P",Games[[#This Row],[Round]]=3),IF(Games[[#This Row],[Result]]&lt;0.5,1,0),0)</f>
        <v>0</v>
      </c>
      <c r="AK520" s="2">
        <f>IF(AND(Games[[#This Row],[Type]]="P",Games[[#This Row],[Round]]=4),IF(Games[[#This Row],[Result]]&gt;0.5,1,0),0)</f>
        <v>0</v>
      </c>
      <c r="AL520" s="2">
        <f>IF(AND(Games[[#This Row],[Type]]="P",Games[[#This Row],[Round]]=4),IF(Games[[#This Row],[Result]]&lt;0.5,1,0),0)</f>
        <v>0</v>
      </c>
    </row>
    <row r="521" spans="1:38" x14ac:dyDescent="0.35">
      <c r="A521" s="10">
        <v>36750</v>
      </c>
      <c r="B521" s="2">
        <v>2000</v>
      </c>
      <c r="C521" s="2">
        <f>COUNTIFS(Games[Team],Games[[#This Row],[Team]],Games[Season],Games[[#This Row],[Season]],Games[Date],"&lt;=" &amp; Games[[#This Row],[Date]])</f>
        <v>33</v>
      </c>
      <c r="D521" s="2" t="s">
        <v>46</v>
      </c>
      <c r="E521" s="2">
        <v>1</v>
      </c>
      <c r="F521" s="1" t="s">
        <v>75</v>
      </c>
      <c r="G521" s="1" t="s">
        <v>66</v>
      </c>
      <c r="H521" s="1" t="s">
        <v>15</v>
      </c>
      <c r="I521" s="2" cm="1">
        <f t="array" ref="I5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1" s="2" cm="1">
        <f t="array" ref="J5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1" s="2">
        <f>Games[[#This Row],[DaysOff]]-Games[[#This Row],[OppDaysOff]]</f>
        <v>0</v>
      </c>
      <c r="L521" s="2">
        <f>Games[[#This Row],[OppDaysOff]]-Games[[#This Row],[DaysOff]]</f>
        <v>0</v>
      </c>
      <c r="M521" s="16">
        <f>MAX(-16, MIN(16, Games[[#This Row],[RestDiff]]*8))</f>
        <v>0</v>
      </c>
      <c r="N521" s="16">
        <f>MAX(-16, MIN(16, Games[[#This Row],[OppRestDiff]]*8))</f>
        <v>0</v>
      </c>
      <c r="O521" s="4" cm="1">
        <f t="array" ref="O5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1431.7490744545289</v>
      </c>
      <c r="P521" s="4" cm="1">
        <f t="array" ref="P5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1585.1295540956746</v>
      </c>
      <c r="Q521" s="4">
        <f>1/(1+10^(((Games[[#This Row],[OppPreGmRate]]+IF(Games[[#This Row],[HomeAway]]="A",HCA,0)+Games[[#This Row],[OppRestAdj]])-(Games[[#This Row],[PreGmRate]]+IF(Games[[#This Row],[HomeAway]]="H",HCA,0)+Games[[#This Row],[RestAdj]]))/400))</f>
        <v>0.40145983397817098</v>
      </c>
      <c r="R521" s="1">
        <v>63</v>
      </c>
      <c r="S521" s="1">
        <v>72</v>
      </c>
      <c r="T521" s="1">
        <v>0</v>
      </c>
      <c r="U521" s="16">
        <f>Games[[#This Row],[PointsFor]]-Games[[#This Row],[PointsAgainst]]</f>
        <v>-9</v>
      </c>
      <c r="V521" s="16">
        <f>IF(Games[[#This Row],[MOV]]&gt;0,1,IF(Games[[#This Row],[MOV]]=0,0.5,0))</f>
        <v>0</v>
      </c>
      <c r="W521" s="4">
        <f>((ABS(Games[[#This Row],[MOV]])+5)^0.6)/(12+0.01*(ABS(Games[[#This Row],[PreGmRate]]-Games[[#This Row],[OppPreGmRate]])))*IF(Games[[#This Row],[OT]]=1,0.9,1)</f>
        <v>0.35996221306950232</v>
      </c>
      <c r="X521" s="7" cm="1">
        <f t="array" ref="X5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1" s="9">
        <f>MAX(kmin, kmax - 0.15 * MIN(Games[[#This Row],[GamesPlayed]], 82))</f>
        <v>71.05</v>
      </c>
      <c r="Z521" s="4">
        <f>Games[[#This Row],[K]]*Games[[#This Row],[POMult]]</f>
        <v>78.155000000000001</v>
      </c>
      <c r="AA521" s="4">
        <f>(Games[[#This Row],[Keff]]*Games[[#This Row],[MOVMult]])*(Games[[#This Row],[Result]]-Games[[#This Row],[ExpectedWin%]])</f>
        <v>-11.29420799058528</v>
      </c>
      <c r="AB521" s="4">
        <f>Games[[#This Row],[PreGmRate]]+Games[[#This Row],[RatingChange]]</f>
        <v>1420.4548664639435</v>
      </c>
      <c r="AC521" s="2">
        <f>IF(Games[[#This Row],[Type]]="R",IF(Games[[#This Row],[Result]]&gt;0.5,1,0),0)</f>
        <v>0</v>
      </c>
      <c r="AD521" s="2">
        <f>IF(Games[[#This Row],[Type]]="R",IF(Games[[#This Row],[Result]]&lt;0.5,1,0),0)</f>
        <v>0</v>
      </c>
      <c r="AE521" s="2">
        <f>IF(AND(Games[[#This Row],[Type]]="P",Games[[#This Row],[Round]]=1),IF(Games[[#This Row],[Result]]&gt;0.5,1,0),0)</f>
        <v>0</v>
      </c>
      <c r="AF521" s="2">
        <f>IF(AND(Games[[#This Row],[Type]]="P",Games[[#This Row],[Round]]=1),IF(Games[[#This Row],[Result]]&lt;0.5,1,0),0)</f>
        <v>1</v>
      </c>
      <c r="AG521" s="2">
        <f>IF(AND(Games[[#This Row],[Type]]="P",Games[[#This Row],[Round]]=2),IF(Games[[#This Row],[Result]]&gt;0.5,1,0),0)</f>
        <v>0</v>
      </c>
      <c r="AH521" s="2">
        <f>IF(AND(Games[[#This Row],[Type]]="P",Games[[#This Row],[Round]]=2),IF(Games[[#This Row],[Result]]&lt;0.5,1,0),0)</f>
        <v>0</v>
      </c>
      <c r="AI521" s="2">
        <f>IF(AND(Games[[#This Row],[Type]]="P",Games[[#This Row],[Round]]=3),IF(Games[[#This Row],[Result]]&gt;0.5,1,0),0)</f>
        <v>0</v>
      </c>
      <c r="AJ521" s="2">
        <f>IF(AND(Games[[#This Row],[Type]]="P",Games[[#This Row],[Round]]=3),IF(Games[[#This Row],[Result]]&lt;0.5,1,0),0)</f>
        <v>0</v>
      </c>
      <c r="AK521" s="2">
        <f>IF(AND(Games[[#This Row],[Type]]="P",Games[[#This Row],[Round]]=4),IF(Games[[#This Row],[Result]]&gt;0.5,1,0),0)</f>
        <v>0</v>
      </c>
      <c r="AL521" s="2">
        <f>IF(AND(Games[[#This Row],[Type]]="P",Games[[#This Row],[Round]]=4),IF(Games[[#This Row],[Result]]&lt;0.5,1,0),0)</f>
        <v>0</v>
      </c>
    </row>
    <row r="522" spans="1:38" x14ac:dyDescent="0.35">
      <c r="A522" s="10">
        <v>36751</v>
      </c>
      <c r="B522" s="2">
        <v>2000</v>
      </c>
      <c r="C522" s="2">
        <f>COUNTIFS(Games[Team],Games[[#This Row],[Team]],Games[Season],Games[[#This Row],[Season]],Games[Date],"&lt;=" &amp; Games[[#This Row],[Date]])</f>
        <v>34</v>
      </c>
      <c r="D522" s="2" t="s">
        <v>46</v>
      </c>
      <c r="E522" s="2">
        <v>1</v>
      </c>
      <c r="F522" s="1" t="s">
        <v>79</v>
      </c>
      <c r="G522" s="1" t="s">
        <v>1</v>
      </c>
      <c r="H522" s="1" t="s">
        <v>16</v>
      </c>
      <c r="I522" s="2" cm="1">
        <f t="array" ref="I5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2" s="2" cm="1">
        <f t="array" ref="J5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2" s="2">
        <f>Games[[#This Row],[DaysOff]]-Games[[#This Row],[OppDaysOff]]</f>
        <v>0</v>
      </c>
      <c r="L522" s="2">
        <f>Games[[#This Row],[OppDaysOff]]-Games[[#This Row],[DaysOff]]</f>
        <v>0</v>
      </c>
      <c r="M522" s="16">
        <f>MAX(-16, MIN(16, Games[[#This Row],[RestDiff]]*8))</f>
        <v>0</v>
      </c>
      <c r="N522" s="16">
        <f>MAX(-16, MIN(16, Games[[#This Row],[OppRestDiff]]*8))</f>
        <v>0</v>
      </c>
      <c r="O522" s="4" cm="1">
        <f t="array" ref="O5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1483.7659768573876</v>
      </c>
      <c r="P522" s="4" cm="1">
        <f t="array" ref="P5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1474.1594793086201</v>
      </c>
      <c r="Q522" s="4">
        <f>1/(1+10^(((Games[[#This Row],[OppPreGmRate]]+IF(Games[[#This Row],[HomeAway]]="A",HCA,0)+Games[[#This Row],[OppRestAdj]])-(Games[[#This Row],[PreGmRate]]+IF(Games[[#This Row],[HomeAway]]="H",HCA,0)+Games[[#This Row],[RestAdj]]))/400))</f>
        <v>0.39454586351661303</v>
      </c>
      <c r="R522" s="1">
        <v>54</v>
      </c>
      <c r="S522" s="1">
        <v>63</v>
      </c>
      <c r="T522" s="1">
        <v>0</v>
      </c>
      <c r="U522" s="16">
        <f>Games[[#This Row],[PointsFor]]-Games[[#This Row],[PointsAgainst]]</f>
        <v>-9</v>
      </c>
      <c r="V522" s="16">
        <f>IF(Games[[#This Row],[MOV]]&gt;0,1,IF(Games[[#This Row],[MOV]]=0,0.5,0))</f>
        <v>0</v>
      </c>
      <c r="W522" s="4">
        <f>((ABS(Games[[#This Row],[MOV]])+5)^0.6)/(12+0.01*(ABS(Games[[#This Row],[PreGmRate]]-Games[[#This Row],[OppPreGmRate]])))*IF(Games[[#This Row],[OT]]=1,0.9,1)</f>
        <v>0.40274736748183715</v>
      </c>
      <c r="X522" s="7" cm="1">
        <f t="array" ref="X5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2" s="9">
        <f>MAX(kmin, kmax - 0.15 * MIN(Games[[#This Row],[GamesPlayed]], 82))</f>
        <v>70.900000000000006</v>
      </c>
      <c r="Z522" s="4">
        <f>Games[[#This Row],[K]]*Games[[#This Row],[POMult]]</f>
        <v>77.990000000000009</v>
      </c>
      <c r="AA522" s="4">
        <f>(Games[[#This Row],[Keff]]*Games[[#This Row],[MOVMult]])*(Games[[#This Row],[Result]]-Games[[#This Row],[ExpectedWin%]])</f>
        <v>-12.39279099172998</v>
      </c>
      <c r="AB522" s="4">
        <f>Games[[#This Row],[PreGmRate]]+Games[[#This Row],[RatingChange]]</f>
        <v>1471.3731858656577</v>
      </c>
      <c r="AC522" s="2">
        <f>IF(Games[[#This Row],[Type]]="R",IF(Games[[#This Row],[Result]]&gt;0.5,1,0),0)</f>
        <v>0</v>
      </c>
      <c r="AD522" s="2">
        <f>IF(Games[[#This Row],[Type]]="R",IF(Games[[#This Row],[Result]]&lt;0.5,1,0),0)</f>
        <v>0</v>
      </c>
      <c r="AE522" s="2">
        <f>IF(AND(Games[[#This Row],[Type]]="P",Games[[#This Row],[Round]]=1),IF(Games[[#This Row],[Result]]&gt;0.5,1,0),0)</f>
        <v>0</v>
      </c>
      <c r="AF522" s="2">
        <f>IF(AND(Games[[#This Row],[Type]]="P",Games[[#This Row],[Round]]=1),IF(Games[[#This Row],[Result]]&lt;0.5,1,0),0)</f>
        <v>1</v>
      </c>
      <c r="AG522" s="2">
        <f>IF(AND(Games[[#This Row],[Type]]="P",Games[[#This Row],[Round]]=2),IF(Games[[#This Row],[Result]]&gt;0.5,1,0),0)</f>
        <v>0</v>
      </c>
      <c r="AH522" s="2">
        <f>IF(AND(Games[[#This Row],[Type]]="P",Games[[#This Row],[Round]]=2),IF(Games[[#This Row],[Result]]&lt;0.5,1,0),0)</f>
        <v>0</v>
      </c>
      <c r="AI522" s="2">
        <f>IF(AND(Games[[#This Row],[Type]]="P",Games[[#This Row],[Round]]=3),IF(Games[[#This Row],[Result]]&gt;0.5,1,0),0)</f>
        <v>0</v>
      </c>
      <c r="AJ522" s="2">
        <f>IF(AND(Games[[#This Row],[Type]]="P",Games[[#This Row],[Round]]=3),IF(Games[[#This Row],[Result]]&lt;0.5,1,0),0)</f>
        <v>0</v>
      </c>
      <c r="AK522" s="2">
        <f>IF(AND(Games[[#This Row],[Type]]="P",Games[[#This Row],[Round]]=4),IF(Games[[#This Row],[Result]]&gt;0.5,1,0),0)</f>
        <v>0</v>
      </c>
      <c r="AL522" s="2">
        <f>IF(AND(Games[[#This Row],[Type]]="P",Games[[#This Row],[Round]]=4),IF(Games[[#This Row],[Result]]&lt;0.5,1,0),0)</f>
        <v>0</v>
      </c>
    </row>
    <row r="523" spans="1:38" x14ac:dyDescent="0.35">
      <c r="A523" s="10">
        <v>36751</v>
      </c>
      <c r="B523" s="2">
        <v>2000</v>
      </c>
      <c r="C523" s="2">
        <f>COUNTIFS(Games[Team],Games[[#This Row],[Team]],Games[Season],Games[[#This Row],[Season]],Games[Date],"&lt;=" &amp; Games[[#This Row],[Date]])</f>
        <v>34</v>
      </c>
      <c r="D523" s="2" t="s">
        <v>46</v>
      </c>
      <c r="E523" s="2">
        <v>1</v>
      </c>
      <c r="F523" s="1" t="s">
        <v>1</v>
      </c>
      <c r="G523" s="1" t="s">
        <v>79</v>
      </c>
      <c r="H523" s="1" t="s">
        <v>15</v>
      </c>
      <c r="I523" s="2" cm="1">
        <f t="array" ref="I5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3" s="2" cm="1">
        <f t="array" ref="J5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3" s="2">
        <f>Games[[#This Row],[DaysOff]]-Games[[#This Row],[OppDaysOff]]</f>
        <v>0</v>
      </c>
      <c r="L523" s="2">
        <f>Games[[#This Row],[OppDaysOff]]-Games[[#This Row],[DaysOff]]</f>
        <v>0</v>
      </c>
      <c r="M523" s="16">
        <f>MAX(-16, MIN(16, Games[[#This Row],[RestDiff]]*8))</f>
        <v>0</v>
      </c>
      <c r="N523" s="16">
        <f>MAX(-16, MIN(16, Games[[#This Row],[OppRestDiff]]*8))</f>
        <v>0</v>
      </c>
      <c r="O523" s="4" cm="1">
        <f t="array" ref="O5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1474.1594793086201</v>
      </c>
      <c r="P523" s="4" cm="1">
        <f t="array" ref="P5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1483.7659768573876</v>
      </c>
      <c r="Q523" s="4">
        <f>1/(1+10^(((Games[[#This Row],[OppPreGmRate]]+IF(Games[[#This Row],[HomeAway]]="A",HCA,0)+Games[[#This Row],[OppRestAdj]])-(Games[[#This Row],[PreGmRate]]+IF(Games[[#This Row],[HomeAway]]="H",HCA,0)+Games[[#This Row],[RestAdj]]))/400))</f>
        <v>0.60545413648338697</v>
      </c>
      <c r="R523" s="1">
        <v>63</v>
      </c>
      <c r="S523" s="1">
        <v>54</v>
      </c>
      <c r="T523" s="1">
        <v>0</v>
      </c>
      <c r="U523" s="16">
        <f>Games[[#This Row],[PointsFor]]-Games[[#This Row],[PointsAgainst]]</f>
        <v>9</v>
      </c>
      <c r="V523" s="16">
        <f>IF(Games[[#This Row],[MOV]]&gt;0,1,IF(Games[[#This Row],[MOV]]=0,0.5,0))</f>
        <v>1</v>
      </c>
      <c r="W523" s="4">
        <f>((ABS(Games[[#This Row],[MOV]])+5)^0.6)/(12+0.01*(ABS(Games[[#This Row],[PreGmRate]]-Games[[#This Row],[OppPreGmRate]])))*IF(Games[[#This Row],[OT]]=1,0.9,1)</f>
        <v>0.40274736748183715</v>
      </c>
      <c r="X523" s="7" cm="1">
        <f t="array" ref="X5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3" s="9">
        <f>MAX(kmin, kmax - 0.15 * MIN(Games[[#This Row],[GamesPlayed]], 82))</f>
        <v>70.900000000000006</v>
      </c>
      <c r="Z523" s="4">
        <f>Games[[#This Row],[K]]*Games[[#This Row],[POMult]]</f>
        <v>77.990000000000009</v>
      </c>
      <c r="AA523" s="4">
        <f>(Games[[#This Row],[Keff]]*Games[[#This Row],[MOVMult]])*(Games[[#This Row],[Result]]-Games[[#This Row],[ExpectedWin%]])</f>
        <v>12.39279099172998</v>
      </c>
      <c r="AB523" s="4">
        <f>Games[[#This Row],[PreGmRate]]+Games[[#This Row],[RatingChange]]</f>
        <v>1486.5522703003501</v>
      </c>
      <c r="AC523" s="2">
        <f>IF(Games[[#This Row],[Type]]="R",IF(Games[[#This Row],[Result]]&gt;0.5,1,0),0)</f>
        <v>0</v>
      </c>
      <c r="AD523" s="2">
        <f>IF(Games[[#This Row],[Type]]="R",IF(Games[[#This Row],[Result]]&lt;0.5,1,0),0)</f>
        <v>0</v>
      </c>
      <c r="AE523" s="2">
        <f>IF(AND(Games[[#This Row],[Type]]="P",Games[[#This Row],[Round]]=1),IF(Games[[#This Row],[Result]]&gt;0.5,1,0),0)</f>
        <v>1</v>
      </c>
      <c r="AF523" s="2">
        <f>IF(AND(Games[[#This Row],[Type]]="P",Games[[#This Row],[Round]]=1),IF(Games[[#This Row],[Result]]&lt;0.5,1,0),0)</f>
        <v>0</v>
      </c>
      <c r="AG523" s="2">
        <f>IF(AND(Games[[#This Row],[Type]]="P",Games[[#This Row],[Round]]=2),IF(Games[[#This Row],[Result]]&gt;0.5,1,0),0)</f>
        <v>0</v>
      </c>
      <c r="AH523" s="2">
        <f>IF(AND(Games[[#This Row],[Type]]="P",Games[[#This Row],[Round]]=2),IF(Games[[#This Row],[Result]]&lt;0.5,1,0),0)</f>
        <v>0</v>
      </c>
      <c r="AI523" s="2">
        <f>IF(AND(Games[[#This Row],[Type]]="P",Games[[#This Row],[Round]]=3),IF(Games[[#This Row],[Result]]&gt;0.5,1,0),0)</f>
        <v>0</v>
      </c>
      <c r="AJ523" s="2">
        <f>IF(AND(Games[[#This Row],[Type]]="P",Games[[#This Row],[Round]]=3),IF(Games[[#This Row],[Result]]&lt;0.5,1,0),0)</f>
        <v>0</v>
      </c>
      <c r="AK523" s="2">
        <f>IF(AND(Games[[#This Row],[Type]]="P",Games[[#This Row],[Round]]=4),IF(Games[[#This Row],[Result]]&gt;0.5,1,0),0)</f>
        <v>0</v>
      </c>
      <c r="AL523" s="2">
        <f>IF(AND(Games[[#This Row],[Type]]="P",Games[[#This Row],[Round]]=4),IF(Games[[#This Row],[Result]]&lt;0.5,1,0),0)</f>
        <v>0</v>
      </c>
    </row>
    <row r="524" spans="1:38" x14ac:dyDescent="0.35">
      <c r="A524" s="10">
        <v>36751</v>
      </c>
      <c r="B524" s="2">
        <v>2000</v>
      </c>
      <c r="C524" s="2">
        <f>COUNTIFS(Games[Team],Games[[#This Row],[Team]],Games[Season],Games[[#This Row],[Season]],Games[Date],"&lt;=" &amp; Games[[#This Row],[Date]])</f>
        <v>34</v>
      </c>
      <c r="D524" s="2" t="s">
        <v>46</v>
      </c>
      <c r="E524" s="2">
        <v>1</v>
      </c>
      <c r="F524" s="1" t="s">
        <v>44</v>
      </c>
      <c r="G524" s="1" t="s">
        <v>71</v>
      </c>
      <c r="H524" s="1" t="s">
        <v>16</v>
      </c>
      <c r="I524" s="2" cm="1">
        <f t="array" ref="I5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4" s="2" cm="1">
        <f t="array" ref="J5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4" s="2">
        <f>Games[[#This Row],[DaysOff]]-Games[[#This Row],[OppDaysOff]]</f>
        <v>0</v>
      </c>
      <c r="L524" s="2">
        <f>Games[[#This Row],[OppDaysOff]]-Games[[#This Row],[DaysOff]]</f>
        <v>0</v>
      </c>
      <c r="M524" s="16">
        <f>MAX(-16, MIN(16, Games[[#This Row],[RestDiff]]*8))</f>
        <v>0</v>
      </c>
      <c r="N524" s="16">
        <f>MAX(-16, MIN(16, Games[[#This Row],[OppRestDiff]]*8))</f>
        <v>0</v>
      </c>
      <c r="O524" s="4" cm="1">
        <f t="array" ref="O5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1568.6202607481528</v>
      </c>
      <c r="P524" s="4" cm="1">
        <f t="array" ref="P5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1749.7597869834117</v>
      </c>
      <c r="Q524" s="4">
        <f>1/(1+10^(((Games[[#This Row],[OppPreGmRate]]+IF(Games[[#This Row],[HomeAway]]="A",HCA,0)+Games[[#This Row],[OppRestAdj]])-(Games[[#This Row],[PreGmRate]]+IF(Games[[#This Row],[HomeAway]]="H",HCA,0)+Games[[#This Row],[RestAdj]]))/400))</f>
        <v>0.17854070067706637</v>
      </c>
      <c r="R524" s="1">
        <v>76</v>
      </c>
      <c r="S524" s="1">
        <v>101</v>
      </c>
      <c r="T524" s="1">
        <v>0</v>
      </c>
      <c r="U524" s="16">
        <f>Games[[#This Row],[PointsFor]]-Games[[#This Row],[PointsAgainst]]</f>
        <v>-25</v>
      </c>
      <c r="V524" s="16">
        <f>IF(Games[[#This Row],[MOV]]&gt;0,1,IF(Games[[#This Row],[MOV]]=0,0.5,0))</f>
        <v>0</v>
      </c>
      <c r="W524" s="4">
        <f>((ABS(Games[[#This Row],[MOV]])+5)^0.6)/(12+0.01*(ABS(Games[[#This Row],[PreGmRate]]-Games[[#This Row],[OppPreGmRate]])))*IF(Games[[#This Row],[OT]]=1,0.9,1)</f>
        <v>0.55723090929881502</v>
      </c>
      <c r="X524" s="7" cm="1">
        <f t="array" ref="X5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4" s="9">
        <f>MAX(kmin, kmax - 0.15 * MIN(Games[[#This Row],[GamesPlayed]], 82))</f>
        <v>70.900000000000006</v>
      </c>
      <c r="Z524" s="4">
        <f>Games[[#This Row],[K]]*Games[[#This Row],[POMult]]</f>
        <v>77.990000000000009</v>
      </c>
      <c r="AA524" s="4">
        <f>(Games[[#This Row],[Keff]]*Games[[#This Row],[MOVMult]])*(Games[[#This Row],[Result]]-Games[[#This Row],[ExpectedWin%]])</f>
        <v>-7.7591000808702306</v>
      </c>
      <c r="AB524" s="4">
        <f>Games[[#This Row],[PreGmRate]]+Games[[#This Row],[RatingChange]]</f>
        <v>1560.8611606672825</v>
      </c>
      <c r="AC524" s="2">
        <f>IF(Games[[#This Row],[Type]]="R",IF(Games[[#This Row],[Result]]&gt;0.5,1,0),0)</f>
        <v>0</v>
      </c>
      <c r="AD524" s="2">
        <f>IF(Games[[#This Row],[Type]]="R",IF(Games[[#This Row],[Result]]&lt;0.5,1,0),0)</f>
        <v>0</v>
      </c>
      <c r="AE524" s="2">
        <f>IF(AND(Games[[#This Row],[Type]]="P",Games[[#This Row],[Round]]=1),IF(Games[[#This Row],[Result]]&gt;0.5,1,0),0)</f>
        <v>0</v>
      </c>
      <c r="AF524" s="2">
        <f>IF(AND(Games[[#This Row],[Type]]="P",Games[[#This Row],[Round]]=1),IF(Games[[#This Row],[Result]]&lt;0.5,1,0),0)</f>
        <v>1</v>
      </c>
      <c r="AG524" s="2">
        <f>IF(AND(Games[[#This Row],[Type]]="P",Games[[#This Row],[Round]]=2),IF(Games[[#This Row],[Result]]&gt;0.5,1,0),0)</f>
        <v>0</v>
      </c>
      <c r="AH524" s="2">
        <f>IF(AND(Games[[#This Row],[Type]]="P",Games[[#This Row],[Round]]=2),IF(Games[[#This Row],[Result]]&lt;0.5,1,0),0)</f>
        <v>0</v>
      </c>
      <c r="AI524" s="2">
        <f>IF(AND(Games[[#This Row],[Type]]="P",Games[[#This Row],[Round]]=3),IF(Games[[#This Row],[Result]]&gt;0.5,1,0),0)</f>
        <v>0</v>
      </c>
      <c r="AJ524" s="2">
        <f>IF(AND(Games[[#This Row],[Type]]="P",Games[[#This Row],[Round]]=3),IF(Games[[#This Row],[Result]]&lt;0.5,1,0),0)</f>
        <v>0</v>
      </c>
      <c r="AK524" s="2">
        <f>IF(AND(Games[[#This Row],[Type]]="P",Games[[#This Row],[Round]]=4),IF(Games[[#This Row],[Result]]&gt;0.5,1,0),0)</f>
        <v>0</v>
      </c>
      <c r="AL524" s="2">
        <f>IF(AND(Games[[#This Row],[Type]]="P",Games[[#This Row],[Round]]=4),IF(Games[[#This Row],[Result]]&lt;0.5,1,0),0)</f>
        <v>0</v>
      </c>
    </row>
    <row r="525" spans="1:38" x14ac:dyDescent="0.35">
      <c r="A525" s="10">
        <v>36751</v>
      </c>
      <c r="B525" s="2">
        <v>2000</v>
      </c>
      <c r="C525" s="2">
        <f>COUNTIFS(Games[Team],Games[[#This Row],[Team]],Games[Season],Games[[#This Row],[Season]],Games[Date],"&lt;=" &amp; Games[[#This Row],[Date]])</f>
        <v>34</v>
      </c>
      <c r="D525" s="2" t="s">
        <v>46</v>
      </c>
      <c r="E525" s="2">
        <v>1</v>
      </c>
      <c r="F525" s="1" t="s">
        <v>71</v>
      </c>
      <c r="G525" s="1" t="s">
        <v>44</v>
      </c>
      <c r="H525" s="1" t="s">
        <v>15</v>
      </c>
      <c r="I525" s="2" cm="1">
        <f t="array" ref="I5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5" s="2" cm="1">
        <f t="array" ref="J5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5" s="2">
        <f>Games[[#This Row],[DaysOff]]-Games[[#This Row],[OppDaysOff]]</f>
        <v>0</v>
      </c>
      <c r="L525" s="2">
        <f>Games[[#This Row],[OppDaysOff]]-Games[[#This Row],[DaysOff]]</f>
        <v>0</v>
      </c>
      <c r="M525" s="16">
        <f>MAX(-16, MIN(16, Games[[#This Row],[RestDiff]]*8))</f>
        <v>0</v>
      </c>
      <c r="N525" s="16">
        <f>MAX(-16, MIN(16, Games[[#This Row],[OppRestDiff]]*8))</f>
        <v>0</v>
      </c>
      <c r="O525" s="4" cm="1">
        <f t="array" ref="O5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1749.7597869834117</v>
      </c>
      <c r="P525" s="4" cm="1">
        <f t="array" ref="P5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1568.6202607481528</v>
      </c>
      <c r="Q525" s="4">
        <f>1/(1+10^(((Games[[#This Row],[OppPreGmRate]]+IF(Games[[#This Row],[HomeAway]]="A",HCA,0)+Games[[#This Row],[OppRestAdj]])-(Games[[#This Row],[PreGmRate]]+IF(Games[[#This Row],[HomeAway]]="H",HCA,0)+Games[[#This Row],[RestAdj]]))/400))</f>
        <v>0.8214592993229336</v>
      </c>
      <c r="R525" s="1">
        <v>101</v>
      </c>
      <c r="S525" s="1">
        <v>76</v>
      </c>
      <c r="T525" s="1">
        <v>0</v>
      </c>
      <c r="U525" s="16">
        <f>Games[[#This Row],[PointsFor]]-Games[[#This Row],[PointsAgainst]]</f>
        <v>25</v>
      </c>
      <c r="V525" s="16">
        <f>IF(Games[[#This Row],[MOV]]&gt;0,1,IF(Games[[#This Row],[MOV]]=0,0.5,0))</f>
        <v>1</v>
      </c>
      <c r="W525" s="4">
        <f>((ABS(Games[[#This Row],[MOV]])+5)^0.6)/(12+0.01*(ABS(Games[[#This Row],[PreGmRate]]-Games[[#This Row],[OppPreGmRate]])))*IF(Games[[#This Row],[OT]]=1,0.9,1)</f>
        <v>0.55723090929881502</v>
      </c>
      <c r="X525" s="7" cm="1">
        <f t="array" ref="X5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5" s="9">
        <f>MAX(kmin, kmax - 0.15 * MIN(Games[[#This Row],[GamesPlayed]], 82))</f>
        <v>70.900000000000006</v>
      </c>
      <c r="Z525" s="4">
        <f>Games[[#This Row],[K]]*Games[[#This Row],[POMult]]</f>
        <v>77.990000000000009</v>
      </c>
      <c r="AA525" s="4">
        <f>(Games[[#This Row],[Keff]]*Games[[#This Row],[MOVMult]])*(Games[[#This Row],[Result]]-Games[[#This Row],[ExpectedWin%]])</f>
        <v>7.7591000808702324</v>
      </c>
      <c r="AB525" s="4">
        <f>Games[[#This Row],[PreGmRate]]+Games[[#This Row],[RatingChange]]</f>
        <v>1757.5188870642819</v>
      </c>
      <c r="AC525" s="2">
        <f>IF(Games[[#This Row],[Type]]="R",IF(Games[[#This Row],[Result]]&gt;0.5,1,0),0)</f>
        <v>0</v>
      </c>
      <c r="AD525" s="2">
        <f>IF(Games[[#This Row],[Type]]="R",IF(Games[[#This Row],[Result]]&lt;0.5,1,0),0)</f>
        <v>0</v>
      </c>
      <c r="AE525" s="2">
        <f>IF(AND(Games[[#This Row],[Type]]="P",Games[[#This Row],[Round]]=1),IF(Games[[#This Row],[Result]]&gt;0.5,1,0),0)</f>
        <v>1</v>
      </c>
      <c r="AF525" s="2">
        <f>IF(AND(Games[[#This Row],[Type]]="P",Games[[#This Row],[Round]]=1),IF(Games[[#This Row],[Result]]&lt;0.5,1,0),0)</f>
        <v>0</v>
      </c>
      <c r="AG525" s="2">
        <f>IF(AND(Games[[#This Row],[Type]]="P",Games[[#This Row],[Round]]=2),IF(Games[[#This Row],[Result]]&gt;0.5,1,0),0)</f>
        <v>0</v>
      </c>
      <c r="AH525" s="2">
        <f>IF(AND(Games[[#This Row],[Type]]="P",Games[[#This Row],[Round]]=2),IF(Games[[#This Row],[Result]]&lt;0.5,1,0),0)</f>
        <v>0</v>
      </c>
      <c r="AI525" s="2">
        <f>IF(AND(Games[[#This Row],[Type]]="P",Games[[#This Row],[Round]]=3),IF(Games[[#This Row],[Result]]&gt;0.5,1,0),0)</f>
        <v>0</v>
      </c>
      <c r="AJ525" s="2">
        <f>IF(AND(Games[[#This Row],[Type]]="P",Games[[#This Row],[Round]]=3),IF(Games[[#This Row],[Result]]&lt;0.5,1,0),0)</f>
        <v>0</v>
      </c>
      <c r="AK525" s="2">
        <f>IF(AND(Games[[#This Row],[Type]]="P",Games[[#This Row],[Round]]=4),IF(Games[[#This Row],[Result]]&gt;0.5,1,0),0)</f>
        <v>0</v>
      </c>
      <c r="AL525" s="2">
        <f>IF(AND(Games[[#This Row],[Type]]="P",Games[[#This Row],[Round]]=4),IF(Games[[#This Row],[Result]]&lt;0.5,1,0),0)</f>
        <v>0</v>
      </c>
    </row>
    <row r="526" spans="1:38" x14ac:dyDescent="0.35">
      <c r="A526" s="10">
        <v>36752</v>
      </c>
      <c r="B526" s="2">
        <v>2000</v>
      </c>
      <c r="C526" s="2">
        <f>COUNTIFS(Games[Team],Games[[#This Row],[Team]],Games[Season],Games[[#This Row],[Season]],Games[Date],"&lt;=" &amp; Games[[#This Row],[Date]])</f>
        <v>34</v>
      </c>
      <c r="D526" s="2" t="s">
        <v>46</v>
      </c>
      <c r="E526" s="2">
        <v>1</v>
      </c>
      <c r="F526" s="1" t="s">
        <v>45</v>
      </c>
      <c r="G526" s="1" t="s">
        <v>2</v>
      </c>
      <c r="H526" s="1" t="s">
        <v>16</v>
      </c>
      <c r="I526" s="2" cm="1">
        <f t="array" ref="I5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6" s="2" cm="1">
        <f t="array" ref="J5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6" s="2">
        <f>Games[[#This Row],[DaysOff]]-Games[[#This Row],[OppDaysOff]]</f>
        <v>0</v>
      </c>
      <c r="L526" s="2">
        <f>Games[[#This Row],[OppDaysOff]]-Games[[#This Row],[DaysOff]]</f>
        <v>0</v>
      </c>
      <c r="M526" s="16">
        <f>MAX(-16, MIN(16, Games[[#This Row],[RestDiff]]*8))</f>
        <v>0</v>
      </c>
      <c r="N526" s="16">
        <f>MAX(-16, MIN(16, Games[[#This Row],[OppRestDiff]]*8))</f>
        <v>0</v>
      </c>
      <c r="O526" s="4" cm="1">
        <f t="array" ref="O5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1602.4303938773865</v>
      </c>
      <c r="P526" s="4" cm="1">
        <f t="array" ref="P5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1761.0951625950008</v>
      </c>
      <c r="Q526" s="4">
        <f>1/(1+10^(((Games[[#This Row],[OppPreGmRate]]+IF(Games[[#This Row],[HomeAway]]="A",HCA,0)+Games[[#This Row],[OppRestAdj]])-(Games[[#This Row],[PreGmRate]]+IF(Games[[#This Row],[HomeAway]]="H",HCA,0)+Games[[#This Row],[RestAdj]]))/400))</f>
        <v>0.19830997439886294</v>
      </c>
      <c r="R526" s="1">
        <v>70</v>
      </c>
      <c r="S526" s="1">
        <v>75</v>
      </c>
      <c r="T526" s="1">
        <v>0</v>
      </c>
      <c r="U526" s="16">
        <f>Games[[#This Row],[PointsFor]]-Games[[#This Row],[PointsAgainst]]</f>
        <v>-5</v>
      </c>
      <c r="V526" s="16">
        <f>IF(Games[[#This Row],[MOV]]&gt;0,1,IF(Games[[#This Row],[MOV]]=0,0.5,0))</f>
        <v>0</v>
      </c>
      <c r="W526" s="4">
        <f>((ABS(Games[[#This Row],[MOV]])+5)^0.6)/(12+0.01*(ABS(Games[[#This Row],[PreGmRate]]-Games[[#This Row],[OppPreGmRate]])))*IF(Games[[#This Row],[OT]]=1,0.9,1)</f>
        <v>0.29301353779067491</v>
      </c>
      <c r="X526" s="7" cm="1">
        <f t="array" ref="X5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6" s="9">
        <f>MAX(kmin, kmax - 0.15 * MIN(Games[[#This Row],[GamesPlayed]], 82))</f>
        <v>70.900000000000006</v>
      </c>
      <c r="Z526" s="4">
        <f>Games[[#This Row],[K]]*Games[[#This Row],[POMult]]</f>
        <v>77.990000000000009</v>
      </c>
      <c r="AA526" s="4">
        <f>(Games[[#This Row],[Keff]]*Games[[#This Row],[MOVMult]])*(Games[[#This Row],[Result]]-Games[[#This Row],[ExpectedWin%]])</f>
        <v>-4.5318044847957646</v>
      </c>
      <c r="AB526" s="4">
        <f>Games[[#This Row],[PreGmRate]]+Games[[#This Row],[RatingChange]]</f>
        <v>1597.8985893925908</v>
      </c>
      <c r="AC526" s="2">
        <f>IF(Games[[#This Row],[Type]]="R",IF(Games[[#This Row],[Result]]&gt;0.5,1,0),0)</f>
        <v>0</v>
      </c>
      <c r="AD526" s="2">
        <f>IF(Games[[#This Row],[Type]]="R",IF(Games[[#This Row],[Result]]&lt;0.5,1,0),0)</f>
        <v>0</v>
      </c>
      <c r="AE526" s="2">
        <f>IF(AND(Games[[#This Row],[Type]]="P",Games[[#This Row],[Round]]=1),IF(Games[[#This Row],[Result]]&gt;0.5,1,0),0)</f>
        <v>0</v>
      </c>
      <c r="AF526" s="2">
        <f>IF(AND(Games[[#This Row],[Type]]="P",Games[[#This Row],[Round]]=1),IF(Games[[#This Row],[Result]]&lt;0.5,1,0),0)</f>
        <v>1</v>
      </c>
      <c r="AG526" s="2">
        <f>IF(AND(Games[[#This Row],[Type]]="P",Games[[#This Row],[Round]]=2),IF(Games[[#This Row],[Result]]&gt;0.5,1,0),0)</f>
        <v>0</v>
      </c>
      <c r="AH526" s="2">
        <f>IF(AND(Games[[#This Row],[Type]]="P",Games[[#This Row],[Round]]=2),IF(Games[[#This Row],[Result]]&lt;0.5,1,0),0)</f>
        <v>0</v>
      </c>
      <c r="AI526" s="2">
        <f>IF(AND(Games[[#This Row],[Type]]="P",Games[[#This Row],[Round]]=3),IF(Games[[#This Row],[Result]]&gt;0.5,1,0),0)</f>
        <v>0</v>
      </c>
      <c r="AJ526" s="2">
        <f>IF(AND(Games[[#This Row],[Type]]="P",Games[[#This Row],[Round]]=3),IF(Games[[#This Row],[Result]]&lt;0.5,1,0),0)</f>
        <v>0</v>
      </c>
      <c r="AK526" s="2">
        <f>IF(AND(Games[[#This Row],[Type]]="P",Games[[#This Row],[Round]]=4),IF(Games[[#This Row],[Result]]&gt;0.5,1,0),0)</f>
        <v>0</v>
      </c>
      <c r="AL526" s="2">
        <f>IF(AND(Games[[#This Row],[Type]]="P",Games[[#This Row],[Round]]=4),IF(Games[[#This Row],[Result]]&lt;0.5,1,0),0)</f>
        <v>0</v>
      </c>
    </row>
    <row r="527" spans="1:38" x14ac:dyDescent="0.35">
      <c r="A527" s="10">
        <v>36752</v>
      </c>
      <c r="B527" s="2">
        <v>2000</v>
      </c>
      <c r="C527" s="2">
        <f>COUNTIFS(Games[Team],Games[[#This Row],[Team]],Games[Season],Games[[#This Row],[Season]],Games[Date],"&lt;=" &amp; Games[[#This Row],[Date]])</f>
        <v>34</v>
      </c>
      <c r="D527" s="2" t="s">
        <v>46</v>
      </c>
      <c r="E527" s="2">
        <v>1</v>
      </c>
      <c r="F527" s="1" t="s">
        <v>2</v>
      </c>
      <c r="G527" s="1" t="s">
        <v>45</v>
      </c>
      <c r="H527" s="1" t="s">
        <v>15</v>
      </c>
      <c r="I527" s="2" cm="1">
        <f t="array" ref="I5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7" s="2" cm="1">
        <f t="array" ref="J5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7" s="2">
        <f>Games[[#This Row],[DaysOff]]-Games[[#This Row],[OppDaysOff]]</f>
        <v>0</v>
      </c>
      <c r="L527" s="2">
        <f>Games[[#This Row],[OppDaysOff]]-Games[[#This Row],[DaysOff]]</f>
        <v>0</v>
      </c>
      <c r="M527" s="16">
        <f>MAX(-16, MIN(16, Games[[#This Row],[RestDiff]]*8))</f>
        <v>0</v>
      </c>
      <c r="N527" s="16">
        <f>MAX(-16, MIN(16, Games[[#This Row],[OppRestDiff]]*8))</f>
        <v>0</v>
      </c>
      <c r="O527" s="4" cm="1">
        <f t="array" ref="O5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1761.0951625950008</v>
      </c>
      <c r="P527" s="4" cm="1">
        <f t="array" ref="P5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1602.4303938773865</v>
      </c>
      <c r="Q527" s="4">
        <f>1/(1+10^(((Games[[#This Row],[OppPreGmRate]]+IF(Games[[#This Row],[HomeAway]]="A",HCA,0)+Games[[#This Row],[OppRestAdj]])-(Games[[#This Row],[PreGmRate]]+IF(Games[[#This Row],[HomeAway]]="H",HCA,0)+Games[[#This Row],[RestAdj]]))/400))</f>
        <v>0.80169002560113711</v>
      </c>
      <c r="R527" s="1">
        <v>75</v>
      </c>
      <c r="S527" s="1">
        <v>70</v>
      </c>
      <c r="T527" s="1">
        <v>0</v>
      </c>
      <c r="U527" s="16">
        <f>Games[[#This Row],[PointsFor]]-Games[[#This Row],[PointsAgainst]]</f>
        <v>5</v>
      </c>
      <c r="V527" s="16">
        <f>IF(Games[[#This Row],[MOV]]&gt;0,1,IF(Games[[#This Row],[MOV]]=0,0.5,0))</f>
        <v>1</v>
      </c>
      <c r="W527" s="4">
        <f>((ABS(Games[[#This Row],[MOV]])+5)^0.6)/(12+0.01*(ABS(Games[[#This Row],[PreGmRate]]-Games[[#This Row],[OppPreGmRate]])))*IF(Games[[#This Row],[OT]]=1,0.9,1)</f>
        <v>0.29301353779067491</v>
      </c>
      <c r="X527" s="7" cm="1">
        <f t="array" ref="X5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7" s="9">
        <f>MAX(kmin, kmax - 0.15 * MIN(Games[[#This Row],[GamesPlayed]], 82))</f>
        <v>70.900000000000006</v>
      </c>
      <c r="Z527" s="4">
        <f>Games[[#This Row],[K]]*Games[[#This Row],[POMult]]</f>
        <v>77.990000000000009</v>
      </c>
      <c r="AA527" s="4">
        <f>(Games[[#This Row],[Keff]]*Games[[#This Row],[MOVMult]])*(Games[[#This Row],[Result]]-Games[[#This Row],[ExpectedWin%]])</f>
        <v>4.5318044847957628</v>
      </c>
      <c r="AB527" s="4">
        <f>Games[[#This Row],[PreGmRate]]+Games[[#This Row],[RatingChange]]</f>
        <v>1765.6269670797965</v>
      </c>
      <c r="AC527" s="2">
        <f>IF(Games[[#This Row],[Type]]="R",IF(Games[[#This Row],[Result]]&gt;0.5,1,0),0)</f>
        <v>0</v>
      </c>
      <c r="AD527" s="2">
        <f>IF(Games[[#This Row],[Type]]="R",IF(Games[[#This Row],[Result]]&lt;0.5,1,0),0)</f>
        <v>0</v>
      </c>
      <c r="AE527" s="2">
        <f>IF(AND(Games[[#This Row],[Type]]="P",Games[[#This Row],[Round]]=1),IF(Games[[#This Row],[Result]]&gt;0.5,1,0),0)</f>
        <v>1</v>
      </c>
      <c r="AF527" s="2">
        <f>IF(AND(Games[[#This Row],[Type]]="P",Games[[#This Row],[Round]]=1),IF(Games[[#This Row],[Result]]&lt;0.5,1,0),0)</f>
        <v>0</v>
      </c>
      <c r="AG527" s="2">
        <f>IF(AND(Games[[#This Row],[Type]]="P",Games[[#This Row],[Round]]=2),IF(Games[[#This Row],[Result]]&gt;0.5,1,0),0)</f>
        <v>0</v>
      </c>
      <c r="AH527" s="2">
        <f>IF(AND(Games[[#This Row],[Type]]="P",Games[[#This Row],[Round]]=2),IF(Games[[#This Row],[Result]]&lt;0.5,1,0),0)</f>
        <v>0</v>
      </c>
      <c r="AI527" s="2">
        <f>IF(AND(Games[[#This Row],[Type]]="P",Games[[#This Row],[Round]]=3),IF(Games[[#This Row],[Result]]&gt;0.5,1,0),0)</f>
        <v>0</v>
      </c>
      <c r="AJ527" s="2">
        <f>IF(AND(Games[[#This Row],[Type]]="P",Games[[#This Row],[Round]]=3),IF(Games[[#This Row],[Result]]&lt;0.5,1,0),0)</f>
        <v>0</v>
      </c>
      <c r="AK527" s="2">
        <f>IF(AND(Games[[#This Row],[Type]]="P",Games[[#This Row],[Round]]=4),IF(Games[[#This Row],[Result]]&gt;0.5,1,0),0)</f>
        <v>0</v>
      </c>
      <c r="AL527" s="2">
        <f>IF(AND(Games[[#This Row],[Type]]="P",Games[[#This Row],[Round]]=4),IF(Games[[#This Row],[Result]]&lt;0.5,1,0),0)</f>
        <v>0</v>
      </c>
    </row>
    <row r="528" spans="1:38" x14ac:dyDescent="0.35">
      <c r="A528" s="10">
        <v>36752</v>
      </c>
      <c r="B528" s="2">
        <v>2000</v>
      </c>
      <c r="C528" s="2">
        <f>COUNTIFS(Games[Team],Games[[#This Row],[Team]],Games[Season],Games[[#This Row],[Season]],Games[Date],"&lt;=" &amp; Games[[#This Row],[Date]])</f>
        <v>34</v>
      </c>
      <c r="D528" s="2" t="s">
        <v>46</v>
      </c>
      <c r="E528" s="2">
        <v>1</v>
      </c>
      <c r="F528" s="1" t="s">
        <v>75</v>
      </c>
      <c r="G528" s="1" t="s">
        <v>66</v>
      </c>
      <c r="H528" s="1" t="s">
        <v>16</v>
      </c>
      <c r="I528" s="2" cm="1">
        <f t="array" ref="I5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8" s="2" cm="1">
        <f t="array" ref="J5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8" s="2">
        <f>Games[[#This Row],[DaysOff]]-Games[[#This Row],[OppDaysOff]]</f>
        <v>0</v>
      </c>
      <c r="L528" s="2">
        <f>Games[[#This Row],[OppDaysOff]]-Games[[#This Row],[DaysOff]]</f>
        <v>0</v>
      </c>
      <c r="M528" s="16">
        <f>MAX(-16, MIN(16, Games[[#This Row],[RestDiff]]*8))</f>
        <v>0</v>
      </c>
      <c r="N528" s="16">
        <f>MAX(-16, MIN(16, Games[[#This Row],[OppRestDiff]]*8))</f>
        <v>0</v>
      </c>
      <c r="O528" s="4" cm="1">
        <f t="array" ref="O5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1420.4548664639435</v>
      </c>
      <c r="P528" s="4" cm="1">
        <f t="array" ref="P5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1596.42376208626</v>
      </c>
      <c r="Q528" s="4">
        <f>1/(1+10^(((Games[[#This Row],[OppPreGmRate]]+IF(Games[[#This Row],[HomeAway]]="A",HCA,0)+Games[[#This Row],[OppRestAdj]])-(Games[[#This Row],[PreGmRate]]+IF(Games[[#This Row],[HomeAway]]="H",HCA,0)+Games[[#This Row],[RestAdj]]))/400))</f>
        <v>0.18294792849172284</v>
      </c>
      <c r="R528" s="1">
        <v>57</v>
      </c>
      <c r="S528" s="1">
        <v>78</v>
      </c>
      <c r="T528" s="1">
        <v>0</v>
      </c>
      <c r="U528" s="16">
        <f>Games[[#This Row],[PointsFor]]-Games[[#This Row],[PointsAgainst]]</f>
        <v>-21</v>
      </c>
      <c r="V528" s="16">
        <f>IF(Games[[#This Row],[MOV]]&gt;0,1,IF(Games[[#This Row],[MOV]]=0,0.5,0))</f>
        <v>0</v>
      </c>
      <c r="W528" s="4">
        <f>((ABS(Games[[#This Row],[MOV]])+5)^0.6)/(12+0.01*(ABS(Games[[#This Row],[PreGmRate]]-Games[[#This Row],[OppPreGmRate]])))*IF(Games[[#This Row],[OT]]=1,0.9,1)</f>
        <v>0.51330487889077347</v>
      </c>
      <c r="X528" s="7" cm="1">
        <f t="array" ref="X5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8" s="9">
        <f>MAX(kmin, kmax - 0.15 * MIN(Games[[#This Row],[GamesPlayed]], 82))</f>
        <v>70.900000000000006</v>
      </c>
      <c r="Z528" s="4">
        <f>Games[[#This Row],[K]]*Games[[#This Row],[POMult]]</f>
        <v>77.990000000000009</v>
      </c>
      <c r="AA528" s="4">
        <f>(Games[[#This Row],[Keff]]*Games[[#This Row],[MOVMult]])*(Games[[#This Row],[Result]]-Games[[#This Row],[ExpectedWin%]])</f>
        <v>-7.3238899330226337</v>
      </c>
      <c r="AB528" s="4">
        <f>Games[[#This Row],[PreGmRate]]+Games[[#This Row],[RatingChange]]</f>
        <v>1413.1309765309209</v>
      </c>
      <c r="AC528" s="2">
        <f>IF(Games[[#This Row],[Type]]="R",IF(Games[[#This Row],[Result]]&gt;0.5,1,0),0)</f>
        <v>0</v>
      </c>
      <c r="AD528" s="2">
        <f>IF(Games[[#This Row],[Type]]="R",IF(Games[[#This Row],[Result]]&lt;0.5,1,0),0)</f>
        <v>0</v>
      </c>
      <c r="AE528" s="2">
        <f>IF(AND(Games[[#This Row],[Type]]="P",Games[[#This Row],[Round]]=1),IF(Games[[#This Row],[Result]]&gt;0.5,1,0),0)</f>
        <v>0</v>
      </c>
      <c r="AF528" s="2">
        <f>IF(AND(Games[[#This Row],[Type]]="P",Games[[#This Row],[Round]]=1),IF(Games[[#This Row],[Result]]&lt;0.5,1,0),0)</f>
        <v>1</v>
      </c>
      <c r="AG528" s="2">
        <f>IF(AND(Games[[#This Row],[Type]]="P",Games[[#This Row],[Round]]=2),IF(Games[[#This Row],[Result]]&gt;0.5,1,0),0)</f>
        <v>0</v>
      </c>
      <c r="AH528" s="2">
        <f>IF(AND(Games[[#This Row],[Type]]="P",Games[[#This Row],[Round]]=2),IF(Games[[#This Row],[Result]]&lt;0.5,1,0),0)</f>
        <v>0</v>
      </c>
      <c r="AI528" s="2">
        <f>IF(AND(Games[[#This Row],[Type]]="P",Games[[#This Row],[Round]]=3),IF(Games[[#This Row],[Result]]&gt;0.5,1,0),0)</f>
        <v>0</v>
      </c>
      <c r="AJ528" s="2">
        <f>IF(AND(Games[[#This Row],[Type]]="P",Games[[#This Row],[Round]]=3),IF(Games[[#This Row],[Result]]&lt;0.5,1,0),0)</f>
        <v>0</v>
      </c>
      <c r="AK528" s="2">
        <f>IF(AND(Games[[#This Row],[Type]]="P",Games[[#This Row],[Round]]=4),IF(Games[[#This Row],[Result]]&gt;0.5,1,0),0)</f>
        <v>0</v>
      </c>
      <c r="AL528" s="2">
        <f>IF(AND(Games[[#This Row],[Type]]="P",Games[[#This Row],[Round]]=4),IF(Games[[#This Row],[Result]]&lt;0.5,1,0),0)</f>
        <v>0</v>
      </c>
    </row>
    <row r="529" spans="1:38" x14ac:dyDescent="0.35">
      <c r="A529" s="10">
        <v>36752</v>
      </c>
      <c r="B529" s="2">
        <v>2000</v>
      </c>
      <c r="C529" s="2">
        <f>COUNTIFS(Games[Team],Games[[#This Row],[Team]],Games[Season],Games[[#This Row],[Season]],Games[Date],"&lt;=" &amp; Games[[#This Row],[Date]])</f>
        <v>34</v>
      </c>
      <c r="D529" s="2" t="s">
        <v>46</v>
      </c>
      <c r="E529" s="2">
        <v>1</v>
      </c>
      <c r="F529" s="1" t="s">
        <v>66</v>
      </c>
      <c r="G529" s="1" t="s">
        <v>75</v>
      </c>
      <c r="H529" s="1" t="s">
        <v>15</v>
      </c>
      <c r="I529" s="2" cm="1">
        <f t="array" ref="I5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9" s="2" cm="1">
        <f t="array" ref="J5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9" s="2">
        <f>Games[[#This Row],[DaysOff]]-Games[[#This Row],[OppDaysOff]]</f>
        <v>0</v>
      </c>
      <c r="L529" s="2">
        <f>Games[[#This Row],[OppDaysOff]]-Games[[#This Row],[DaysOff]]</f>
        <v>0</v>
      </c>
      <c r="M529" s="16">
        <f>MAX(-16, MIN(16, Games[[#This Row],[RestDiff]]*8))</f>
        <v>0</v>
      </c>
      <c r="N529" s="16">
        <f>MAX(-16, MIN(16, Games[[#This Row],[OppRestDiff]]*8))</f>
        <v>0</v>
      </c>
      <c r="O529" s="4" cm="1">
        <f t="array" ref="O5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1596.42376208626</v>
      </c>
      <c r="P529" s="4" cm="1">
        <f t="array" ref="P5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1420.4548664639435</v>
      </c>
      <c r="Q529" s="4">
        <f>1/(1+10^(((Games[[#This Row],[OppPreGmRate]]+IF(Games[[#This Row],[HomeAway]]="A",HCA,0)+Games[[#This Row],[OppRestAdj]])-(Games[[#This Row],[PreGmRate]]+IF(Games[[#This Row],[HomeAway]]="H",HCA,0)+Games[[#This Row],[RestAdj]]))/400))</f>
        <v>0.81705207150827708</v>
      </c>
      <c r="R529" s="1">
        <v>78</v>
      </c>
      <c r="S529" s="1">
        <v>57</v>
      </c>
      <c r="T529" s="1">
        <v>0</v>
      </c>
      <c r="U529" s="16">
        <f>Games[[#This Row],[PointsFor]]-Games[[#This Row],[PointsAgainst]]</f>
        <v>21</v>
      </c>
      <c r="V529" s="16">
        <f>IF(Games[[#This Row],[MOV]]&gt;0,1,IF(Games[[#This Row],[MOV]]=0,0.5,0))</f>
        <v>1</v>
      </c>
      <c r="W529" s="4">
        <f>((ABS(Games[[#This Row],[MOV]])+5)^0.6)/(12+0.01*(ABS(Games[[#This Row],[PreGmRate]]-Games[[#This Row],[OppPreGmRate]])))*IF(Games[[#This Row],[OT]]=1,0.9,1)</f>
        <v>0.51330487889077347</v>
      </c>
      <c r="X529" s="7" cm="1">
        <f t="array" ref="X5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9" s="9">
        <f>MAX(kmin, kmax - 0.15 * MIN(Games[[#This Row],[GamesPlayed]], 82))</f>
        <v>70.900000000000006</v>
      </c>
      <c r="Z529" s="4">
        <f>Games[[#This Row],[K]]*Games[[#This Row],[POMult]]</f>
        <v>77.990000000000009</v>
      </c>
      <c r="AA529" s="4">
        <f>(Games[[#This Row],[Keff]]*Games[[#This Row],[MOVMult]])*(Games[[#This Row],[Result]]-Games[[#This Row],[ExpectedWin%]])</f>
        <v>7.3238899330226372</v>
      </c>
      <c r="AB529" s="4">
        <f>Games[[#This Row],[PreGmRate]]+Games[[#This Row],[RatingChange]]</f>
        <v>1603.7476520192827</v>
      </c>
      <c r="AC529" s="2">
        <f>IF(Games[[#This Row],[Type]]="R",IF(Games[[#This Row],[Result]]&gt;0.5,1,0),0)</f>
        <v>0</v>
      </c>
      <c r="AD529" s="2">
        <f>IF(Games[[#This Row],[Type]]="R",IF(Games[[#This Row],[Result]]&lt;0.5,1,0),0)</f>
        <v>0</v>
      </c>
      <c r="AE529" s="2">
        <f>IF(AND(Games[[#This Row],[Type]]="P",Games[[#This Row],[Round]]=1),IF(Games[[#This Row],[Result]]&gt;0.5,1,0),0)</f>
        <v>1</v>
      </c>
      <c r="AF529" s="2">
        <f>IF(AND(Games[[#This Row],[Type]]="P",Games[[#This Row],[Round]]=1),IF(Games[[#This Row],[Result]]&lt;0.5,1,0),0)</f>
        <v>0</v>
      </c>
      <c r="AG529" s="2">
        <f>IF(AND(Games[[#This Row],[Type]]="P",Games[[#This Row],[Round]]=2),IF(Games[[#This Row],[Result]]&gt;0.5,1,0),0)</f>
        <v>0</v>
      </c>
      <c r="AH529" s="2">
        <f>IF(AND(Games[[#This Row],[Type]]="P",Games[[#This Row],[Round]]=2),IF(Games[[#This Row],[Result]]&lt;0.5,1,0),0)</f>
        <v>0</v>
      </c>
      <c r="AI529" s="2">
        <f>IF(AND(Games[[#This Row],[Type]]="P",Games[[#This Row],[Round]]=3),IF(Games[[#This Row],[Result]]&gt;0.5,1,0),0)</f>
        <v>0</v>
      </c>
      <c r="AJ529" s="2">
        <f>IF(AND(Games[[#This Row],[Type]]="P",Games[[#This Row],[Round]]=3),IF(Games[[#This Row],[Result]]&lt;0.5,1,0),0)</f>
        <v>0</v>
      </c>
      <c r="AK529" s="2">
        <f>IF(AND(Games[[#This Row],[Type]]="P",Games[[#This Row],[Round]]=4),IF(Games[[#This Row],[Result]]&gt;0.5,1,0),0)</f>
        <v>0</v>
      </c>
      <c r="AL529" s="2">
        <f>IF(AND(Games[[#This Row],[Type]]="P",Games[[#This Row],[Round]]=4),IF(Games[[#This Row],[Result]]&lt;0.5,1,0),0)</f>
        <v>0</v>
      </c>
    </row>
    <row r="530" spans="1:38" x14ac:dyDescent="0.35">
      <c r="A530" s="10">
        <v>36753</v>
      </c>
      <c r="B530" s="2">
        <v>2000</v>
      </c>
      <c r="C530" s="2">
        <f>COUNTIFS(Games[Team],Games[[#This Row],[Team]],Games[Season],Games[[#This Row],[Season]],Games[Date],"&lt;=" &amp; Games[[#This Row],[Date]])</f>
        <v>35</v>
      </c>
      <c r="D530" s="2" t="s">
        <v>46</v>
      </c>
      <c r="E530" s="2">
        <v>1</v>
      </c>
      <c r="F530" s="1" t="s">
        <v>79</v>
      </c>
      <c r="G530" s="1" t="s">
        <v>1</v>
      </c>
      <c r="H530" s="1" t="s">
        <v>16</v>
      </c>
      <c r="I530" s="2" cm="1">
        <f t="array" ref="I5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0" s="2" cm="1">
        <f t="array" ref="J5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0" s="2">
        <f>Games[[#This Row],[DaysOff]]-Games[[#This Row],[OppDaysOff]]</f>
        <v>0</v>
      </c>
      <c r="L530" s="2">
        <f>Games[[#This Row],[OppDaysOff]]-Games[[#This Row],[DaysOff]]</f>
        <v>0</v>
      </c>
      <c r="M530" s="16">
        <f>MAX(-16, MIN(16, Games[[#This Row],[RestDiff]]*8))</f>
        <v>0</v>
      </c>
      <c r="N530" s="16">
        <f>MAX(-16, MIN(16, Games[[#This Row],[OppRestDiff]]*8))</f>
        <v>0</v>
      </c>
      <c r="O530" s="4" cm="1">
        <f t="array" ref="O5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1471.3731858656577</v>
      </c>
      <c r="P530" s="4" cm="1">
        <f t="array" ref="P5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1486.5522703003501</v>
      </c>
      <c r="Q530" s="4">
        <f>1/(1+10^(((Games[[#This Row],[OppPreGmRate]]+IF(Games[[#This Row],[HomeAway]]="A",HCA,0)+Games[[#This Row],[OppRestAdj]])-(Games[[#This Row],[PreGmRate]]+IF(Games[[#This Row],[HomeAway]]="H",HCA,0)+Games[[#This Row],[RestAdj]]))/400))</f>
        <v>0.36102440450256318</v>
      </c>
      <c r="R530" s="1">
        <v>43</v>
      </c>
      <c r="S530" s="1">
        <v>72</v>
      </c>
      <c r="T530" s="1">
        <v>0</v>
      </c>
      <c r="U530" s="16">
        <f>Games[[#This Row],[PointsFor]]-Games[[#This Row],[PointsAgainst]]</f>
        <v>-29</v>
      </c>
      <c r="V530" s="16">
        <f>IF(Games[[#This Row],[MOV]]&gt;0,1,IF(Games[[#This Row],[MOV]]=0,0.5,0))</f>
        <v>0</v>
      </c>
      <c r="W530" s="4">
        <f>((ABS(Games[[#This Row],[MOV]])+5)^0.6)/(12+0.01*(ABS(Games[[#This Row],[PreGmRate]]-Games[[#This Row],[OppPreGmRate]])))*IF(Games[[#This Row],[OT]]=1,0.9,1)</f>
        <v>0.6827269779738514</v>
      </c>
      <c r="X530" s="7" cm="1">
        <f t="array" ref="X5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0" s="9">
        <f>MAX(kmin, kmax - 0.15 * MIN(Games[[#This Row],[GamesPlayed]], 82))</f>
        <v>70.75</v>
      </c>
      <c r="Z530" s="4">
        <f>Games[[#This Row],[K]]*Games[[#This Row],[POMult]]</f>
        <v>77.825000000000003</v>
      </c>
      <c r="AA530" s="4">
        <f>(Games[[#This Row],[Keff]]*Games[[#This Row],[MOVMult]])*(Games[[#This Row],[Result]]-Games[[#This Row],[ExpectedWin%]])</f>
        <v>-19.182391658930207</v>
      </c>
      <c r="AB530" s="4">
        <f>Games[[#This Row],[PreGmRate]]+Games[[#This Row],[RatingChange]]</f>
        <v>1452.1907942067276</v>
      </c>
      <c r="AC530" s="2">
        <f>IF(Games[[#This Row],[Type]]="R",IF(Games[[#This Row],[Result]]&gt;0.5,1,0),0)</f>
        <v>0</v>
      </c>
      <c r="AD530" s="2">
        <f>IF(Games[[#This Row],[Type]]="R",IF(Games[[#This Row],[Result]]&lt;0.5,1,0),0)</f>
        <v>0</v>
      </c>
      <c r="AE530" s="2">
        <f>IF(AND(Games[[#This Row],[Type]]="P",Games[[#This Row],[Round]]=1),IF(Games[[#This Row],[Result]]&gt;0.5,1,0),0)</f>
        <v>0</v>
      </c>
      <c r="AF530" s="2">
        <f>IF(AND(Games[[#This Row],[Type]]="P",Games[[#This Row],[Round]]=1),IF(Games[[#This Row],[Result]]&lt;0.5,1,0),0)</f>
        <v>1</v>
      </c>
      <c r="AG530" s="2">
        <f>IF(AND(Games[[#This Row],[Type]]="P",Games[[#This Row],[Round]]=2),IF(Games[[#This Row],[Result]]&gt;0.5,1,0),0)</f>
        <v>0</v>
      </c>
      <c r="AH530" s="2">
        <f>IF(AND(Games[[#This Row],[Type]]="P",Games[[#This Row],[Round]]=2),IF(Games[[#This Row],[Result]]&lt;0.5,1,0),0)</f>
        <v>0</v>
      </c>
      <c r="AI530" s="2">
        <f>IF(AND(Games[[#This Row],[Type]]="P",Games[[#This Row],[Round]]=3),IF(Games[[#This Row],[Result]]&gt;0.5,1,0),0)</f>
        <v>0</v>
      </c>
      <c r="AJ530" s="2">
        <f>IF(AND(Games[[#This Row],[Type]]="P",Games[[#This Row],[Round]]=3),IF(Games[[#This Row],[Result]]&lt;0.5,1,0),0)</f>
        <v>0</v>
      </c>
      <c r="AK530" s="2">
        <f>IF(AND(Games[[#This Row],[Type]]="P",Games[[#This Row],[Round]]=4),IF(Games[[#This Row],[Result]]&gt;0.5,1,0),0)</f>
        <v>0</v>
      </c>
      <c r="AL530" s="2">
        <f>IF(AND(Games[[#This Row],[Type]]="P",Games[[#This Row],[Round]]=4),IF(Games[[#This Row],[Result]]&lt;0.5,1,0),0)</f>
        <v>0</v>
      </c>
    </row>
    <row r="531" spans="1:38" x14ac:dyDescent="0.35">
      <c r="A531" s="10">
        <v>36753</v>
      </c>
      <c r="B531" s="2">
        <v>2000</v>
      </c>
      <c r="C531" s="2">
        <f>COUNTIFS(Games[Team],Games[[#This Row],[Team]],Games[Season],Games[[#This Row],[Season]],Games[Date],"&lt;=" &amp; Games[[#This Row],[Date]])</f>
        <v>35</v>
      </c>
      <c r="D531" s="2" t="s">
        <v>46</v>
      </c>
      <c r="E531" s="2">
        <v>1</v>
      </c>
      <c r="F531" s="1" t="s">
        <v>1</v>
      </c>
      <c r="G531" s="1" t="s">
        <v>79</v>
      </c>
      <c r="H531" s="1" t="s">
        <v>15</v>
      </c>
      <c r="I531" s="2" cm="1">
        <f t="array" ref="I5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1" s="2" cm="1">
        <f t="array" ref="J5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1" s="2">
        <f>Games[[#This Row],[DaysOff]]-Games[[#This Row],[OppDaysOff]]</f>
        <v>0</v>
      </c>
      <c r="L531" s="2">
        <f>Games[[#This Row],[OppDaysOff]]-Games[[#This Row],[DaysOff]]</f>
        <v>0</v>
      </c>
      <c r="M531" s="16">
        <f>MAX(-16, MIN(16, Games[[#This Row],[RestDiff]]*8))</f>
        <v>0</v>
      </c>
      <c r="N531" s="16">
        <f>MAX(-16, MIN(16, Games[[#This Row],[OppRestDiff]]*8))</f>
        <v>0</v>
      </c>
      <c r="O531" s="4" cm="1">
        <f t="array" ref="O5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1486.5522703003501</v>
      </c>
      <c r="P531" s="4" cm="1">
        <f t="array" ref="P5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1471.3731858656577</v>
      </c>
      <c r="Q531" s="4">
        <f>1/(1+10^(((Games[[#This Row],[OppPreGmRate]]+IF(Games[[#This Row],[HomeAway]]="A",HCA,0)+Games[[#This Row],[OppRestAdj]])-(Games[[#This Row],[PreGmRate]]+IF(Games[[#This Row],[HomeAway]]="H",HCA,0)+Games[[#This Row],[RestAdj]]))/400))</f>
        <v>0.63897559549743688</v>
      </c>
      <c r="R531" s="1">
        <v>72</v>
      </c>
      <c r="S531" s="1">
        <v>43</v>
      </c>
      <c r="T531" s="1">
        <v>0</v>
      </c>
      <c r="U531" s="16">
        <f>Games[[#This Row],[PointsFor]]-Games[[#This Row],[PointsAgainst]]</f>
        <v>29</v>
      </c>
      <c r="V531" s="16">
        <f>IF(Games[[#This Row],[MOV]]&gt;0,1,IF(Games[[#This Row],[MOV]]=0,0.5,0))</f>
        <v>1</v>
      </c>
      <c r="W531" s="4">
        <f>((ABS(Games[[#This Row],[MOV]])+5)^0.6)/(12+0.01*(ABS(Games[[#This Row],[PreGmRate]]-Games[[#This Row],[OppPreGmRate]])))*IF(Games[[#This Row],[OT]]=1,0.9,1)</f>
        <v>0.6827269779738514</v>
      </c>
      <c r="X531" s="7" cm="1">
        <f t="array" ref="X5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1" s="9">
        <f>MAX(kmin, kmax - 0.15 * MIN(Games[[#This Row],[GamesPlayed]], 82))</f>
        <v>70.75</v>
      </c>
      <c r="Z531" s="4">
        <f>Games[[#This Row],[K]]*Games[[#This Row],[POMult]]</f>
        <v>77.825000000000003</v>
      </c>
      <c r="AA531" s="4">
        <f>(Games[[#This Row],[Keff]]*Games[[#This Row],[MOVMult]])*(Games[[#This Row],[Result]]-Games[[#This Row],[ExpectedWin%]])</f>
        <v>19.182391658930204</v>
      </c>
      <c r="AB531" s="4">
        <f>Games[[#This Row],[PreGmRate]]+Games[[#This Row],[RatingChange]]</f>
        <v>1505.7346619592802</v>
      </c>
      <c r="AC531" s="2">
        <f>IF(Games[[#This Row],[Type]]="R",IF(Games[[#This Row],[Result]]&gt;0.5,1,0),0)</f>
        <v>0</v>
      </c>
      <c r="AD531" s="2">
        <f>IF(Games[[#This Row],[Type]]="R",IF(Games[[#This Row],[Result]]&lt;0.5,1,0),0)</f>
        <v>0</v>
      </c>
      <c r="AE531" s="2">
        <f>IF(AND(Games[[#This Row],[Type]]="P",Games[[#This Row],[Round]]=1),IF(Games[[#This Row],[Result]]&gt;0.5,1,0),0)</f>
        <v>1</v>
      </c>
      <c r="AF531" s="2">
        <f>IF(AND(Games[[#This Row],[Type]]="P",Games[[#This Row],[Round]]=1),IF(Games[[#This Row],[Result]]&lt;0.5,1,0),0)</f>
        <v>0</v>
      </c>
      <c r="AG531" s="2">
        <f>IF(AND(Games[[#This Row],[Type]]="P",Games[[#This Row],[Round]]=2),IF(Games[[#This Row],[Result]]&gt;0.5,1,0),0)</f>
        <v>0</v>
      </c>
      <c r="AH531" s="2">
        <f>IF(AND(Games[[#This Row],[Type]]="P",Games[[#This Row],[Round]]=2),IF(Games[[#This Row],[Result]]&lt;0.5,1,0),0)</f>
        <v>0</v>
      </c>
      <c r="AI531" s="2">
        <f>IF(AND(Games[[#This Row],[Type]]="P",Games[[#This Row],[Round]]=3),IF(Games[[#This Row],[Result]]&gt;0.5,1,0),0)</f>
        <v>0</v>
      </c>
      <c r="AJ531" s="2">
        <f>IF(AND(Games[[#This Row],[Type]]="P",Games[[#This Row],[Round]]=3),IF(Games[[#This Row],[Result]]&lt;0.5,1,0),0)</f>
        <v>0</v>
      </c>
      <c r="AK531" s="2">
        <f>IF(AND(Games[[#This Row],[Type]]="P",Games[[#This Row],[Round]]=4),IF(Games[[#This Row],[Result]]&gt;0.5,1,0),0)</f>
        <v>0</v>
      </c>
      <c r="AL531" s="2">
        <f>IF(AND(Games[[#This Row],[Type]]="P",Games[[#This Row],[Round]]=4),IF(Games[[#This Row],[Result]]&lt;0.5,1,0),0)</f>
        <v>0</v>
      </c>
    </row>
    <row r="532" spans="1:38" x14ac:dyDescent="0.35">
      <c r="A532" s="10">
        <v>36755</v>
      </c>
      <c r="B532" s="2">
        <v>2000</v>
      </c>
      <c r="C532" s="2">
        <f>COUNTIFS(Games[Team],Games[[#This Row],[Team]],Games[Season],Games[[#This Row],[Season]],Games[Date],"&lt;=" &amp; Games[[#This Row],[Date]])</f>
        <v>35</v>
      </c>
      <c r="D532" s="2" t="s">
        <v>46</v>
      </c>
      <c r="E532" s="2">
        <v>2</v>
      </c>
      <c r="F532" s="1" t="s">
        <v>66</v>
      </c>
      <c r="G532" s="1" t="s">
        <v>1</v>
      </c>
      <c r="H532" s="1" t="s">
        <v>16</v>
      </c>
      <c r="I532" s="2" cm="1">
        <f t="array" ref="I5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2" s="2" cm="1">
        <f t="array" ref="J5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2" s="2">
        <f>Games[[#This Row],[DaysOff]]-Games[[#This Row],[OppDaysOff]]</f>
        <v>1</v>
      </c>
      <c r="L532" s="2">
        <f>Games[[#This Row],[OppDaysOff]]-Games[[#This Row],[DaysOff]]</f>
        <v>-1</v>
      </c>
      <c r="M532" s="16">
        <f>MAX(-16, MIN(16, Games[[#This Row],[RestDiff]]*8))</f>
        <v>8</v>
      </c>
      <c r="N532" s="16">
        <f>MAX(-16, MIN(16, Games[[#This Row],[OppRestDiff]]*8))</f>
        <v>-8</v>
      </c>
      <c r="O532" s="4" cm="1">
        <f t="array" ref="O5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1603.7476520192827</v>
      </c>
      <c r="P532" s="4" cm="1">
        <f t="array" ref="P5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1505.7346619592802</v>
      </c>
      <c r="Q532" s="4">
        <f>1/(1+10^(((Games[[#This Row],[OppPreGmRate]]+IF(Games[[#This Row],[HomeAway]]="A",HCA,0)+Games[[#This Row],[OppRestAdj]])-(Games[[#This Row],[PreGmRate]]+IF(Games[[#This Row],[HomeAway]]="H",HCA,0)+Games[[#This Row],[RestAdj]]))/400))</f>
        <v>0.54308504747129782</v>
      </c>
      <c r="R532" s="1">
        <v>43</v>
      </c>
      <c r="S532" s="1">
        <v>56</v>
      </c>
      <c r="T532" s="1">
        <v>0</v>
      </c>
      <c r="U532" s="16">
        <f>Games[[#This Row],[PointsFor]]-Games[[#This Row],[PointsAgainst]]</f>
        <v>-13</v>
      </c>
      <c r="V532" s="16">
        <f>IF(Games[[#This Row],[MOV]]&gt;0,1,IF(Games[[#This Row],[MOV]]=0,0.5,0))</f>
        <v>0</v>
      </c>
      <c r="W532" s="4">
        <f>((ABS(Games[[#This Row],[MOV]])+5)^0.6)/(12+0.01*(ABS(Games[[#This Row],[PreGmRate]]-Games[[#This Row],[OppPreGmRate]])))*IF(Games[[#This Row],[OT]]=1,0.9,1)</f>
        <v>0.43639972104651742</v>
      </c>
      <c r="X532" s="7" cm="1">
        <f t="array" ref="X5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2" s="9">
        <f>MAX(kmin, kmax - 0.15 * MIN(Games[[#This Row],[GamesPlayed]], 82))</f>
        <v>70.75</v>
      </c>
      <c r="Z532" s="4">
        <f>Games[[#This Row],[K]]*Games[[#This Row],[POMult]]</f>
        <v>84.899999999999991</v>
      </c>
      <c r="AA532" s="4">
        <f>(Games[[#This Row],[Keff]]*Games[[#This Row],[MOVMult]])*(Games[[#This Row],[Result]]-Games[[#This Row],[ExpectedWin%]])</f>
        <v>-20.121483657463667</v>
      </c>
      <c r="AB532" s="4">
        <f>Games[[#This Row],[PreGmRate]]+Games[[#This Row],[RatingChange]]</f>
        <v>1583.6261683618191</v>
      </c>
      <c r="AC532" s="2">
        <f>IF(Games[[#This Row],[Type]]="R",IF(Games[[#This Row],[Result]]&gt;0.5,1,0),0)</f>
        <v>0</v>
      </c>
      <c r="AD532" s="2">
        <f>IF(Games[[#This Row],[Type]]="R",IF(Games[[#This Row],[Result]]&lt;0.5,1,0),0)</f>
        <v>0</v>
      </c>
      <c r="AE532" s="2">
        <f>IF(AND(Games[[#This Row],[Type]]="P",Games[[#This Row],[Round]]=1),IF(Games[[#This Row],[Result]]&gt;0.5,1,0),0)</f>
        <v>0</v>
      </c>
      <c r="AF532" s="2">
        <f>IF(AND(Games[[#This Row],[Type]]="P",Games[[#This Row],[Round]]=1),IF(Games[[#This Row],[Result]]&lt;0.5,1,0),0)</f>
        <v>0</v>
      </c>
      <c r="AG532" s="2">
        <f>IF(AND(Games[[#This Row],[Type]]="P",Games[[#This Row],[Round]]=2),IF(Games[[#This Row],[Result]]&gt;0.5,1,0),0)</f>
        <v>0</v>
      </c>
      <c r="AH532" s="2">
        <f>IF(AND(Games[[#This Row],[Type]]="P",Games[[#This Row],[Round]]=2),IF(Games[[#This Row],[Result]]&lt;0.5,1,0),0)</f>
        <v>1</v>
      </c>
      <c r="AI532" s="2">
        <f>IF(AND(Games[[#This Row],[Type]]="P",Games[[#This Row],[Round]]=3),IF(Games[[#This Row],[Result]]&gt;0.5,1,0),0)</f>
        <v>0</v>
      </c>
      <c r="AJ532" s="2">
        <f>IF(AND(Games[[#This Row],[Type]]="P",Games[[#This Row],[Round]]=3),IF(Games[[#This Row],[Result]]&lt;0.5,1,0),0)</f>
        <v>0</v>
      </c>
      <c r="AK532" s="2">
        <f>IF(AND(Games[[#This Row],[Type]]="P",Games[[#This Row],[Round]]=4),IF(Games[[#This Row],[Result]]&gt;0.5,1,0),0)</f>
        <v>0</v>
      </c>
      <c r="AL532" s="2">
        <f>IF(AND(Games[[#This Row],[Type]]="P",Games[[#This Row],[Round]]=4),IF(Games[[#This Row],[Result]]&lt;0.5,1,0),0)</f>
        <v>0</v>
      </c>
    </row>
    <row r="533" spans="1:38" x14ac:dyDescent="0.35">
      <c r="A533" s="10">
        <v>36755</v>
      </c>
      <c r="B533" s="2">
        <v>2000</v>
      </c>
      <c r="C533" s="2">
        <f>COUNTIFS(Games[Team],Games[[#This Row],[Team]],Games[Season],Games[[#This Row],[Season]],Games[Date],"&lt;=" &amp; Games[[#This Row],[Date]])</f>
        <v>36</v>
      </c>
      <c r="D533" s="2" t="s">
        <v>46</v>
      </c>
      <c r="E533" s="2">
        <v>2</v>
      </c>
      <c r="F533" s="1" t="s">
        <v>1</v>
      </c>
      <c r="G533" s="1" t="s">
        <v>66</v>
      </c>
      <c r="H533" s="1" t="s">
        <v>15</v>
      </c>
      <c r="I533" s="2" cm="1">
        <f t="array" ref="I5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3" s="2" cm="1">
        <f t="array" ref="J5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3" s="2">
        <f>Games[[#This Row],[DaysOff]]-Games[[#This Row],[OppDaysOff]]</f>
        <v>-1</v>
      </c>
      <c r="L533" s="2">
        <f>Games[[#This Row],[OppDaysOff]]-Games[[#This Row],[DaysOff]]</f>
        <v>1</v>
      </c>
      <c r="M533" s="16">
        <f>MAX(-16, MIN(16, Games[[#This Row],[RestDiff]]*8))</f>
        <v>-8</v>
      </c>
      <c r="N533" s="16">
        <f>MAX(-16, MIN(16, Games[[#This Row],[OppRestDiff]]*8))</f>
        <v>8</v>
      </c>
      <c r="O533" s="4" cm="1">
        <f t="array" ref="O5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1505.7346619592802</v>
      </c>
      <c r="P533" s="4" cm="1">
        <f t="array" ref="P5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1603.7476520192827</v>
      </c>
      <c r="Q533" s="4">
        <f>1/(1+10^(((Games[[#This Row],[OppPreGmRate]]+IF(Games[[#This Row],[HomeAway]]="A",HCA,0)+Games[[#This Row],[OppRestAdj]])-(Games[[#This Row],[PreGmRate]]+IF(Games[[#This Row],[HomeAway]]="H",HCA,0)+Games[[#This Row],[RestAdj]]))/400))</f>
        <v>0.45691495252870218</v>
      </c>
      <c r="R533" s="1">
        <v>56</v>
      </c>
      <c r="S533" s="1">
        <v>43</v>
      </c>
      <c r="T533" s="1">
        <v>0</v>
      </c>
      <c r="U533" s="16">
        <f>Games[[#This Row],[PointsFor]]-Games[[#This Row],[PointsAgainst]]</f>
        <v>13</v>
      </c>
      <c r="V533" s="16">
        <f>IF(Games[[#This Row],[MOV]]&gt;0,1,IF(Games[[#This Row],[MOV]]=0,0.5,0))</f>
        <v>1</v>
      </c>
      <c r="W533" s="4">
        <f>((ABS(Games[[#This Row],[MOV]])+5)^0.6)/(12+0.01*(ABS(Games[[#This Row],[PreGmRate]]-Games[[#This Row],[OppPreGmRate]])))*IF(Games[[#This Row],[OT]]=1,0.9,1)</f>
        <v>0.43639972104651742</v>
      </c>
      <c r="X533" s="7" cm="1">
        <f t="array" ref="X5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3" s="9">
        <f>MAX(kmin, kmax - 0.15 * MIN(Games[[#This Row],[GamesPlayed]], 82))</f>
        <v>70.599999999999994</v>
      </c>
      <c r="Z533" s="4">
        <f>Games[[#This Row],[K]]*Games[[#This Row],[POMult]]</f>
        <v>84.719999999999985</v>
      </c>
      <c r="AA533" s="4">
        <f>(Games[[#This Row],[Keff]]*Games[[#This Row],[MOVMult]])*(Games[[#This Row],[Result]]-Games[[#This Row],[ExpectedWin%]])</f>
        <v>20.07882326808388</v>
      </c>
      <c r="AB533" s="4">
        <f>Games[[#This Row],[PreGmRate]]+Games[[#This Row],[RatingChange]]</f>
        <v>1525.813485227364</v>
      </c>
      <c r="AC533" s="2">
        <f>IF(Games[[#This Row],[Type]]="R",IF(Games[[#This Row],[Result]]&gt;0.5,1,0),0)</f>
        <v>0</v>
      </c>
      <c r="AD533" s="2">
        <f>IF(Games[[#This Row],[Type]]="R",IF(Games[[#This Row],[Result]]&lt;0.5,1,0),0)</f>
        <v>0</v>
      </c>
      <c r="AE533" s="2">
        <f>IF(AND(Games[[#This Row],[Type]]="P",Games[[#This Row],[Round]]=1),IF(Games[[#This Row],[Result]]&gt;0.5,1,0),0)</f>
        <v>0</v>
      </c>
      <c r="AF533" s="2">
        <f>IF(AND(Games[[#This Row],[Type]]="P",Games[[#This Row],[Round]]=1),IF(Games[[#This Row],[Result]]&lt;0.5,1,0),0)</f>
        <v>0</v>
      </c>
      <c r="AG533" s="2">
        <f>IF(AND(Games[[#This Row],[Type]]="P",Games[[#This Row],[Round]]=2),IF(Games[[#This Row],[Result]]&gt;0.5,1,0),0)</f>
        <v>1</v>
      </c>
      <c r="AH533" s="2">
        <f>IF(AND(Games[[#This Row],[Type]]="P",Games[[#This Row],[Round]]=2),IF(Games[[#This Row],[Result]]&lt;0.5,1,0),0)</f>
        <v>0</v>
      </c>
      <c r="AI533" s="2">
        <f>IF(AND(Games[[#This Row],[Type]]="P",Games[[#This Row],[Round]]=3),IF(Games[[#This Row],[Result]]&gt;0.5,1,0),0)</f>
        <v>0</v>
      </c>
      <c r="AJ533" s="2">
        <f>IF(AND(Games[[#This Row],[Type]]="P",Games[[#This Row],[Round]]=3),IF(Games[[#This Row],[Result]]&lt;0.5,1,0),0)</f>
        <v>0</v>
      </c>
      <c r="AK533" s="2">
        <f>IF(AND(Games[[#This Row],[Type]]="P",Games[[#This Row],[Round]]=4),IF(Games[[#This Row],[Result]]&gt;0.5,1,0),0)</f>
        <v>0</v>
      </c>
      <c r="AL533" s="2">
        <f>IF(AND(Games[[#This Row],[Type]]="P",Games[[#This Row],[Round]]=4),IF(Games[[#This Row],[Result]]&lt;0.5,1,0),0)</f>
        <v>0</v>
      </c>
    </row>
    <row r="534" spans="1:38" x14ac:dyDescent="0.35">
      <c r="A534" s="10">
        <v>36755</v>
      </c>
      <c r="B534" s="2">
        <v>2000</v>
      </c>
      <c r="C534" s="2">
        <f>COUNTIFS(Games[Team],Games[[#This Row],[Team]],Games[Season],Games[[#This Row],[Season]],Games[Date],"&lt;=" &amp; Games[[#This Row],[Date]])</f>
        <v>35</v>
      </c>
      <c r="D534" s="2" t="s">
        <v>46</v>
      </c>
      <c r="E534" s="2">
        <v>2</v>
      </c>
      <c r="F534" s="1" t="s">
        <v>71</v>
      </c>
      <c r="G534" s="1" t="s">
        <v>2</v>
      </c>
      <c r="H534" s="1" t="s">
        <v>16</v>
      </c>
      <c r="I534" s="2" cm="1">
        <f t="array" ref="I5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4" s="2" cm="1">
        <f t="array" ref="J5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4" s="2">
        <f>Games[[#This Row],[DaysOff]]-Games[[#This Row],[OppDaysOff]]</f>
        <v>1</v>
      </c>
      <c r="L534" s="2">
        <f>Games[[#This Row],[OppDaysOff]]-Games[[#This Row],[DaysOff]]</f>
        <v>-1</v>
      </c>
      <c r="M534" s="16">
        <f>MAX(-16, MIN(16, Games[[#This Row],[RestDiff]]*8))</f>
        <v>8</v>
      </c>
      <c r="N534" s="16">
        <f>MAX(-16, MIN(16, Games[[#This Row],[OppRestDiff]]*8))</f>
        <v>-8</v>
      </c>
      <c r="O534" s="4" cm="1">
        <f t="array" ref="O5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1757.5188870642819</v>
      </c>
      <c r="P534" s="4" cm="1">
        <f t="array" ref="P5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1765.6269670797965</v>
      </c>
      <c r="Q534" s="4">
        <f>1/(1+10^(((Games[[#This Row],[OppPreGmRate]]+IF(Games[[#This Row],[HomeAway]]="A",HCA,0)+Games[[#This Row],[OppRestAdj]])-(Games[[#This Row],[PreGmRate]]+IF(Games[[#This Row],[HomeAway]]="H",HCA,0)+Games[[#This Row],[RestAdj]]))/400))</f>
        <v>0.39219061754814499</v>
      </c>
      <c r="R534" s="1">
        <v>56</v>
      </c>
      <c r="S534" s="1">
        <v>77</v>
      </c>
      <c r="T534" s="1">
        <v>0</v>
      </c>
      <c r="U534" s="16">
        <f>Games[[#This Row],[PointsFor]]-Games[[#This Row],[PointsAgainst]]</f>
        <v>-21</v>
      </c>
      <c r="V534" s="16">
        <f>IF(Games[[#This Row],[MOV]]&gt;0,1,IF(Games[[#This Row],[MOV]]=0,0.5,0))</f>
        <v>0</v>
      </c>
      <c r="W534" s="4">
        <f>((ABS(Games[[#This Row],[MOV]])+5)^0.6)/(12+0.01*(ABS(Games[[#This Row],[PreGmRate]]-Games[[#This Row],[OppPreGmRate]])))*IF(Games[[#This Row],[OT]]=1,0.9,1)</f>
        <v>0.58462612659275848</v>
      </c>
      <c r="X534" s="7" cm="1">
        <f t="array" ref="X5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4" s="9">
        <f>MAX(kmin, kmax - 0.15 * MIN(Games[[#This Row],[GamesPlayed]], 82))</f>
        <v>70.75</v>
      </c>
      <c r="Z534" s="4">
        <f>Games[[#This Row],[K]]*Games[[#This Row],[POMult]]</f>
        <v>84.899999999999991</v>
      </c>
      <c r="AA534" s="4">
        <f>(Games[[#This Row],[Keff]]*Games[[#This Row],[MOVMult]])*(Games[[#This Row],[Result]]-Games[[#This Row],[ExpectedWin%]])</f>
        <v>-19.466286449809161</v>
      </c>
      <c r="AB534" s="4">
        <f>Games[[#This Row],[PreGmRate]]+Games[[#This Row],[RatingChange]]</f>
        <v>1738.0526006144728</v>
      </c>
      <c r="AC534" s="2">
        <f>IF(Games[[#This Row],[Type]]="R",IF(Games[[#This Row],[Result]]&gt;0.5,1,0),0)</f>
        <v>0</v>
      </c>
      <c r="AD534" s="2">
        <f>IF(Games[[#This Row],[Type]]="R",IF(Games[[#This Row],[Result]]&lt;0.5,1,0),0)</f>
        <v>0</v>
      </c>
      <c r="AE534" s="2">
        <f>IF(AND(Games[[#This Row],[Type]]="P",Games[[#This Row],[Round]]=1),IF(Games[[#This Row],[Result]]&gt;0.5,1,0),0)</f>
        <v>0</v>
      </c>
      <c r="AF534" s="2">
        <f>IF(AND(Games[[#This Row],[Type]]="P",Games[[#This Row],[Round]]=1),IF(Games[[#This Row],[Result]]&lt;0.5,1,0),0)</f>
        <v>0</v>
      </c>
      <c r="AG534" s="2">
        <f>IF(AND(Games[[#This Row],[Type]]="P",Games[[#This Row],[Round]]=2),IF(Games[[#This Row],[Result]]&gt;0.5,1,0),0)</f>
        <v>0</v>
      </c>
      <c r="AH534" s="2">
        <f>IF(AND(Games[[#This Row],[Type]]="P",Games[[#This Row],[Round]]=2),IF(Games[[#This Row],[Result]]&lt;0.5,1,0),0)</f>
        <v>1</v>
      </c>
      <c r="AI534" s="2">
        <f>IF(AND(Games[[#This Row],[Type]]="P",Games[[#This Row],[Round]]=3),IF(Games[[#This Row],[Result]]&gt;0.5,1,0),0)</f>
        <v>0</v>
      </c>
      <c r="AJ534" s="2">
        <f>IF(AND(Games[[#This Row],[Type]]="P",Games[[#This Row],[Round]]=3),IF(Games[[#This Row],[Result]]&lt;0.5,1,0),0)</f>
        <v>0</v>
      </c>
      <c r="AK534" s="2">
        <f>IF(AND(Games[[#This Row],[Type]]="P",Games[[#This Row],[Round]]=4),IF(Games[[#This Row],[Result]]&gt;0.5,1,0),0)</f>
        <v>0</v>
      </c>
      <c r="AL534" s="2">
        <f>IF(AND(Games[[#This Row],[Type]]="P",Games[[#This Row],[Round]]=4),IF(Games[[#This Row],[Result]]&lt;0.5,1,0),0)</f>
        <v>0</v>
      </c>
    </row>
    <row r="535" spans="1:38" x14ac:dyDescent="0.35">
      <c r="A535" s="10">
        <v>36755</v>
      </c>
      <c r="B535" s="2">
        <v>2000</v>
      </c>
      <c r="C535" s="2">
        <f>COUNTIFS(Games[Team],Games[[#This Row],[Team]],Games[Season],Games[[#This Row],[Season]],Games[Date],"&lt;=" &amp; Games[[#This Row],[Date]])</f>
        <v>35</v>
      </c>
      <c r="D535" s="2" t="s">
        <v>46</v>
      </c>
      <c r="E535" s="2">
        <v>2</v>
      </c>
      <c r="F535" s="1" t="s">
        <v>2</v>
      </c>
      <c r="G535" s="1" t="s">
        <v>71</v>
      </c>
      <c r="H535" s="1" t="s">
        <v>15</v>
      </c>
      <c r="I535" s="2" cm="1">
        <f t="array" ref="I5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5" s="2" cm="1">
        <f t="array" ref="J5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5" s="2">
        <f>Games[[#This Row],[DaysOff]]-Games[[#This Row],[OppDaysOff]]</f>
        <v>-1</v>
      </c>
      <c r="L535" s="2">
        <f>Games[[#This Row],[OppDaysOff]]-Games[[#This Row],[DaysOff]]</f>
        <v>1</v>
      </c>
      <c r="M535" s="16">
        <f>MAX(-16, MIN(16, Games[[#This Row],[RestDiff]]*8))</f>
        <v>-8</v>
      </c>
      <c r="N535" s="16">
        <f>MAX(-16, MIN(16, Games[[#This Row],[OppRestDiff]]*8))</f>
        <v>8</v>
      </c>
      <c r="O535" s="4" cm="1">
        <f t="array" ref="O5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1765.6269670797965</v>
      </c>
      <c r="P535" s="4" cm="1">
        <f t="array" ref="P5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1757.5188870642819</v>
      </c>
      <c r="Q535" s="4">
        <f>1/(1+10^(((Games[[#This Row],[OppPreGmRate]]+IF(Games[[#This Row],[HomeAway]]="A",HCA,0)+Games[[#This Row],[OppRestAdj]])-(Games[[#This Row],[PreGmRate]]+IF(Games[[#This Row],[HomeAway]]="H",HCA,0)+Games[[#This Row],[RestAdj]]))/400))</f>
        <v>0.60780938245185501</v>
      </c>
      <c r="R535" s="1">
        <v>77</v>
      </c>
      <c r="S535" s="1">
        <v>56</v>
      </c>
      <c r="T535" s="1">
        <v>0</v>
      </c>
      <c r="U535" s="16">
        <f>Games[[#This Row],[PointsFor]]-Games[[#This Row],[PointsAgainst]]</f>
        <v>21</v>
      </c>
      <c r="V535" s="16">
        <f>IF(Games[[#This Row],[MOV]]&gt;0,1,IF(Games[[#This Row],[MOV]]=0,0.5,0))</f>
        <v>1</v>
      </c>
      <c r="W535" s="4">
        <f>((ABS(Games[[#This Row],[MOV]])+5)^0.6)/(12+0.01*(ABS(Games[[#This Row],[PreGmRate]]-Games[[#This Row],[OppPreGmRate]])))*IF(Games[[#This Row],[OT]]=1,0.9,1)</f>
        <v>0.58462612659275848</v>
      </c>
      <c r="X535" s="7" cm="1">
        <f t="array" ref="X5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5" s="9">
        <f>MAX(kmin, kmax - 0.15 * MIN(Games[[#This Row],[GamesPlayed]], 82))</f>
        <v>70.75</v>
      </c>
      <c r="Z535" s="4">
        <f>Games[[#This Row],[K]]*Games[[#This Row],[POMult]]</f>
        <v>84.899999999999991</v>
      </c>
      <c r="AA535" s="4">
        <f>(Games[[#This Row],[Keff]]*Games[[#This Row],[MOVMult]])*(Games[[#This Row],[Result]]-Games[[#This Row],[ExpectedWin%]])</f>
        <v>19.466286449809161</v>
      </c>
      <c r="AB535" s="4">
        <f>Games[[#This Row],[PreGmRate]]+Games[[#This Row],[RatingChange]]</f>
        <v>1785.0932535296056</v>
      </c>
      <c r="AC535" s="2">
        <f>IF(Games[[#This Row],[Type]]="R",IF(Games[[#This Row],[Result]]&gt;0.5,1,0),0)</f>
        <v>0</v>
      </c>
      <c r="AD535" s="2">
        <f>IF(Games[[#This Row],[Type]]="R",IF(Games[[#This Row],[Result]]&lt;0.5,1,0),0)</f>
        <v>0</v>
      </c>
      <c r="AE535" s="2">
        <f>IF(AND(Games[[#This Row],[Type]]="P",Games[[#This Row],[Round]]=1),IF(Games[[#This Row],[Result]]&gt;0.5,1,0),0)</f>
        <v>0</v>
      </c>
      <c r="AF535" s="2">
        <f>IF(AND(Games[[#This Row],[Type]]="P",Games[[#This Row],[Round]]=1),IF(Games[[#This Row],[Result]]&lt;0.5,1,0),0)</f>
        <v>0</v>
      </c>
      <c r="AG535" s="2">
        <f>IF(AND(Games[[#This Row],[Type]]="P",Games[[#This Row],[Round]]=2),IF(Games[[#This Row],[Result]]&gt;0.5,1,0),0)</f>
        <v>1</v>
      </c>
      <c r="AH535" s="2">
        <f>IF(AND(Games[[#This Row],[Type]]="P",Games[[#This Row],[Round]]=2),IF(Games[[#This Row],[Result]]&lt;0.5,1,0),0)</f>
        <v>0</v>
      </c>
      <c r="AI535" s="2">
        <f>IF(AND(Games[[#This Row],[Type]]="P",Games[[#This Row],[Round]]=3),IF(Games[[#This Row],[Result]]&gt;0.5,1,0),0)</f>
        <v>0</v>
      </c>
      <c r="AJ535" s="2">
        <f>IF(AND(Games[[#This Row],[Type]]="P",Games[[#This Row],[Round]]=3),IF(Games[[#This Row],[Result]]&lt;0.5,1,0),0)</f>
        <v>0</v>
      </c>
      <c r="AK535" s="2">
        <f>IF(AND(Games[[#This Row],[Type]]="P",Games[[#This Row],[Round]]=4),IF(Games[[#This Row],[Result]]&gt;0.5,1,0),0)</f>
        <v>0</v>
      </c>
      <c r="AL535" s="2">
        <f>IF(AND(Games[[#This Row],[Type]]="P",Games[[#This Row],[Round]]=4),IF(Games[[#This Row],[Result]]&lt;0.5,1,0),0)</f>
        <v>0</v>
      </c>
    </row>
    <row r="536" spans="1:38" x14ac:dyDescent="0.35">
      <c r="A536" s="10">
        <v>36758</v>
      </c>
      <c r="B536" s="2">
        <v>2000</v>
      </c>
      <c r="C536" s="2">
        <f>COUNTIFS(Games[Team],Games[[#This Row],[Team]],Games[Season],Games[[#This Row],[Season]],Games[Date],"&lt;=" &amp; Games[[#This Row],[Date]])</f>
        <v>36</v>
      </c>
      <c r="D536" s="2" t="s">
        <v>46</v>
      </c>
      <c r="E536" s="2">
        <v>2</v>
      </c>
      <c r="F536" s="1" t="s">
        <v>2</v>
      </c>
      <c r="G536" s="1" t="s">
        <v>71</v>
      </c>
      <c r="H536" s="1" t="s">
        <v>16</v>
      </c>
      <c r="I536" s="2" cm="1">
        <f t="array" ref="I5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6" s="2" cm="1">
        <f t="array" ref="J5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6" s="2">
        <f>Games[[#This Row],[DaysOff]]-Games[[#This Row],[OppDaysOff]]</f>
        <v>0</v>
      </c>
      <c r="L536" s="2">
        <f>Games[[#This Row],[OppDaysOff]]-Games[[#This Row],[DaysOff]]</f>
        <v>0</v>
      </c>
      <c r="M536" s="16">
        <f>MAX(-16, MIN(16, Games[[#This Row],[RestDiff]]*8))</f>
        <v>0</v>
      </c>
      <c r="N536" s="16">
        <f>MAX(-16, MIN(16, Games[[#This Row],[OppRestDiff]]*8))</f>
        <v>0</v>
      </c>
      <c r="O536" s="4" cm="1">
        <f t="array" ref="O5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1785.0932535296056</v>
      </c>
      <c r="P536" s="4" cm="1">
        <f t="array" ref="P5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1738.0526006144728</v>
      </c>
      <c r="Q536" s="4">
        <f>1/(1+10^(((Games[[#This Row],[OppPreGmRate]]+IF(Games[[#This Row],[HomeAway]]="A",HCA,0)+Games[[#This Row],[OppRestAdj]])-(Games[[#This Row],[PreGmRate]]+IF(Games[[#This Row],[HomeAway]]="H",HCA,0)+Games[[#This Row],[RestAdj]]))/400))</f>
        <v>0.44701095127858981</v>
      </c>
      <c r="R536" s="1">
        <v>74</v>
      </c>
      <c r="S536" s="1">
        <v>69</v>
      </c>
      <c r="T536" s="1">
        <v>0</v>
      </c>
      <c r="U536" s="16">
        <f>Games[[#This Row],[PointsFor]]-Games[[#This Row],[PointsAgainst]]</f>
        <v>5</v>
      </c>
      <c r="V536" s="16">
        <f>IF(Games[[#This Row],[MOV]]&gt;0,1,IF(Games[[#This Row],[MOV]]=0,0.5,0))</f>
        <v>1</v>
      </c>
      <c r="W536" s="4">
        <f>((ABS(Games[[#This Row],[MOV]])+5)^0.6)/(12+0.01*(ABS(Games[[#This Row],[PreGmRate]]-Games[[#This Row],[OppPreGmRate]])))*IF(Games[[#This Row],[OT]]=1,0.9,1)</f>
        <v>0.31924153364436503</v>
      </c>
      <c r="X536" s="7" cm="1">
        <f t="array" ref="X5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6" s="9">
        <f>MAX(kmin, kmax - 0.15 * MIN(Games[[#This Row],[GamesPlayed]], 82))</f>
        <v>70.599999999999994</v>
      </c>
      <c r="Z536" s="4">
        <f>Games[[#This Row],[K]]*Games[[#This Row],[POMult]]</f>
        <v>84.719999999999985</v>
      </c>
      <c r="AA536" s="4">
        <f>(Games[[#This Row],[Keff]]*Games[[#This Row],[MOVMult]])*(Games[[#This Row],[Result]]-Games[[#This Row],[ExpectedWin%]])</f>
        <v>14.956220740040061</v>
      </c>
      <c r="AB536" s="4">
        <f>Games[[#This Row],[PreGmRate]]+Games[[#This Row],[RatingChange]]</f>
        <v>1800.0494742696455</v>
      </c>
      <c r="AC536" s="2">
        <f>IF(Games[[#This Row],[Type]]="R",IF(Games[[#This Row],[Result]]&gt;0.5,1,0),0)</f>
        <v>0</v>
      </c>
      <c r="AD536" s="2">
        <f>IF(Games[[#This Row],[Type]]="R",IF(Games[[#This Row],[Result]]&lt;0.5,1,0),0)</f>
        <v>0</v>
      </c>
      <c r="AE536" s="2">
        <f>IF(AND(Games[[#This Row],[Type]]="P",Games[[#This Row],[Round]]=1),IF(Games[[#This Row],[Result]]&gt;0.5,1,0),0)</f>
        <v>0</v>
      </c>
      <c r="AF536" s="2">
        <f>IF(AND(Games[[#This Row],[Type]]="P",Games[[#This Row],[Round]]=1),IF(Games[[#This Row],[Result]]&lt;0.5,1,0),0)</f>
        <v>0</v>
      </c>
      <c r="AG536" s="2">
        <f>IF(AND(Games[[#This Row],[Type]]="P",Games[[#This Row],[Round]]=2),IF(Games[[#This Row],[Result]]&gt;0.5,1,0),0)</f>
        <v>1</v>
      </c>
      <c r="AH536" s="2">
        <f>IF(AND(Games[[#This Row],[Type]]="P",Games[[#This Row],[Round]]=2),IF(Games[[#This Row],[Result]]&lt;0.5,1,0),0)</f>
        <v>0</v>
      </c>
      <c r="AI536" s="2">
        <f>IF(AND(Games[[#This Row],[Type]]="P",Games[[#This Row],[Round]]=3),IF(Games[[#This Row],[Result]]&gt;0.5,1,0),0)</f>
        <v>0</v>
      </c>
      <c r="AJ536" s="2">
        <f>IF(AND(Games[[#This Row],[Type]]="P",Games[[#This Row],[Round]]=3),IF(Games[[#This Row],[Result]]&lt;0.5,1,0),0)</f>
        <v>0</v>
      </c>
      <c r="AK536" s="2">
        <f>IF(AND(Games[[#This Row],[Type]]="P",Games[[#This Row],[Round]]=4),IF(Games[[#This Row],[Result]]&gt;0.5,1,0),0)</f>
        <v>0</v>
      </c>
      <c r="AL536" s="2">
        <f>IF(AND(Games[[#This Row],[Type]]="P",Games[[#This Row],[Round]]=4),IF(Games[[#This Row],[Result]]&lt;0.5,1,0),0)</f>
        <v>0</v>
      </c>
    </row>
    <row r="537" spans="1:38" x14ac:dyDescent="0.35">
      <c r="A537" s="10">
        <v>36758</v>
      </c>
      <c r="B537" s="2">
        <v>2000</v>
      </c>
      <c r="C537" s="2">
        <f>COUNTIFS(Games[Team],Games[[#This Row],[Team]],Games[Season],Games[[#This Row],[Season]],Games[Date],"&lt;=" &amp; Games[[#This Row],[Date]])</f>
        <v>36</v>
      </c>
      <c r="D537" s="2" t="s">
        <v>46</v>
      </c>
      <c r="E537" s="2">
        <v>2</v>
      </c>
      <c r="F537" s="1" t="s">
        <v>71</v>
      </c>
      <c r="G537" s="1" t="s">
        <v>2</v>
      </c>
      <c r="H537" s="1" t="s">
        <v>15</v>
      </c>
      <c r="I537" s="2" cm="1">
        <f t="array" ref="I5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7" s="2" cm="1">
        <f t="array" ref="J5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7" s="2">
        <f>Games[[#This Row],[DaysOff]]-Games[[#This Row],[OppDaysOff]]</f>
        <v>0</v>
      </c>
      <c r="L537" s="2">
        <f>Games[[#This Row],[OppDaysOff]]-Games[[#This Row],[DaysOff]]</f>
        <v>0</v>
      </c>
      <c r="M537" s="16">
        <f>MAX(-16, MIN(16, Games[[#This Row],[RestDiff]]*8))</f>
        <v>0</v>
      </c>
      <c r="N537" s="16">
        <f>MAX(-16, MIN(16, Games[[#This Row],[OppRestDiff]]*8))</f>
        <v>0</v>
      </c>
      <c r="O537" s="4" cm="1">
        <f t="array" ref="O5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1738.0526006144728</v>
      </c>
      <c r="P537" s="4" cm="1">
        <f t="array" ref="P5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1785.0932535296056</v>
      </c>
      <c r="Q537" s="4">
        <f>1/(1+10^(((Games[[#This Row],[OppPreGmRate]]+IF(Games[[#This Row],[HomeAway]]="A",HCA,0)+Games[[#This Row],[OppRestAdj]])-(Games[[#This Row],[PreGmRate]]+IF(Games[[#This Row],[HomeAway]]="H",HCA,0)+Games[[#This Row],[RestAdj]]))/400))</f>
        <v>0.55298904872141008</v>
      </c>
      <c r="R537" s="1">
        <v>69</v>
      </c>
      <c r="S537" s="1">
        <v>74</v>
      </c>
      <c r="T537" s="1">
        <v>0</v>
      </c>
      <c r="U537" s="16">
        <f>Games[[#This Row],[PointsFor]]-Games[[#This Row],[PointsAgainst]]</f>
        <v>-5</v>
      </c>
      <c r="V537" s="16">
        <f>IF(Games[[#This Row],[MOV]]&gt;0,1,IF(Games[[#This Row],[MOV]]=0,0.5,0))</f>
        <v>0</v>
      </c>
      <c r="W537" s="4">
        <f>((ABS(Games[[#This Row],[MOV]])+5)^0.6)/(12+0.01*(ABS(Games[[#This Row],[PreGmRate]]-Games[[#This Row],[OppPreGmRate]])))*IF(Games[[#This Row],[OT]]=1,0.9,1)</f>
        <v>0.31924153364436503</v>
      </c>
      <c r="X537" s="7" cm="1">
        <f t="array" ref="X5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7" s="9">
        <f>MAX(kmin, kmax - 0.15 * MIN(Games[[#This Row],[GamesPlayed]], 82))</f>
        <v>70.599999999999994</v>
      </c>
      <c r="Z537" s="4">
        <f>Games[[#This Row],[K]]*Games[[#This Row],[POMult]]</f>
        <v>84.719999999999985</v>
      </c>
      <c r="AA537" s="4">
        <f>(Games[[#This Row],[Keff]]*Games[[#This Row],[MOVMult]])*(Games[[#This Row],[Result]]-Games[[#This Row],[ExpectedWin%]])</f>
        <v>-14.956220740040058</v>
      </c>
      <c r="AB537" s="4">
        <f>Games[[#This Row],[PreGmRate]]+Games[[#This Row],[RatingChange]]</f>
        <v>1723.0963798744328</v>
      </c>
      <c r="AC537" s="2">
        <f>IF(Games[[#This Row],[Type]]="R",IF(Games[[#This Row],[Result]]&gt;0.5,1,0),0)</f>
        <v>0</v>
      </c>
      <c r="AD537" s="2">
        <f>IF(Games[[#This Row],[Type]]="R",IF(Games[[#This Row],[Result]]&lt;0.5,1,0),0)</f>
        <v>0</v>
      </c>
      <c r="AE537" s="2">
        <f>IF(AND(Games[[#This Row],[Type]]="P",Games[[#This Row],[Round]]=1),IF(Games[[#This Row],[Result]]&gt;0.5,1,0),0)</f>
        <v>0</v>
      </c>
      <c r="AF537" s="2">
        <f>IF(AND(Games[[#This Row],[Type]]="P",Games[[#This Row],[Round]]=1),IF(Games[[#This Row],[Result]]&lt;0.5,1,0),0)</f>
        <v>0</v>
      </c>
      <c r="AG537" s="2">
        <f>IF(AND(Games[[#This Row],[Type]]="P",Games[[#This Row],[Round]]=2),IF(Games[[#This Row],[Result]]&gt;0.5,1,0),0)</f>
        <v>0</v>
      </c>
      <c r="AH537" s="2">
        <f>IF(AND(Games[[#This Row],[Type]]="P",Games[[#This Row],[Round]]=2),IF(Games[[#This Row],[Result]]&lt;0.5,1,0),0)</f>
        <v>1</v>
      </c>
      <c r="AI537" s="2">
        <f>IF(AND(Games[[#This Row],[Type]]="P",Games[[#This Row],[Round]]=3),IF(Games[[#This Row],[Result]]&gt;0.5,1,0),0)</f>
        <v>0</v>
      </c>
      <c r="AJ537" s="2">
        <f>IF(AND(Games[[#This Row],[Type]]="P",Games[[#This Row],[Round]]=3),IF(Games[[#This Row],[Result]]&lt;0.5,1,0),0)</f>
        <v>0</v>
      </c>
      <c r="AK537" s="2">
        <f>IF(AND(Games[[#This Row],[Type]]="P",Games[[#This Row],[Round]]=4),IF(Games[[#This Row],[Result]]&gt;0.5,1,0),0)</f>
        <v>0</v>
      </c>
      <c r="AL537" s="2">
        <f>IF(AND(Games[[#This Row],[Type]]="P",Games[[#This Row],[Round]]=4),IF(Games[[#This Row],[Result]]&lt;0.5,1,0),0)</f>
        <v>0</v>
      </c>
    </row>
    <row r="538" spans="1:38" x14ac:dyDescent="0.35">
      <c r="A538" s="10">
        <v>36758</v>
      </c>
      <c r="B538" s="2">
        <v>2000</v>
      </c>
      <c r="C538" s="2">
        <f>COUNTIFS(Games[Team],Games[[#This Row],[Team]],Games[Season],Games[[#This Row],[Season]],Games[Date],"&lt;=" &amp; Games[[#This Row],[Date]])</f>
        <v>37</v>
      </c>
      <c r="D538" s="2" t="s">
        <v>46</v>
      </c>
      <c r="E538" s="2">
        <v>2</v>
      </c>
      <c r="F538" s="1" t="s">
        <v>1</v>
      </c>
      <c r="G538" s="1" t="s">
        <v>66</v>
      </c>
      <c r="H538" s="1" t="s">
        <v>16</v>
      </c>
      <c r="I538" s="2" cm="1">
        <f t="array" ref="I5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8" s="2" cm="1">
        <f t="array" ref="J5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8" s="2">
        <f>Games[[#This Row],[DaysOff]]-Games[[#This Row],[OppDaysOff]]</f>
        <v>0</v>
      </c>
      <c r="L538" s="2">
        <f>Games[[#This Row],[OppDaysOff]]-Games[[#This Row],[DaysOff]]</f>
        <v>0</v>
      </c>
      <c r="M538" s="16">
        <f>MAX(-16, MIN(16, Games[[#This Row],[RestDiff]]*8))</f>
        <v>0</v>
      </c>
      <c r="N538" s="16">
        <f>MAX(-16, MIN(16, Games[[#This Row],[OppRestDiff]]*8))</f>
        <v>0</v>
      </c>
      <c r="O538" s="4" cm="1">
        <f t="array" ref="O5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1525.813485227364</v>
      </c>
      <c r="P538" s="4" cm="1">
        <f t="array" ref="P5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1583.6261683618191</v>
      </c>
      <c r="Q538" s="4">
        <f>1/(1+10^(((Games[[#This Row],[OppPreGmRate]]+IF(Games[[#This Row],[HomeAway]]="A",HCA,0)+Games[[#This Row],[OppRestAdj]])-(Games[[#This Row],[PreGmRate]]+IF(Games[[#This Row],[HomeAway]]="H",HCA,0)+Games[[#This Row],[RestAdj]]))/400))</f>
        <v>0.30654125027653722</v>
      </c>
      <c r="R538" s="1">
        <v>45</v>
      </c>
      <c r="S538" s="1">
        <v>51</v>
      </c>
      <c r="T538" s="1">
        <v>0</v>
      </c>
      <c r="U538" s="16">
        <f>Games[[#This Row],[PointsFor]]-Games[[#This Row],[PointsAgainst]]</f>
        <v>-6</v>
      </c>
      <c r="V538" s="16">
        <f>IF(Games[[#This Row],[MOV]]&gt;0,1,IF(Games[[#This Row],[MOV]]=0,0.5,0))</f>
        <v>0</v>
      </c>
      <c r="W538" s="4">
        <f>((ABS(Games[[#This Row],[MOV]])+5)^0.6)/(12+0.01*(ABS(Games[[#This Row],[PreGmRate]]-Games[[#This Row],[OppPreGmRate]])))*IF(Games[[#This Row],[OT]]=1,0.9,1)</f>
        <v>0.33513488849446549</v>
      </c>
      <c r="X538" s="7" cm="1">
        <f t="array" ref="X5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8" s="9">
        <f>MAX(kmin, kmax - 0.15 * MIN(Games[[#This Row],[GamesPlayed]], 82))</f>
        <v>70.45</v>
      </c>
      <c r="Z538" s="4">
        <f>Games[[#This Row],[K]]*Games[[#This Row],[POMult]]</f>
        <v>84.54</v>
      </c>
      <c r="AA538" s="4">
        <f>(Games[[#This Row],[Keff]]*Games[[#This Row],[MOVMult]])*(Games[[#This Row],[Result]]-Games[[#This Row],[ExpectedWin%]])</f>
        <v>-8.6850197299264398</v>
      </c>
      <c r="AB538" s="4">
        <f>Games[[#This Row],[PreGmRate]]+Games[[#This Row],[RatingChange]]</f>
        <v>1517.1284654974377</v>
      </c>
      <c r="AC538" s="2">
        <f>IF(Games[[#This Row],[Type]]="R",IF(Games[[#This Row],[Result]]&gt;0.5,1,0),0)</f>
        <v>0</v>
      </c>
      <c r="AD538" s="2">
        <f>IF(Games[[#This Row],[Type]]="R",IF(Games[[#This Row],[Result]]&lt;0.5,1,0),0)</f>
        <v>0</v>
      </c>
      <c r="AE538" s="2">
        <f>IF(AND(Games[[#This Row],[Type]]="P",Games[[#This Row],[Round]]=1),IF(Games[[#This Row],[Result]]&gt;0.5,1,0),0)</f>
        <v>0</v>
      </c>
      <c r="AF538" s="2">
        <f>IF(AND(Games[[#This Row],[Type]]="P",Games[[#This Row],[Round]]=1),IF(Games[[#This Row],[Result]]&lt;0.5,1,0),0)</f>
        <v>0</v>
      </c>
      <c r="AG538" s="2">
        <f>IF(AND(Games[[#This Row],[Type]]="P",Games[[#This Row],[Round]]=2),IF(Games[[#This Row],[Result]]&gt;0.5,1,0),0)</f>
        <v>0</v>
      </c>
      <c r="AH538" s="2">
        <f>IF(AND(Games[[#This Row],[Type]]="P",Games[[#This Row],[Round]]=2),IF(Games[[#This Row],[Result]]&lt;0.5,1,0),0)</f>
        <v>1</v>
      </c>
      <c r="AI538" s="2">
        <f>IF(AND(Games[[#This Row],[Type]]="P",Games[[#This Row],[Round]]=3),IF(Games[[#This Row],[Result]]&gt;0.5,1,0),0)</f>
        <v>0</v>
      </c>
      <c r="AJ538" s="2">
        <f>IF(AND(Games[[#This Row],[Type]]="P",Games[[#This Row],[Round]]=3),IF(Games[[#This Row],[Result]]&lt;0.5,1,0),0)</f>
        <v>0</v>
      </c>
      <c r="AK538" s="2">
        <f>IF(AND(Games[[#This Row],[Type]]="P",Games[[#This Row],[Round]]=4),IF(Games[[#This Row],[Result]]&gt;0.5,1,0),0)</f>
        <v>0</v>
      </c>
      <c r="AL538" s="2">
        <f>IF(AND(Games[[#This Row],[Type]]="P",Games[[#This Row],[Round]]=4),IF(Games[[#This Row],[Result]]&lt;0.5,1,0),0)</f>
        <v>0</v>
      </c>
    </row>
    <row r="539" spans="1:38" x14ac:dyDescent="0.35">
      <c r="A539" s="10">
        <v>36758</v>
      </c>
      <c r="B539" s="2">
        <v>2000</v>
      </c>
      <c r="C539" s="2">
        <f>COUNTIFS(Games[Team],Games[[#This Row],[Team]],Games[Season],Games[[#This Row],[Season]],Games[Date],"&lt;=" &amp; Games[[#This Row],[Date]])</f>
        <v>36</v>
      </c>
      <c r="D539" s="2" t="s">
        <v>46</v>
      </c>
      <c r="E539" s="2">
        <v>2</v>
      </c>
      <c r="F539" s="1" t="s">
        <v>66</v>
      </c>
      <c r="G539" s="1" t="s">
        <v>1</v>
      </c>
      <c r="H539" s="1" t="s">
        <v>15</v>
      </c>
      <c r="I539" s="2" cm="1">
        <f t="array" ref="I5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9" s="2" cm="1">
        <f t="array" ref="J5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9" s="2">
        <f>Games[[#This Row],[DaysOff]]-Games[[#This Row],[OppDaysOff]]</f>
        <v>0</v>
      </c>
      <c r="L539" s="2">
        <f>Games[[#This Row],[OppDaysOff]]-Games[[#This Row],[DaysOff]]</f>
        <v>0</v>
      </c>
      <c r="M539" s="16">
        <f>MAX(-16, MIN(16, Games[[#This Row],[RestDiff]]*8))</f>
        <v>0</v>
      </c>
      <c r="N539" s="16">
        <f>MAX(-16, MIN(16, Games[[#This Row],[OppRestDiff]]*8))</f>
        <v>0</v>
      </c>
      <c r="O539" s="4" cm="1">
        <f t="array" ref="O5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1583.6261683618191</v>
      </c>
      <c r="P539" s="4" cm="1">
        <f t="array" ref="P5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1525.813485227364</v>
      </c>
      <c r="Q539" s="4">
        <f>1/(1+10^(((Games[[#This Row],[OppPreGmRate]]+IF(Games[[#This Row],[HomeAway]]="A",HCA,0)+Games[[#This Row],[OppRestAdj]])-(Games[[#This Row],[PreGmRate]]+IF(Games[[#This Row],[HomeAway]]="H",HCA,0)+Games[[#This Row],[RestAdj]]))/400))</f>
        <v>0.69345874972346278</v>
      </c>
      <c r="R539" s="1">
        <v>51</v>
      </c>
      <c r="S539" s="1">
        <v>45</v>
      </c>
      <c r="T539" s="1">
        <v>0</v>
      </c>
      <c r="U539" s="16">
        <f>Games[[#This Row],[PointsFor]]-Games[[#This Row],[PointsAgainst]]</f>
        <v>6</v>
      </c>
      <c r="V539" s="16">
        <f>IF(Games[[#This Row],[MOV]]&gt;0,1,IF(Games[[#This Row],[MOV]]=0,0.5,0))</f>
        <v>1</v>
      </c>
      <c r="W539" s="4">
        <f>((ABS(Games[[#This Row],[MOV]])+5)^0.6)/(12+0.01*(ABS(Games[[#This Row],[PreGmRate]]-Games[[#This Row],[OppPreGmRate]])))*IF(Games[[#This Row],[OT]]=1,0.9,1)</f>
        <v>0.33513488849446549</v>
      </c>
      <c r="X539" s="7" cm="1">
        <f t="array" ref="X5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9" s="9">
        <f>MAX(kmin, kmax - 0.15 * MIN(Games[[#This Row],[GamesPlayed]], 82))</f>
        <v>70.599999999999994</v>
      </c>
      <c r="Z539" s="4">
        <f>Games[[#This Row],[K]]*Games[[#This Row],[POMult]]</f>
        <v>84.719999999999985</v>
      </c>
      <c r="AA539" s="4">
        <f>(Games[[#This Row],[Keff]]*Games[[#This Row],[MOVMult]])*(Games[[#This Row],[Result]]-Games[[#This Row],[ExpectedWin%]])</f>
        <v>8.7035116101179053</v>
      </c>
      <c r="AB539" s="4">
        <f>Games[[#This Row],[PreGmRate]]+Games[[#This Row],[RatingChange]]</f>
        <v>1592.3296799719369</v>
      </c>
      <c r="AC539" s="2">
        <f>IF(Games[[#This Row],[Type]]="R",IF(Games[[#This Row],[Result]]&gt;0.5,1,0),0)</f>
        <v>0</v>
      </c>
      <c r="AD539" s="2">
        <f>IF(Games[[#This Row],[Type]]="R",IF(Games[[#This Row],[Result]]&lt;0.5,1,0),0)</f>
        <v>0</v>
      </c>
      <c r="AE539" s="2">
        <f>IF(AND(Games[[#This Row],[Type]]="P",Games[[#This Row],[Round]]=1),IF(Games[[#This Row],[Result]]&gt;0.5,1,0),0)</f>
        <v>0</v>
      </c>
      <c r="AF539" s="2">
        <f>IF(AND(Games[[#This Row],[Type]]="P",Games[[#This Row],[Round]]=1),IF(Games[[#This Row],[Result]]&lt;0.5,1,0),0)</f>
        <v>0</v>
      </c>
      <c r="AG539" s="2">
        <f>IF(AND(Games[[#This Row],[Type]]="P",Games[[#This Row],[Round]]=2),IF(Games[[#This Row],[Result]]&gt;0.5,1,0),0)</f>
        <v>1</v>
      </c>
      <c r="AH539" s="2">
        <f>IF(AND(Games[[#This Row],[Type]]="P",Games[[#This Row],[Round]]=2),IF(Games[[#This Row],[Result]]&lt;0.5,1,0),0)</f>
        <v>0</v>
      </c>
      <c r="AI539" s="2">
        <f>IF(AND(Games[[#This Row],[Type]]="P",Games[[#This Row],[Round]]=3),IF(Games[[#This Row],[Result]]&gt;0.5,1,0),0)</f>
        <v>0</v>
      </c>
      <c r="AJ539" s="2">
        <f>IF(AND(Games[[#This Row],[Type]]="P",Games[[#This Row],[Round]]=3),IF(Games[[#This Row],[Result]]&lt;0.5,1,0),0)</f>
        <v>0</v>
      </c>
      <c r="AK539" s="2">
        <f>IF(AND(Games[[#This Row],[Type]]="P",Games[[#This Row],[Round]]=4),IF(Games[[#This Row],[Result]]&gt;0.5,1,0),0)</f>
        <v>0</v>
      </c>
      <c r="AL539" s="2">
        <f>IF(AND(Games[[#This Row],[Type]]="P",Games[[#This Row],[Round]]=4),IF(Games[[#This Row],[Result]]&lt;0.5,1,0),0)</f>
        <v>0</v>
      </c>
    </row>
    <row r="540" spans="1:38" x14ac:dyDescent="0.35">
      <c r="A540" s="10">
        <v>36759</v>
      </c>
      <c r="B540" s="2">
        <v>2000</v>
      </c>
      <c r="C540" s="2">
        <f>COUNTIFS(Games[Team],Games[[#This Row],[Team]],Games[Season],Games[[#This Row],[Season]],Games[Date],"&lt;=" &amp; Games[[#This Row],[Date]])</f>
        <v>38</v>
      </c>
      <c r="D540" s="2" t="s">
        <v>46</v>
      </c>
      <c r="E540" s="2">
        <v>2</v>
      </c>
      <c r="F540" s="1" t="s">
        <v>1</v>
      </c>
      <c r="G540" s="1" t="s">
        <v>66</v>
      </c>
      <c r="H540" s="1" t="s">
        <v>16</v>
      </c>
      <c r="I540" s="2" cm="1">
        <f t="array" ref="I5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0" s="2" cm="1">
        <f t="array" ref="J5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0" s="2">
        <f>Games[[#This Row],[DaysOff]]-Games[[#This Row],[OppDaysOff]]</f>
        <v>0</v>
      </c>
      <c r="L540" s="2">
        <f>Games[[#This Row],[OppDaysOff]]-Games[[#This Row],[DaysOff]]</f>
        <v>0</v>
      </c>
      <c r="M540" s="16">
        <f>MAX(-16, MIN(16, Games[[#This Row],[RestDiff]]*8))</f>
        <v>0</v>
      </c>
      <c r="N540" s="16">
        <f>MAX(-16, MIN(16, Games[[#This Row],[OppRestDiff]]*8))</f>
        <v>0</v>
      </c>
      <c r="O540" s="4" cm="1">
        <f t="array" ref="O5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1517.1284654974377</v>
      </c>
      <c r="P540" s="4" cm="1">
        <f t="array" ref="P5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1592.3296799719369</v>
      </c>
      <c r="Q540" s="4">
        <f>1/(1+10^(((Games[[#This Row],[OppPreGmRate]]+IF(Games[[#This Row],[HomeAway]]="A",HCA,0)+Games[[#This Row],[OppRestAdj]])-(Games[[#This Row],[PreGmRate]]+IF(Games[[#This Row],[HomeAway]]="H",HCA,0)+Games[[#This Row],[RestAdj]]))/400))</f>
        <v>0.28568466904054057</v>
      </c>
      <c r="R540" s="1">
        <v>67</v>
      </c>
      <c r="S540" s="1">
        <v>81</v>
      </c>
      <c r="T540" s="1">
        <v>0</v>
      </c>
      <c r="U540" s="16">
        <f>Games[[#This Row],[PointsFor]]-Games[[#This Row],[PointsAgainst]]</f>
        <v>-14</v>
      </c>
      <c r="V540" s="16">
        <f>IF(Games[[#This Row],[MOV]]&gt;0,1,IF(Games[[#This Row],[MOV]]=0,0.5,0))</f>
        <v>0</v>
      </c>
      <c r="W540" s="4">
        <f>((ABS(Games[[#This Row],[MOV]])+5)^0.6)/(12+0.01*(ABS(Games[[#This Row],[PreGmRate]]-Games[[#This Row],[OppPreGmRate]])))*IF(Games[[#This Row],[OT]]=1,0.9,1)</f>
        <v>0.45885285992457986</v>
      </c>
      <c r="X540" s="7" cm="1">
        <f t="array" ref="X5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0" s="9">
        <f>MAX(kmin, kmax - 0.15 * MIN(Games[[#This Row],[GamesPlayed]], 82))</f>
        <v>70.3</v>
      </c>
      <c r="Z540" s="4">
        <f>Games[[#This Row],[K]]*Games[[#This Row],[POMult]]</f>
        <v>84.36</v>
      </c>
      <c r="AA540" s="4">
        <f>(Games[[#This Row],[Keff]]*Games[[#This Row],[MOVMult]])*(Games[[#This Row],[Result]]-Games[[#This Row],[ExpectedWin%]])</f>
        <v>-11.058518505645475</v>
      </c>
      <c r="AB540" s="4">
        <f>Games[[#This Row],[PreGmRate]]+Games[[#This Row],[RatingChange]]</f>
        <v>1506.0699469917922</v>
      </c>
      <c r="AC540" s="2">
        <f>IF(Games[[#This Row],[Type]]="R",IF(Games[[#This Row],[Result]]&gt;0.5,1,0),0)</f>
        <v>0</v>
      </c>
      <c r="AD540" s="2">
        <f>IF(Games[[#This Row],[Type]]="R",IF(Games[[#This Row],[Result]]&lt;0.5,1,0),0)</f>
        <v>0</v>
      </c>
      <c r="AE540" s="2">
        <f>IF(AND(Games[[#This Row],[Type]]="P",Games[[#This Row],[Round]]=1),IF(Games[[#This Row],[Result]]&gt;0.5,1,0),0)</f>
        <v>0</v>
      </c>
      <c r="AF540" s="2">
        <f>IF(AND(Games[[#This Row],[Type]]="P",Games[[#This Row],[Round]]=1),IF(Games[[#This Row],[Result]]&lt;0.5,1,0),0)</f>
        <v>0</v>
      </c>
      <c r="AG540" s="2">
        <f>IF(AND(Games[[#This Row],[Type]]="P",Games[[#This Row],[Round]]=2),IF(Games[[#This Row],[Result]]&gt;0.5,1,0),0)</f>
        <v>0</v>
      </c>
      <c r="AH540" s="2">
        <f>IF(AND(Games[[#This Row],[Type]]="P",Games[[#This Row],[Round]]=2),IF(Games[[#This Row],[Result]]&lt;0.5,1,0),0)</f>
        <v>1</v>
      </c>
      <c r="AI540" s="2">
        <f>IF(AND(Games[[#This Row],[Type]]="P",Games[[#This Row],[Round]]=3),IF(Games[[#This Row],[Result]]&gt;0.5,1,0),0)</f>
        <v>0</v>
      </c>
      <c r="AJ540" s="2">
        <f>IF(AND(Games[[#This Row],[Type]]="P",Games[[#This Row],[Round]]=3),IF(Games[[#This Row],[Result]]&lt;0.5,1,0),0)</f>
        <v>0</v>
      </c>
      <c r="AK540" s="2">
        <f>IF(AND(Games[[#This Row],[Type]]="P",Games[[#This Row],[Round]]=4),IF(Games[[#This Row],[Result]]&gt;0.5,1,0),0)</f>
        <v>0</v>
      </c>
      <c r="AL540" s="2">
        <f>IF(AND(Games[[#This Row],[Type]]="P",Games[[#This Row],[Round]]=4),IF(Games[[#This Row],[Result]]&lt;0.5,1,0),0)</f>
        <v>0</v>
      </c>
    </row>
    <row r="541" spans="1:38" x14ac:dyDescent="0.35">
      <c r="A541" s="10">
        <v>36759</v>
      </c>
      <c r="B541" s="2">
        <v>2000</v>
      </c>
      <c r="C541" s="2">
        <f>COUNTIFS(Games[Team],Games[[#This Row],[Team]],Games[Season],Games[[#This Row],[Season]],Games[Date],"&lt;=" &amp; Games[[#This Row],[Date]])</f>
        <v>37</v>
      </c>
      <c r="D541" s="2" t="s">
        <v>46</v>
      </c>
      <c r="E541" s="2">
        <v>2</v>
      </c>
      <c r="F541" s="1" t="s">
        <v>66</v>
      </c>
      <c r="G541" s="1" t="s">
        <v>1</v>
      </c>
      <c r="H541" s="1" t="s">
        <v>15</v>
      </c>
      <c r="I541" s="2" cm="1">
        <f t="array" ref="I5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1" s="2" cm="1">
        <f t="array" ref="J5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1" s="2">
        <f>Games[[#This Row],[DaysOff]]-Games[[#This Row],[OppDaysOff]]</f>
        <v>0</v>
      </c>
      <c r="L541" s="2">
        <f>Games[[#This Row],[OppDaysOff]]-Games[[#This Row],[DaysOff]]</f>
        <v>0</v>
      </c>
      <c r="M541" s="16">
        <f>MAX(-16, MIN(16, Games[[#This Row],[RestDiff]]*8))</f>
        <v>0</v>
      </c>
      <c r="N541" s="16">
        <f>MAX(-16, MIN(16, Games[[#This Row],[OppRestDiff]]*8))</f>
        <v>0</v>
      </c>
      <c r="O541" s="4" cm="1">
        <f t="array" ref="O5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1592.3296799719369</v>
      </c>
      <c r="P541" s="4" cm="1">
        <f t="array" ref="P5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1517.1284654974377</v>
      </c>
      <c r="Q541" s="4">
        <f>1/(1+10^(((Games[[#This Row],[OppPreGmRate]]+IF(Games[[#This Row],[HomeAway]]="A",HCA,0)+Games[[#This Row],[OppRestAdj]])-(Games[[#This Row],[PreGmRate]]+IF(Games[[#This Row],[HomeAway]]="H",HCA,0)+Games[[#This Row],[RestAdj]]))/400))</f>
        <v>0.71431533095945943</v>
      </c>
      <c r="R541" s="1">
        <v>81</v>
      </c>
      <c r="S541" s="1">
        <v>67</v>
      </c>
      <c r="T541" s="1">
        <v>0</v>
      </c>
      <c r="U541" s="16">
        <f>Games[[#This Row],[PointsFor]]-Games[[#This Row],[PointsAgainst]]</f>
        <v>14</v>
      </c>
      <c r="V541" s="16">
        <f>IF(Games[[#This Row],[MOV]]&gt;0,1,IF(Games[[#This Row],[MOV]]=0,0.5,0))</f>
        <v>1</v>
      </c>
      <c r="W541" s="4">
        <f>((ABS(Games[[#This Row],[MOV]])+5)^0.6)/(12+0.01*(ABS(Games[[#This Row],[PreGmRate]]-Games[[#This Row],[OppPreGmRate]])))*IF(Games[[#This Row],[OT]]=1,0.9,1)</f>
        <v>0.45885285992457986</v>
      </c>
      <c r="X541" s="7" cm="1">
        <f t="array" ref="X5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1" s="9">
        <f>MAX(kmin, kmax - 0.15 * MIN(Games[[#This Row],[GamesPlayed]], 82))</f>
        <v>70.45</v>
      </c>
      <c r="Z541" s="4">
        <f>Games[[#This Row],[K]]*Games[[#This Row],[POMult]]</f>
        <v>84.54</v>
      </c>
      <c r="AA541" s="4">
        <f>(Games[[#This Row],[Keff]]*Games[[#This Row],[MOVMult]])*(Games[[#This Row],[Result]]-Games[[#This Row],[ExpectedWin%]])</f>
        <v>11.08211420658213</v>
      </c>
      <c r="AB541" s="4">
        <f>Games[[#This Row],[PreGmRate]]+Games[[#This Row],[RatingChange]]</f>
        <v>1603.4117941785191</v>
      </c>
      <c r="AC541" s="2">
        <f>IF(Games[[#This Row],[Type]]="R",IF(Games[[#This Row],[Result]]&gt;0.5,1,0),0)</f>
        <v>0</v>
      </c>
      <c r="AD541" s="2">
        <f>IF(Games[[#This Row],[Type]]="R",IF(Games[[#This Row],[Result]]&lt;0.5,1,0),0)</f>
        <v>0</v>
      </c>
      <c r="AE541" s="2">
        <f>IF(AND(Games[[#This Row],[Type]]="P",Games[[#This Row],[Round]]=1),IF(Games[[#This Row],[Result]]&gt;0.5,1,0),0)</f>
        <v>0</v>
      </c>
      <c r="AF541" s="2">
        <f>IF(AND(Games[[#This Row],[Type]]="P",Games[[#This Row],[Round]]=1),IF(Games[[#This Row],[Result]]&lt;0.5,1,0),0)</f>
        <v>0</v>
      </c>
      <c r="AG541" s="2">
        <f>IF(AND(Games[[#This Row],[Type]]="P",Games[[#This Row],[Round]]=2),IF(Games[[#This Row],[Result]]&gt;0.5,1,0),0)</f>
        <v>1</v>
      </c>
      <c r="AH541" s="2">
        <f>IF(AND(Games[[#This Row],[Type]]="P",Games[[#This Row],[Round]]=2),IF(Games[[#This Row],[Result]]&lt;0.5,1,0),0)</f>
        <v>0</v>
      </c>
      <c r="AI541" s="2">
        <f>IF(AND(Games[[#This Row],[Type]]="P",Games[[#This Row],[Round]]=3),IF(Games[[#This Row],[Result]]&gt;0.5,1,0),0)</f>
        <v>0</v>
      </c>
      <c r="AJ541" s="2">
        <f>IF(AND(Games[[#This Row],[Type]]="P",Games[[#This Row],[Round]]=3),IF(Games[[#This Row],[Result]]&lt;0.5,1,0),0)</f>
        <v>0</v>
      </c>
      <c r="AK541" s="2">
        <f>IF(AND(Games[[#This Row],[Type]]="P",Games[[#This Row],[Round]]=4),IF(Games[[#This Row],[Result]]&gt;0.5,1,0),0)</f>
        <v>0</v>
      </c>
      <c r="AL541" s="2">
        <f>IF(AND(Games[[#This Row],[Type]]="P",Games[[#This Row],[Round]]=4),IF(Games[[#This Row],[Result]]&lt;0.5,1,0),0)</f>
        <v>0</v>
      </c>
    </row>
    <row r="542" spans="1:38" x14ac:dyDescent="0.35">
      <c r="A542" s="10">
        <v>36762</v>
      </c>
      <c r="B542" s="2">
        <v>2000</v>
      </c>
      <c r="C542" s="2">
        <f>COUNTIFS(Games[Team],Games[[#This Row],[Team]],Games[Season],Games[[#This Row],[Season]],Games[Date],"&lt;=" &amp; Games[[#This Row],[Date]])</f>
        <v>37</v>
      </c>
      <c r="D542" s="2" t="s">
        <v>46</v>
      </c>
      <c r="E542" s="2">
        <v>3</v>
      </c>
      <c r="F542" s="1" t="s">
        <v>2</v>
      </c>
      <c r="G542" s="1" t="s">
        <v>66</v>
      </c>
      <c r="H542" s="1" t="s">
        <v>16</v>
      </c>
      <c r="I542" s="2" cm="1">
        <f t="array" ref="I5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542" s="2" cm="1">
        <f t="array" ref="J5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2" s="2">
        <f>Games[[#This Row],[DaysOff]]-Games[[#This Row],[OppDaysOff]]</f>
        <v>1</v>
      </c>
      <c r="L542" s="2">
        <f>Games[[#This Row],[OppDaysOff]]-Games[[#This Row],[DaysOff]]</f>
        <v>-1</v>
      </c>
      <c r="M542" s="16">
        <f>MAX(-16, MIN(16, Games[[#This Row],[RestDiff]]*8))</f>
        <v>8</v>
      </c>
      <c r="N542" s="16">
        <f>MAX(-16, MIN(16, Games[[#This Row],[OppRestDiff]]*8))</f>
        <v>-8</v>
      </c>
      <c r="O542" s="4" cm="1">
        <f t="array" ref="O5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1800.0494742696455</v>
      </c>
      <c r="P542" s="4" cm="1">
        <f t="array" ref="P5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1603.4117941785191</v>
      </c>
      <c r="Q542" s="4">
        <f>1/(1+10^(((Games[[#This Row],[OppPreGmRate]]+IF(Games[[#This Row],[HomeAway]]="A",HCA,0)+Games[[#This Row],[OppRestAdj]])-(Games[[#This Row],[PreGmRate]]+IF(Games[[#This Row],[HomeAway]]="H",HCA,0)+Games[[#This Row],[RestAdj]]))/400))</f>
        <v>0.67710474802756093</v>
      </c>
      <c r="R542" s="1">
        <v>59</v>
      </c>
      <c r="S542" s="1">
        <v>52</v>
      </c>
      <c r="T542" s="1">
        <v>0</v>
      </c>
      <c r="U542" s="16">
        <f>Games[[#This Row],[PointsFor]]-Games[[#This Row],[PointsAgainst]]</f>
        <v>7</v>
      </c>
      <c r="V542" s="16">
        <f>IF(Games[[#This Row],[MOV]]&gt;0,1,IF(Games[[#This Row],[MOV]]=0,0.5,0))</f>
        <v>1</v>
      </c>
      <c r="W542" s="4">
        <f>((ABS(Games[[#This Row],[MOV]])+5)^0.6)/(12+0.01*(ABS(Games[[#This Row],[PreGmRate]]-Games[[#This Row],[OppPreGmRate]])))*IF(Games[[#This Row],[OT]]=1,0.9,1)</f>
        <v>0.31799844248481535</v>
      </c>
      <c r="X542" s="7" cm="1">
        <f t="array" ref="X5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2" s="9">
        <f>MAX(kmin, kmax - 0.15 * MIN(Games[[#This Row],[GamesPlayed]], 82))</f>
        <v>70.45</v>
      </c>
      <c r="Z542" s="4">
        <f>Games[[#This Row],[K]]*Games[[#This Row],[POMult]]</f>
        <v>95.107500000000016</v>
      </c>
      <c r="AA542" s="4">
        <f>(Games[[#This Row],[Keff]]*Games[[#This Row],[MOVMult]])*(Games[[#This Row],[Result]]-Games[[#This Row],[ExpectedWin%]])</f>
        <v>9.7656559053582708</v>
      </c>
      <c r="AB542" s="4">
        <f>Games[[#This Row],[PreGmRate]]+Games[[#This Row],[RatingChange]]</f>
        <v>1809.8151301750038</v>
      </c>
      <c r="AC542" s="2">
        <f>IF(Games[[#This Row],[Type]]="R",IF(Games[[#This Row],[Result]]&gt;0.5,1,0),0)</f>
        <v>0</v>
      </c>
      <c r="AD542" s="2">
        <f>IF(Games[[#This Row],[Type]]="R",IF(Games[[#This Row],[Result]]&lt;0.5,1,0),0)</f>
        <v>0</v>
      </c>
      <c r="AE542" s="2">
        <f>IF(AND(Games[[#This Row],[Type]]="P",Games[[#This Row],[Round]]=1),IF(Games[[#This Row],[Result]]&gt;0.5,1,0),0)</f>
        <v>0</v>
      </c>
      <c r="AF542" s="2">
        <f>IF(AND(Games[[#This Row],[Type]]="P",Games[[#This Row],[Round]]=1),IF(Games[[#This Row],[Result]]&lt;0.5,1,0),0)</f>
        <v>0</v>
      </c>
      <c r="AG542" s="2">
        <f>IF(AND(Games[[#This Row],[Type]]="P",Games[[#This Row],[Round]]=2),IF(Games[[#This Row],[Result]]&gt;0.5,1,0),0)</f>
        <v>0</v>
      </c>
      <c r="AH542" s="2">
        <f>IF(AND(Games[[#This Row],[Type]]="P",Games[[#This Row],[Round]]=2),IF(Games[[#This Row],[Result]]&lt;0.5,1,0),0)</f>
        <v>0</v>
      </c>
      <c r="AI542" s="2">
        <f>IF(AND(Games[[#This Row],[Type]]="P",Games[[#This Row],[Round]]=3),IF(Games[[#This Row],[Result]]&gt;0.5,1,0),0)</f>
        <v>1</v>
      </c>
      <c r="AJ542" s="2">
        <f>IF(AND(Games[[#This Row],[Type]]="P",Games[[#This Row],[Round]]=3),IF(Games[[#This Row],[Result]]&lt;0.5,1,0),0)</f>
        <v>0</v>
      </c>
      <c r="AK542" s="2">
        <f>IF(AND(Games[[#This Row],[Type]]="P",Games[[#This Row],[Round]]=4),IF(Games[[#This Row],[Result]]&gt;0.5,1,0),0)</f>
        <v>0</v>
      </c>
      <c r="AL542" s="2">
        <f>IF(AND(Games[[#This Row],[Type]]="P",Games[[#This Row],[Round]]=4),IF(Games[[#This Row],[Result]]&lt;0.5,1,0),0)</f>
        <v>0</v>
      </c>
    </row>
    <row r="543" spans="1:38" x14ac:dyDescent="0.35">
      <c r="A543" s="10">
        <v>36762</v>
      </c>
      <c r="B543" s="2">
        <v>2000</v>
      </c>
      <c r="C543" s="2">
        <f>COUNTIFS(Games[Team],Games[[#This Row],[Team]],Games[Season],Games[[#This Row],[Season]],Games[Date],"&lt;=" &amp; Games[[#This Row],[Date]])</f>
        <v>38</v>
      </c>
      <c r="D543" s="2" t="s">
        <v>46</v>
      </c>
      <c r="E543" s="2">
        <v>3</v>
      </c>
      <c r="F543" s="1" t="s">
        <v>66</v>
      </c>
      <c r="G543" s="1" t="s">
        <v>2</v>
      </c>
      <c r="H543" s="1" t="s">
        <v>15</v>
      </c>
      <c r="I543" s="2" cm="1">
        <f t="array" ref="I5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3" s="2" cm="1">
        <f t="array" ref="J5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43" s="2">
        <f>Games[[#This Row],[DaysOff]]-Games[[#This Row],[OppDaysOff]]</f>
        <v>-1</v>
      </c>
      <c r="L543" s="2">
        <f>Games[[#This Row],[OppDaysOff]]-Games[[#This Row],[DaysOff]]</f>
        <v>1</v>
      </c>
      <c r="M543" s="16">
        <f>MAX(-16, MIN(16, Games[[#This Row],[RestDiff]]*8))</f>
        <v>-8</v>
      </c>
      <c r="N543" s="16">
        <f>MAX(-16, MIN(16, Games[[#This Row],[OppRestDiff]]*8))</f>
        <v>8</v>
      </c>
      <c r="O543" s="4" cm="1">
        <f t="array" ref="O5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1603.4117941785191</v>
      </c>
      <c r="P543" s="4" cm="1">
        <f t="array" ref="P5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1800.0494742696455</v>
      </c>
      <c r="Q543" s="4">
        <f>1/(1+10^(((Games[[#This Row],[OppPreGmRate]]+IF(Games[[#This Row],[HomeAway]]="A",HCA,0)+Games[[#This Row],[OppRestAdj]])-(Games[[#This Row],[PreGmRate]]+IF(Games[[#This Row],[HomeAway]]="H",HCA,0)+Games[[#This Row],[RestAdj]]))/400))</f>
        <v>0.32289525197243912</v>
      </c>
      <c r="R543" s="1">
        <v>52</v>
      </c>
      <c r="S543" s="1">
        <v>59</v>
      </c>
      <c r="T543" s="1">
        <v>0</v>
      </c>
      <c r="U543" s="16">
        <f>Games[[#This Row],[PointsFor]]-Games[[#This Row],[PointsAgainst]]</f>
        <v>-7</v>
      </c>
      <c r="V543" s="16">
        <f>IF(Games[[#This Row],[MOV]]&gt;0,1,IF(Games[[#This Row],[MOV]]=0,0.5,0))</f>
        <v>0</v>
      </c>
      <c r="W543" s="4">
        <f>((ABS(Games[[#This Row],[MOV]])+5)^0.6)/(12+0.01*(ABS(Games[[#This Row],[PreGmRate]]-Games[[#This Row],[OppPreGmRate]])))*IF(Games[[#This Row],[OT]]=1,0.9,1)</f>
        <v>0.31799844248481535</v>
      </c>
      <c r="X543" s="7" cm="1">
        <f t="array" ref="X5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3" s="9">
        <f>MAX(kmin, kmax - 0.15 * MIN(Games[[#This Row],[GamesPlayed]], 82))</f>
        <v>70.3</v>
      </c>
      <c r="Z543" s="4">
        <f>Games[[#This Row],[K]]*Games[[#This Row],[POMult]]</f>
        <v>94.905000000000001</v>
      </c>
      <c r="AA543" s="4">
        <f>(Games[[#This Row],[Keff]]*Games[[#This Row],[MOVMult]])*(Games[[#This Row],[Result]]-Games[[#This Row],[ExpectedWin%]])</f>
        <v>-9.7448631674476438</v>
      </c>
      <c r="AB543" s="4">
        <f>Games[[#This Row],[PreGmRate]]+Games[[#This Row],[RatingChange]]</f>
        <v>1593.6669310110715</v>
      </c>
      <c r="AC543" s="2">
        <f>IF(Games[[#This Row],[Type]]="R",IF(Games[[#This Row],[Result]]&gt;0.5,1,0),0)</f>
        <v>0</v>
      </c>
      <c r="AD543" s="2">
        <f>IF(Games[[#This Row],[Type]]="R",IF(Games[[#This Row],[Result]]&lt;0.5,1,0),0)</f>
        <v>0</v>
      </c>
      <c r="AE543" s="2">
        <f>IF(AND(Games[[#This Row],[Type]]="P",Games[[#This Row],[Round]]=1),IF(Games[[#This Row],[Result]]&gt;0.5,1,0),0)</f>
        <v>0</v>
      </c>
      <c r="AF543" s="2">
        <f>IF(AND(Games[[#This Row],[Type]]="P",Games[[#This Row],[Round]]=1),IF(Games[[#This Row],[Result]]&lt;0.5,1,0),0)</f>
        <v>0</v>
      </c>
      <c r="AG543" s="2">
        <f>IF(AND(Games[[#This Row],[Type]]="P",Games[[#This Row],[Round]]=2),IF(Games[[#This Row],[Result]]&gt;0.5,1,0),0)</f>
        <v>0</v>
      </c>
      <c r="AH543" s="2">
        <f>IF(AND(Games[[#This Row],[Type]]="P",Games[[#This Row],[Round]]=2),IF(Games[[#This Row],[Result]]&lt;0.5,1,0),0)</f>
        <v>0</v>
      </c>
      <c r="AI543" s="2">
        <f>IF(AND(Games[[#This Row],[Type]]="P",Games[[#This Row],[Round]]=3),IF(Games[[#This Row],[Result]]&gt;0.5,1,0),0)</f>
        <v>0</v>
      </c>
      <c r="AJ543" s="2">
        <f>IF(AND(Games[[#This Row],[Type]]="P",Games[[#This Row],[Round]]=3),IF(Games[[#This Row],[Result]]&lt;0.5,1,0),0)</f>
        <v>1</v>
      </c>
      <c r="AK543" s="2">
        <f>IF(AND(Games[[#This Row],[Type]]="P",Games[[#This Row],[Round]]=4),IF(Games[[#This Row],[Result]]&gt;0.5,1,0),0)</f>
        <v>0</v>
      </c>
      <c r="AL543" s="2">
        <f>IF(AND(Games[[#This Row],[Type]]="P",Games[[#This Row],[Round]]=4),IF(Games[[#This Row],[Result]]&lt;0.5,1,0),0)</f>
        <v>0</v>
      </c>
    </row>
    <row r="544" spans="1:38" x14ac:dyDescent="0.35">
      <c r="A544" s="10">
        <v>36764</v>
      </c>
      <c r="B544" s="2">
        <v>2000</v>
      </c>
      <c r="C544" s="2">
        <f>COUNTIFS(Games[Team],Games[[#This Row],[Team]],Games[Season],Games[[#This Row],[Season]],Games[Date],"&lt;=" &amp; Games[[#This Row],[Date]])</f>
        <v>39</v>
      </c>
      <c r="D544" s="2" t="s">
        <v>46</v>
      </c>
      <c r="E544" s="2">
        <v>3</v>
      </c>
      <c r="F544" s="1" t="s">
        <v>66</v>
      </c>
      <c r="G544" s="1" t="s">
        <v>2</v>
      </c>
      <c r="H544" s="1" t="s">
        <v>16</v>
      </c>
      <c r="I544" s="2" cm="1">
        <f t="array" ref="I5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4" s="2" cm="1">
        <f t="array" ref="J5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4" s="2">
        <f>Games[[#This Row],[DaysOff]]-Games[[#This Row],[OppDaysOff]]</f>
        <v>0</v>
      </c>
      <c r="L544" s="2">
        <f>Games[[#This Row],[OppDaysOff]]-Games[[#This Row],[DaysOff]]</f>
        <v>0</v>
      </c>
      <c r="M544" s="16">
        <f>MAX(-16, MIN(16, Games[[#This Row],[RestDiff]]*8))</f>
        <v>0</v>
      </c>
      <c r="N544" s="16">
        <f>MAX(-16, MIN(16, Games[[#This Row],[OppRestDiff]]*8))</f>
        <v>0</v>
      </c>
      <c r="O544" s="4" cm="1">
        <f t="array" ref="O5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1593.6669310110715</v>
      </c>
      <c r="P544" s="4" cm="1">
        <f t="array" ref="P5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1809.8151301750038</v>
      </c>
      <c r="Q544" s="4">
        <f>1/(1+10^(((Games[[#This Row],[OppPreGmRate]]+IF(Games[[#This Row],[HomeAway]]="A",HCA,0)+Games[[#This Row],[OppRestAdj]])-(Games[[#This Row],[PreGmRate]]+IF(Games[[#This Row],[HomeAway]]="H",HCA,0)+Games[[#This Row],[RestAdj]]))/400))</f>
        <v>0.15087023499512117</v>
      </c>
      <c r="R544" s="1">
        <v>73</v>
      </c>
      <c r="S544" s="1">
        <v>79</v>
      </c>
      <c r="T544" s="1">
        <v>1</v>
      </c>
      <c r="U544" s="16">
        <f>Games[[#This Row],[PointsFor]]-Games[[#This Row],[PointsAgainst]]</f>
        <v>-6</v>
      </c>
      <c r="V544" s="16">
        <f>IF(Games[[#This Row],[MOV]]&gt;0,1,IF(Games[[#This Row],[MOV]]=0,0.5,0))</f>
        <v>0</v>
      </c>
      <c r="W544" s="4">
        <f>((ABS(Games[[#This Row],[MOV]])+5)^0.6)/(12+0.01*(ABS(Games[[#This Row],[PreGmRate]]-Games[[#This Row],[OppPreGmRate]])))*IF(Games[[#This Row],[OT]]=1,0.9,1)</f>
        <v>0.267897965906571</v>
      </c>
      <c r="X544" s="7" cm="1">
        <f t="array" ref="X5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4" s="9">
        <f>MAX(kmin, kmax - 0.15 * MIN(Games[[#This Row],[GamesPlayed]], 82))</f>
        <v>70.150000000000006</v>
      </c>
      <c r="Z544" s="4">
        <f>Games[[#This Row],[K]]*Games[[#This Row],[POMult]]</f>
        <v>94.702500000000015</v>
      </c>
      <c r="AA544" s="4">
        <f>(Games[[#This Row],[Keff]]*Games[[#This Row],[MOVMult]])*(Games[[#This Row],[Result]]-Games[[#This Row],[ExpectedWin%]])</f>
        <v>-3.8276694576001025</v>
      </c>
      <c r="AB544" s="4">
        <f>Games[[#This Row],[PreGmRate]]+Games[[#This Row],[RatingChange]]</f>
        <v>1589.8392615534715</v>
      </c>
      <c r="AC544" s="2">
        <f>IF(Games[[#This Row],[Type]]="R",IF(Games[[#This Row],[Result]]&gt;0.5,1,0),0)</f>
        <v>0</v>
      </c>
      <c r="AD544" s="2">
        <f>IF(Games[[#This Row],[Type]]="R",IF(Games[[#This Row],[Result]]&lt;0.5,1,0),0)</f>
        <v>0</v>
      </c>
      <c r="AE544" s="2">
        <f>IF(AND(Games[[#This Row],[Type]]="P",Games[[#This Row],[Round]]=1),IF(Games[[#This Row],[Result]]&gt;0.5,1,0),0)</f>
        <v>0</v>
      </c>
      <c r="AF544" s="2">
        <f>IF(AND(Games[[#This Row],[Type]]="P",Games[[#This Row],[Round]]=1),IF(Games[[#This Row],[Result]]&lt;0.5,1,0),0)</f>
        <v>0</v>
      </c>
      <c r="AG544" s="2">
        <f>IF(AND(Games[[#This Row],[Type]]="P",Games[[#This Row],[Round]]=2),IF(Games[[#This Row],[Result]]&gt;0.5,1,0),0)</f>
        <v>0</v>
      </c>
      <c r="AH544" s="2">
        <f>IF(AND(Games[[#This Row],[Type]]="P",Games[[#This Row],[Round]]=2),IF(Games[[#This Row],[Result]]&lt;0.5,1,0),0)</f>
        <v>0</v>
      </c>
      <c r="AI544" s="2">
        <f>IF(AND(Games[[#This Row],[Type]]="P",Games[[#This Row],[Round]]=3),IF(Games[[#This Row],[Result]]&gt;0.5,1,0),0)</f>
        <v>0</v>
      </c>
      <c r="AJ544" s="2">
        <f>IF(AND(Games[[#This Row],[Type]]="P",Games[[#This Row],[Round]]=3),IF(Games[[#This Row],[Result]]&lt;0.5,1,0),0)</f>
        <v>1</v>
      </c>
      <c r="AK544" s="2">
        <f>IF(AND(Games[[#This Row],[Type]]="P",Games[[#This Row],[Round]]=4),IF(Games[[#This Row],[Result]]&gt;0.5,1,0),0)</f>
        <v>0</v>
      </c>
      <c r="AL544" s="2">
        <f>IF(AND(Games[[#This Row],[Type]]="P",Games[[#This Row],[Round]]=4),IF(Games[[#This Row],[Result]]&lt;0.5,1,0),0)</f>
        <v>0</v>
      </c>
    </row>
    <row r="545" spans="1:38" x14ac:dyDescent="0.35">
      <c r="A545" s="10">
        <v>36764</v>
      </c>
      <c r="B545" s="2">
        <v>2000</v>
      </c>
      <c r="C545" s="2">
        <f>COUNTIFS(Games[Team],Games[[#This Row],[Team]],Games[Season],Games[[#This Row],[Season]],Games[Date],"&lt;=" &amp; Games[[#This Row],[Date]])</f>
        <v>38</v>
      </c>
      <c r="D545" s="2" t="s">
        <v>46</v>
      </c>
      <c r="E545" s="2">
        <v>3</v>
      </c>
      <c r="F545" s="1" t="s">
        <v>2</v>
      </c>
      <c r="G545" s="1" t="s">
        <v>66</v>
      </c>
      <c r="H545" s="1" t="s">
        <v>15</v>
      </c>
      <c r="I545" s="2" cm="1">
        <f t="array" ref="I5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5" s="2" cm="1">
        <f t="array" ref="J5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5" s="2">
        <f>Games[[#This Row],[DaysOff]]-Games[[#This Row],[OppDaysOff]]</f>
        <v>0</v>
      </c>
      <c r="L545" s="2">
        <f>Games[[#This Row],[OppDaysOff]]-Games[[#This Row],[DaysOff]]</f>
        <v>0</v>
      </c>
      <c r="M545" s="16">
        <f>MAX(-16, MIN(16, Games[[#This Row],[RestDiff]]*8))</f>
        <v>0</v>
      </c>
      <c r="N545" s="16">
        <f>MAX(-16, MIN(16, Games[[#This Row],[OppRestDiff]]*8))</f>
        <v>0</v>
      </c>
      <c r="O545" s="4" cm="1">
        <f t="array" ref="O5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1809.8151301750038</v>
      </c>
      <c r="P545" s="4" cm="1">
        <f t="array" ref="P5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1593.6669310110715</v>
      </c>
      <c r="Q545" s="4">
        <f>1/(1+10^(((Games[[#This Row],[OppPreGmRate]]+IF(Games[[#This Row],[HomeAway]]="A",HCA,0)+Games[[#This Row],[OppRestAdj]])-(Games[[#This Row],[PreGmRate]]+IF(Games[[#This Row],[HomeAway]]="H",HCA,0)+Games[[#This Row],[RestAdj]]))/400))</f>
        <v>0.8491297650048788</v>
      </c>
      <c r="R545" s="1">
        <v>79</v>
      </c>
      <c r="S545" s="1">
        <v>73</v>
      </c>
      <c r="T545" s="1">
        <v>1</v>
      </c>
      <c r="U545" s="16">
        <f>Games[[#This Row],[PointsFor]]-Games[[#This Row],[PointsAgainst]]</f>
        <v>6</v>
      </c>
      <c r="V545" s="16">
        <f>IF(Games[[#This Row],[MOV]]&gt;0,1,IF(Games[[#This Row],[MOV]]=0,0.5,0))</f>
        <v>1</v>
      </c>
      <c r="W545" s="4">
        <f>((ABS(Games[[#This Row],[MOV]])+5)^0.6)/(12+0.01*(ABS(Games[[#This Row],[PreGmRate]]-Games[[#This Row],[OppPreGmRate]])))*IF(Games[[#This Row],[OT]]=1,0.9,1)</f>
        <v>0.267897965906571</v>
      </c>
      <c r="X545" s="7" cm="1">
        <f t="array" ref="X5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5" s="9">
        <f>MAX(kmin, kmax - 0.15 * MIN(Games[[#This Row],[GamesPlayed]], 82))</f>
        <v>70.3</v>
      </c>
      <c r="Z545" s="4">
        <f>Games[[#This Row],[K]]*Games[[#This Row],[POMult]]</f>
        <v>94.905000000000001</v>
      </c>
      <c r="AA545" s="4">
        <f>(Games[[#This Row],[Keff]]*Games[[#This Row],[MOVMult]])*(Games[[#This Row],[Result]]-Games[[#This Row],[ExpectedWin%]])</f>
        <v>3.8358540679869879</v>
      </c>
      <c r="AB545" s="4">
        <f>Games[[#This Row],[PreGmRate]]+Games[[#This Row],[RatingChange]]</f>
        <v>1813.6509842429907</v>
      </c>
      <c r="AC545" s="2">
        <f>IF(Games[[#This Row],[Type]]="R",IF(Games[[#This Row],[Result]]&gt;0.5,1,0),0)</f>
        <v>0</v>
      </c>
      <c r="AD545" s="2">
        <f>IF(Games[[#This Row],[Type]]="R",IF(Games[[#This Row],[Result]]&lt;0.5,1,0),0)</f>
        <v>0</v>
      </c>
      <c r="AE545" s="2">
        <f>IF(AND(Games[[#This Row],[Type]]="P",Games[[#This Row],[Round]]=1),IF(Games[[#This Row],[Result]]&gt;0.5,1,0),0)</f>
        <v>0</v>
      </c>
      <c r="AF545" s="2">
        <f>IF(AND(Games[[#This Row],[Type]]="P",Games[[#This Row],[Round]]=1),IF(Games[[#This Row],[Result]]&lt;0.5,1,0),0)</f>
        <v>0</v>
      </c>
      <c r="AG545" s="2">
        <f>IF(AND(Games[[#This Row],[Type]]="P",Games[[#This Row],[Round]]=2),IF(Games[[#This Row],[Result]]&gt;0.5,1,0),0)</f>
        <v>0</v>
      </c>
      <c r="AH545" s="2">
        <f>IF(AND(Games[[#This Row],[Type]]="P",Games[[#This Row],[Round]]=2),IF(Games[[#This Row],[Result]]&lt;0.5,1,0),0)</f>
        <v>0</v>
      </c>
      <c r="AI545" s="2">
        <f>IF(AND(Games[[#This Row],[Type]]="P",Games[[#This Row],[Round]]=3),IF(Games[[#This Row],[Result]]&gt;0.5,1,0),0)</f>
        <v>1</v>
      </c>
      <c r="AJ545" s="2">
        <f>IF(AND(Games[[#This Row],[Type]]="P",Games[[#This Row],[Round]]=3),IF(Games[[#This Row],[Result]]&lt;0.5,1,0),0)</f>
        <v>0</v>
      </c>
      <c r="AK545" s="2">
        <f>IF(AND(Games[[#This Row],[Type]]="P",Games[[#This Row],[Round]]=4),IF(Games[[#This Row],[Result]]&gt;0.5,1,0),0)</f>
        <v>0</v>
      </c>
      <c r="AL545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2026-07-27T09:46:52Z</dcterms:modified>
</cp:coreProperties>
</file>
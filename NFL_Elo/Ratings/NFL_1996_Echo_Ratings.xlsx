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jsut\TracerProjects2\NFL_Elo\Ratings\"/>
    </mc:Choice>
  </mc:AlternateContent>
  <xr:revisionPtr revIDLastSave="0" documentId="8_{3D623DD9-1A02-4045-90C6-13EB40D6EA99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Instructions" sheetId="1" r:id="rId1"/>
    <sheet name="Params" sheetId="2" r:id="rId2"/>
    <sheet name="Teams" sheetId="3" r:id="rId3"/>
    <sheet name="Games" sheetId="4" r:id="rId4"/>
    <sheet name="Standings" sheetId="5" r:id="rId5"/>
  </sheets>
  <definedNames>
    <definedName name="Alpha">Params!$B$4</definedName>
    <definedName name="Base">Params!$B$5</definedName>
    <definedName name="ConfMult">Params!$B$12</definedName>
    <definedName name="DivMult">Params!$B$11</definedName>
    <definedName name="HFA">Params!$B$6</definedName>
    <definedName name="KFloor">Params!$B$8</definedName>
    <definedName name="KMax">Params!$B$7</definedName>
    <definedName name="POMult_CC">Params!$B$15</definedName>
    <definedName name="POMult_DV">Params!$B$14</definedName>
    <definedName name="POMult_SB">Params!$B$16</definedName>
    <definedName name="POMult_WC">Params!$B$13</definedName>
    <definedName name="RestMajor">Params!$B$10</definedName>
    <definedName name="RestMinor">Params!$B$9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5" l="1"/>
  <c r="H36" i="5"/>
  <c r="I35" i="5"/>
  <c r="H35" i="5"/>
  <c r="I34" i="5"/>
  <c r="H34" i="5"/>
  <c r="I33" i="5"/>
  <c r="H33" i="5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B1" i="5"/>
  <c r="AO503" i="4"/>
  <c r="AN503" i="4"/>
  <c r="AM503" i="4"/>
  <c r="AI503" i="4"/>
  <c r="AF503" i="4"/>
  <c r="AB503" i="4"/>
  <c r="Q503" i="4"/>
  <c r="R503" i="4" s="1"/>
  <c r="N503" i="4"/>
  <c r="M503" i="4"/>
  <c r="L503" i="4"/>
  <c r="K503" i="4"/>
  <c r="AO502" i="4"/>
  <c r="AN502" i="4"/>
  <c r="AM502" i="4"/>
  <c r="AI502" i="4"/>
  <c r="AF502" i="4"/>
  <c r="AB502" i="4"/>
  <c r="Q502" i="4"/>
  <c r="R502" i="4" s="1"/>
  <c r="N502" i="4"/>
  <c r="M502" i="4"/>
  <c r="L502" i="4"/>
  <c r="K502" i="4"/>
  <c r="AO501" i="4"/>
  <c r="AN501" i="4"/>
  <c r="AM501" i="4"/>
  <c r="AI501" i="4"/>
  <c r="AF501" i="4"/>
  <c r="AB501" i="4"/>
  <c r="Q501" i="4"/>
  <c r="R501" i="4" s="1"/>
  <c r="N501" i="4"/>
  <c r="M501" i="4"/>
  <c r="L501" i="4"/>
  <c r="K501" i="4"/>
  <c r="AO500" i="4"/>
  <c r="AN500" i="4"/>
  <c r="AM500" i="4"/>
  <c r="AI500" i="4"/>
  <c r="AF500" i="4"/>
  <c r="AB500" i="4"/>
  <c r="Q500" i="4"/>
  <c r="R500" i="4" s="1"/>
  <c r="N500" i="4"/>
  <c r="M500" i="4"/>
  <c r="L500" i="4"/>
  <c r="K500" i="4"/>
  <c r="AO499" i="4"/>
  <c r="AN499" i="4"/>
  <c r="AM499" i="4"/>
  <c r="AI499" i="4"/>
  <c r="AF499" i="4"/>
  <c r="AB499" i="4"/>
  <c r="Q499" i="4"/>
  <c r="R499" i="4" s="1"/>
  <c r="N499" i="4"/>
  <c r="M499" i="4"/>
  <c r="L499" i="4"/>
  <c r="K499" i="4"/>
  <c r="AO498" i="4"/>
  <c r="AN498" i="4"/>
  <c r="AM498" i="4"/>
  <c r="AI498" i="4"/>
  <c r="AF498" i="4"/>
  <c r="AB498" i="4"/>
  <c r="Q498" i="4"/>
  <c r="R498" i="4" s="1"/>
  <c r="N498" i="4"/>
  <c r="M498" i="4"/>
  <c r="L498" i="4"/>
  <c r="K498" i="4"/>
  <c r="AO497" i="4"/>
  <c r="AN497" i="4"/>
  <c r="AM497" i="4"/>
  <c r="AI497" i="4"/>
  <c r="AF497" i="4"/>
  <c r="AB497" i="4"/>
  <c r="Q497" i="4"/>
  <c r="R497" i="4" s="1"/>
  <c r="N497" i="4"/>
  <c r="M497" i="4"/>
  <c r="L497" i="4"/>
  <c r="K497" i="4"/>
  <c r="AO496" i="4"/>
  <c r="AN496" i="4"/>
  <c r="AM496" i="4"/>
  <c r="AI496" i="4"/>
  <c r="AF496" i="4"/>
  <c r="AB496" i="4"/>
  <c r="Q496" i="4"/>
  <c r="R496" i="4" s="1"/>
  <c r="N496" i="4"/>
  <c r="M496" i="4"/>
  <c r="L496" i="4"/>
  <c r="K496" i="4"/>
  <c r="AO495" i="4"/>
  <c r="AN495" i="4"/>
  <c r="AM495" i="4"/>
  <c r="AI495" i="4"/>
  <c r="AF495" i="4"/>
  <c r="AB495" i="4"/>
  <c r="Q495" i="4"/>
  <c r="R495" i="4" s="1"/>
  <c r="N495" i="4"/>
  <c r="M495" i="4"/>
  <c r="L495" i="4"/>
  <c r="K495" i="4"/>
  <c r="AO494" i="4"/>
  <c r="AN494" i="4"/>
  <c r="AM494" i="4"/>
  <c r="AI494" i="4"/>
  <c r="AF494" i="4"/>
  <c r="AB494" i="4"/>
  <c r="Q494" i="4"/>
  <c r="R494" i="4" s="1"/>
  <c r="N494" i="4"/>
  <c r="M494" i="4"/>
  <c r="L494" i="4"/>
  <c r="K494" i="4"/>
  <c r="AO493" i="4"/>
  <c r="AN493" i="4"/>
  <c r="AM493" i="4"/>
  <c r="AI493" i="4"/>
  <c r="AF493" i="4"/>
  <c r="AB493" i="4"/>
  <c r="Q493" i="4"/>
  <c r="R493" i="4" s="1"/>
  <c r="N493" i="4"/>
  <c r="M493" i="4"/>
  <c r="L493" i="4"/>
  <c r="K493" i="4"/>
  <c r="AO492" i="4"/>
  <c r="AN492" i="4"/>
  <c r="AM492" i="4"/>
  <c r="AI492" i="4"/>
  <c r="AF492" i="4"/>
  <c r="AB492" i="4"/>
  <c r="Q492" i="4"/>
  <c r="R492" i="4" s="1"/>
  <c r="N492" i="4"/>
  <c r="M492" i="4"/>
  <c r="L492" i="4"/>
  <c r="K492" i="4"/>
  <c r="AO491" i="4"/>
  <c r="AN491" i="4"/>
  <c r="AM491" i="4"/>
  <c r="AI491" i="4"/>
  <c r="AF491" i="4"/>
  <c r="AB491" i="4"/>
  <c r="Q491" i="4"/>
  <c r="R491" i="4" s="1"/>
  <c r="N491" i="4"/>
  <c r="M491" i="4"/>
  <c r="L491" i="4"/>
  <c r="K491" i="4"/>
  <c r="AO490" i="4"/>
  <c r="AN490" i="4"/>
  <c r="AM490" i="4"/>
  <c r="AI490" i="4"/>
  <c r="AF490" i="4"/>
  <c r="AB490" i="4"/>
  <c r="Q490" i="4"/>
  <c r="R490" i="4" s="1"/>
  <c r="N490" i="4"/>
  <c r="M490" i="4"/>
  <c r="L490" i="4"/>
  <c r="K490" i="4"/>
  <c r="AO489" i="4"/>
  <c r="AN489" i="4"/>
  <c r="AM489" i="4"/>
  <c r="AI489" i="4"/>
  <c r="AF489" i="4"/>
  <c r="AB489" i="4"/>
  <c r="Q489" i="4"/>
  <c r="R489" i="4" s="1"/>
  <c r="N489" i="4"/>
  <c r="M489" i="4"/>
  <c r="L489" i="4"/>
  <c r="K489" i="4"/>
  <c r="AO488" i="4"/>
  <c r="AN488" i="4"/>
  <c r="AM488" i="4"/>
  <c r="AI488" i="4"/>
  <c r="AF488" i="4"/>
  <c r="AB488" i="4"/>
  <c r="Q488" i="4"/>
  <c r="R488" i="4" s="1"/>
  <c r="N488" i="4"/>
  <c r="M488" i="4"/>
  <c r="L488" i="4"/>
  <c r="K488" i="4"/>
  <c r="AO487" i="4"/>
  <c r="AN487" i="4"/>
  <c r="AM487" i="4"/>
  <c r="AI487" i="4"/>
  <c r="AF487" i="4"/>
  <c r="AB487" i="4"/>
  <c r="Q487" i="4"/>
  <c r="R487" i="4" s="1"/>
  <c r="N487" i="4"/>
  <c r="M487" i="4"/>
  <c r="L487" i="4"/>
  <c r="K487" i="4"/>
  <c r="AO486" i="4"/>
  <c r="AN486" i="4"/>
  <c r="AM486" i="4"/>
  <c r="AI486" i="4"/>
  <c r="AF486" i="4"/>
  <c r="AC486" i="4"/>
  <c r="AB486" i="4"/>
  <c r="Q486" i="4"/>
  <c r="R486" i="4" s="1"/>
  <c r="N486" i="4"/>
  <c r="M486" i="4"/>
  <c r="L486" i="4"/>
  <c r="K486" i="4"/>
  <c r="AO485" i="4"/>
  <c r="AN485" i="4"/>
  <c r="AM485" i="4"/>
  <c r="AI485" i="4"/>
  <c r="AF485" i="4"/>
  <c r="AB485" i="4"/>
  <c r="Q485" i="4"/>
  <c r="R485" i="4" s="1"/>
  <c r="N485" i="4"/>
  <c r="M485" i="4"/>
  <c r="L485" i="4"/>
  <c r="K485" i="4"/>
  <c r="AO484" i="4"/>
  <c r="AN484" i="4"/>
  <c r="AM484" i="4"/>
  <c r="AI484" i="4"/>
  <c r="AF484" i="4"/>
  <c r="AB484" i="4"/>
  <c r="Q484" i="4"/>
  <c r="R484" i="4" s="1"/>
  <c r="N484" i="4"/>
  <c r="M484" i="4"/>
  <c r="L484" i="4"/>
  <c r="K484" i="4"/>
  <c r="AO483" i="4"/>
  <c r="AN483" i="4"/>
  <c r="AM483" i="4"/>
  <c r="AI483" i="4"/>
  <c r="AF483" i="4"/>
  <c r="AB483" i="4"/>
  <c r="Q483" i="4"/>
  <c r="R483" i="4" s="1"/>
  <c r="N483" i="4"/>
  <c r="M483" i="4"/>
  <c r="L483" i="4"/>
  <c r="K483" i="4"/>
  <c r="AO482" i="4"/>
  <c r="AN482" i="4"/>
  <c r="AM482" i="4"/>
  <c r="AI482" i="4"/>
  <c r="AF482" i="4"/>
  <c r="AB482" i="4"/>
  <c r="Q482" i="4"/>
  <c r="R482" i="4" s="1"/>
  <c r="N482" i="4"/>
  <c r="M482" i="4"/>
  <c r="L482" i="4"/>
  <c r="K482" i="4"/>
  <c r="AI481" i="4"/>
  <c r="AF481" i="4"/>
  <c r="AB481" i="4"/>
  <c r="Q481" i="4"/>
  <c r="R481" i="4" s="1"/>
  <c r="N481" i="4"/>
  <c r="M481" i="4"/>
  <c r="L481" i="4"/>
  <c r="K481" i="4"/>
  <c r="AI480" i="4"/>
  <c r="AF480" i="4"/>
  <c r="AB480" i="4"/>
  <c r="Q480" i="4"/>
  <c r="R480" i="4" s="1"/>
  <c r="N480" i="4"/>
  <c r="M480" i="4"/>
  <c r="L480" i="4"/>
  <c r="K480" i="4"/>
  <c r="AI479" i="4"/>
  <c r="AF479" i="4"/>
  <c r="AB479" i="4"/>
  <c r="Q479" i="4"/>
  <c r="R479" i="4" s="1"/>
  <c r="N479" i="4"/>
  <c r="M479" i="4"/>
  <c r="L479" i="4"/>
  <c r="K479" i="4"/>
  <c r="AI478" i="4"/>
  <c r="AF478" i="4"/>
  <c r="AB478" i="4"/>
  <c r="Q478" i="4"/>
  <c r="R478" i="4" s="1"/>
  <c r="N478" i="4"/>
  <c r="M478" i="4"/>
  <c r="L478" i="4"/>
  <c r="K478" i="4"/>
  <c r="AI477" i="4"/>
  <c r="AF477" i="4"/>
  <c r="AB477" i="4"/>
  <c r="Q477" i="4"/>
  <c r="R477" i="4" s="1"/>
  <c r="N477" i="4"/>
  <c r="M477" i="4"/>
  <c r="L477" i="4"/>
  <c r="K477" i="4"/>
  <c r="AI476" i="4"/>
  <c r="AF476" i="4"/>
  <c r="AB476" i="4"/>
  <c r="Q476" i="4"/>
  <c r="R476" i="4" s="1"/>
  <c r="N476" i="4"/>
  <c r="M476" i="4"/>
  <c r="L476" i="4"/>
  <c r="K476" i="4"/>
  <c r="AI475" i="4"/>
  <c r="AF475" i="4"/>
  <c r="AB475" i="4"/>
  <c r="Q475" i="4"/>
  <c r="R475" i="4" s="1"/>
  <c r="N475" i="4"/>
  <c r="M475" i="4"/>
  <c r="L475" i="4"/>
  <c r="K475" i="4"/>
  <c r="AI474" i="4"/>
  <c r="AF474" i="4"/>
  <c r="AB474" i="4"/>
  <c r="Q474" i="4"/>
  <c r="R474" i="4" s="1"/>
  <c r="N474" i="4"/>
  <c r="M474" i="4"/>
  <c r="L474" i="4"/>
  <c r="K474" i="4"/>
  <c r="AI473" i="4"/>
  <c r="AF473" i="4"/>
  <c r="AB473" i="4"/>
  <c r="Q473" i="4"/>
  <c r="R473" i="4" s="1"/>
  <c r="N473" i="4"/>
  <c r="M473" i="4"/>
  <c r="L473" i="4"/>
  <c r="K473" i="4"/>
  <c r="AI472" i="4"/>
  <c r="AF472" i="4"/>
  <c r="AB472" i="4"/>
  <c r="Q472" i="4"/>
  <c r="R472" i="4" s="1"/>
  <c r="N472" i="4"/>
  <c r="M472" i="4"/>
  <c r="L472" i="4"/>
  <c r="K472" i="4"/>
  <c r="AI471" i="4"/>
  <c r="AF471" i="4"/>
  <c r="AB471" i="4"/>
  <c r="Q471" i="4"/>
  <c r="R471" i="4" s="1"/>
  <c r="N471" i="4"/>
  <c r="M471" i="4"/>
  <c r="L471" i="4"/>
  <c r="K471" i="4"/>
  <c r="AI470" i="4"/>
  <c r="AF470" i="4"/>
  <c r="AB470" i="4"/>
  <c r="Q470" i="4"/>
  <c r="R470" i="4" s="1"/>
  <c r="N470" i="4"/>
  <c r="M470" i="4"/>
  <c r="L470" i="4"/>
  <c r="K470" i="4"/>
  <c r="AI469" i="4"/>
  <c r="AF469" i="4"/>
  <c r="AB469" i="4"/>
  <c r="Q469" i="4"/>
  <c r="R469" i="4" s="1"/>
  <c r="N469" i="4"/>
  <c r="M469" i="4"/>
  <c r="L469" i="4"/>
  <c r="K469" i="4"/>
  <c r="AI468" i="4"/>
  <c r="AF468" i="4"/>
  <c r="AB468" i="4"/>
  <c r="Q468" i="4"/>
  <c r="R468" i="4" s="1"/>
  <c r="N468" i="4"/>
  <c r="M468" i="4"/>
  <c r="L468" i="4"/>
  <c r="K468" i="4"/>
  <c r="AI467" i="4"/>
  <c r="AF467" i="4"/>
  <c r="AB467" i="4"/>
  <c r="Q467" i="4"/>
  <c r="R467" i="4" s="1"/>
  <c r="N467" i="4"/>
  <c r="M467" i="4"/>
  <c r="L467" i="4"/>
  <c r="K467" i="4"/>
  <c r="AI466" i="4"/>
  <c r="AF466" i="4"/>
  <c r="AB466" i="4"/>
  <c r="Q466" i="4"/>
  <c r="R466" i="4" s="1"/>
  <c r="N466" i="4"/>
  <c r="M466" i="4"/>
  <c r="L466" i="4"/>
  <c r="K466" i="4"/>
  <c r="AI465" i="4"/>
  <c r="AF465" i="4"/>
  <c r="AB465" i="4"/>
  <c r="Q465" i="4"/>
  <c r="R465" i="4" s="1"/>
  <c r="N465" i="4"/>
  <c r="M465" i="4"/>
  <c r="L465" i="4"/>
  <c r="K465" i="4"/>
  <c r="AI464" i="4"/>
  <c r="AF464" i="4"/>
  <c r="AB464" i="4"/>
  <c r="Q464" i="4"/>
  <c r="R464" i="4" s="1"/>
  <c r="N464" i="4"/>
  <c r="M464" i="4"/>
  <c r="L464" i="4"/>
  <c r="K464" i="4"/>
  <c r="AI463" i="4"/>
  <c r="AF463" i="4"/>
  <c r="AB463" i="4"/>
  <c r="Q463" i="4"/>
  <c r="R463" i="4" s="1"/>
  <c r="N463" i="4"/>
  <c r="M463" i="4"/>
  <c r="L463" i="4"/>
  <c r="K463" i="4"/>
  <c r="AI462" i="4"/>
  <c r="AF462" i="4"/>
  <c r="AB462" i="4"/>
  <c r="Q462" i="4"/>
  <c r="R462" i="4" s="1"/>
  <c r="N462" i="4"/>
  <c r="M462" i="4"/>
  <c r="L462" i="4"/>
  <c r="K462" i="4"/>
  <c r="AI461" i="4"/>
  <c r="AF461" i="4"/>
  <c r="AB461" i="4"/>
  <c r="Q461" i="4"/>
  <c r="R461" i="4" s="1"/>
  <c r="N461" i="4"/>
  <c r="M461" i="4"/>
  <c r="L461" i="4"/>
  <c r="K461" i="4"/>
  <c r="AI460" i="4"/>
  <c r="AF460" i="4"/>
  <c r="AB460" i="4"/>
  <c r="Q460" i="4"/>
  <c r="R460" i="4" s="1"/>
  <c r="N460" i="4"/>
  <c r="M460" i="4"/>
  <c r="L460" i="4"/>
  <c r="K460" i="4"/>
  <c r="AI459" i="4"/>
  <c r="AF459" i="4"/>
  <c r="AB459" i="4"/>
  <c r="Q459" i="4"/>
  <c r="R459" i="4" s="1"/>
  <c r="N459" i="4"/>
  <c r="M459" i="4"/>
  <c r="L459" i="4"/>
  <c r="K459" i="4"/>
  <c r="AI458" i="4"/>
  <c r="AF458" i="4"/>
  <c r="AB458" i="4"/>
  <c r="Q458" i="4"/>
  <c r="R458" i="4" s="1"/>
  <c r="N458" i="4"/>
  <c r="M458" i="4"/>
  <c r="L458" i="4"/>
  <c r="K458" i="4"/>
  <c r="AI457" i="4"/>
  <c r="AF457" i="4"/>
  <c r="AB457" i="4"/>
  <c r="Q457" i="4"/>
  <c r="R457" i="4" s="1"/>
  <c r="N457" i="4"/>
  <c r="M457" i="4"/>
  <c r="L457" i="4"/>
  <c r="K457" i="4"/>
  <c r="AI456" i="4"/>
  <c r="AF456" i="4"/>
  <c r="AB456" i="4"/>
  <c r="Q456" i="4"/>
  <c r="R456" i="4" s="1"/>
  <c r="N456" i="4"/>
  <c r="M456" i="4"/>
  <c r="L456" i="4"/>
  <c r="K456" i="4"/>
  <c r="AI455" i="4"/>
  <c r="AF455" i="4"/>
  <c r="AB455" i="4"/>
  <c r="Q455" i="4"/>
  <c r="R455" i="4" s="1"/>
  <c r="N455" i="4"/>
  <c r="M455" i="4"/>
  <c r="L455" i="4"/>
  <c r="K455" i="4"/>
  <c r="AI454" i="4"/>
  <c r="AF454" i="4"/>
  <c r="AB454" i="4"/>
  <c r="Q454" i="4"/>
  <c r="R454" i="4" s="1"/>
  <c r="N454" i="4"/>
  <c r="M454" i="4"/>
  <c r="L454" i="4"/>
  <c r="K454" i="4"/>
  <c r="AI453" i="4"/>
  <c r="AF453" i="4"/>
  <c r="AB453" i="4"/>
  <c r="Q453" i="4"/>
  <c r="R453" i="4" s="1"/>
  <c r="N453" i="4"/>
  <c r="M453" i="4"/>
  <c r="L453" i="4"/>
  <c r="K453" i="4"/>
  <c r="AI452" i="4"/>
  <c r="AF452" i="4"/>
  <c r="AB452" i="4"/>
  <c r="Q452" i="4"/>
  <c r="R452" i="4" s="1"/>
  <c r="N452" i="4"/>
  <c r="M452" i="4"/>
  <c r="L452" i="4"/>
  <c r="K452" i="4"/>
  <c r="AI451" i="4"/>
  <c r="AF451" i="4"/>
  <c r="AB451" i="4"/>
  <c r="Q451" i="4"/>
  <c r="R451" i="4" s="1"/>
  <c r="N451" i="4"/>
  <c r="M451" i="4"/>
  <c r="L451" i="4"/>
  <c r="K451" i="4"/>
  <c r="AI450" i="4"/>
  <c r="AF450" i="4"/>
  <c r="AB450" i="4"/>
  <c r="Q450" i="4"/>
  <c r="R450" i="4" s="1"/>
  <c r="N450" i="4"/>
  <c r="M450" i="4"/>
  <c r="L450" i="4"/>
  <c r="K450" i="4"/>
  <c r="AI449" i="4"/>
  <c r="AF449" i="4"/>
  <c r="AB449" i="4"/>
  <c r="Q449" i="4"/>
  <c r="R449" i="4" s="1"/>
  <c r="N449" i="4"/>
  <c r="M449" i="4"/>
  <c r="L449" i="4"/>
  <c r="K449" i="4"/>
  <c r="AI448" i="4"/>
  <c r="AF448" i="4"/>
  <c r="AC448" i="4"/>
  <c r="AB448" i="4"/>
  <c r="Q448" i="4"/>
  <c r="R448" i="4" s="1"/>
  <c r="N448" i="4"/>
  <c r="M448" i="4"/>
  <c r="L448" i="4"/>
  <c r="K448" i="4"/>
  <c r="AI447" i="4"/>
  <c r="AF447" i="4"/>
  <c r="AB447" i="4"/>
  <c r="Q447" i="4"/>
  <c r="R447" i="4" s="1"/>
  <c r="N447" i="4"/>
  <c r="M447" i="4"/>
  <c r="L447" i="4"/>
  <c r="K447" i="4"/>
  <c r="AI446" i="4"/>
  <c r="AF446" i="4"/>
  <c r="AB446" i="4"/>
  <c r="Q446" i="4"/>
  <c r="R446" i="4" s="1"/>
  <c r="N446" i="4"/>
  <c r="M446" i="4"/>
  <c r="L446" i="4"/>
  <c r="K446" i="4"/>
  <c r="AI445" i="4"/>
  <c r="AF445" i="4"/>
  <c r="AB445" i="4"/>
  <c r="Q445" i="4"/>
  <c r="R445" i="4" s="1"/>
  <c r="N445" i="4"/>
  <c r="M445" i="4"/>
  <c r="L445" i="4"/>
  <c r="K445" i="4"/>
  <c r="AI444" i="4"/>
  <c r="AF444" i="4"/>
  <c r="AB444" i="4"/>
  <c r="Q444" i="4"/>
  <c r="R444" i="4" s="1"/>
  <c r="N444" i="4"/>
  <c r="M444" i="4"/>
  <c r="L444" i="4"/>
  <c r="K444" i="4"/>
  <c r="AI443" i="4"/>
  <c r="AF443" i="4"/>
  <c r="AB443" i="4"/>
  <c r="Q443" i="4"/>
  <c r="R443" i="4" s="1"/>
  <c r="N443" i="4"/>
  <c r="M443" i="4"/>
  <c r="L443" i="4"/>
  <c r="K443" i="4"/>
  <c r="AI442" i="4"/>
  <c r="AF442" i="4"/>
  <c r="AB442" i="4"/>
  <c r="Q442" i="4"/>
  <c r="R442" i="4" s="1"/>
  <c r="N442" i="4"/>
  <c r="M442" i="4"/>
  <c r="L442" i="4"/>
  <c r="K442" i="4"/>
  <c r="AI441" i="4"/>
  <c r="AF441" i="4"/>
  <c r="AB441" i="4"/>
  <c r="Q441" i="4"/>
  <c r="R441" i="4" s="1"/>
  <c r="N441" i="4"/>
  <c r="M441" i="4"/>
  <c r="L441" i="4"/>
  <c r="K441" i="4"/>
  <c r="AI440" i="4"/>
  <c r="AF440" i="4"/>
  <c r="AB440" i="4"/>
  <c r="Q440" i="4"/>
  <c r="R440" i="4" s="1"/>
  <c r="N440" i="4"/>
  <c r="M440" i="4"/>
  <c r="L440" i="4"/>
  <c r="K440" i="4"/>
  <c r="AI439" i="4"/>
  <c r="AF439" i="4"/>
  <c r="AB439" i="4"/>
  <c r="Q439" i="4"/>
  <c r="R439" i="4" s="1"/>
  <c r="N439" i="4"/>
  <c r="M439" i="4"/>
  <c r="L439" i="4"/>
  <c r="K439" i="4"/>
  <c r="AI438" i="4"/>
  <c r="AF438" i="4"/>
  <c r="AB438" i="4"/>
  <c r="Q438" i="4"/>
  <c r="R438" i="4" s="1"/>
  <c r="N438" i="4"/>
  <c r="M438" i="4"/>
  <c r="L438" i="4"/>
  <c r="K438" i="4"/>
  <c r="AI437" i="4"/>
  <c r="AF437" i="4"/>
  <c r="AB437" i="4"/>
  <c r="Q437" i="4"/>
  <c r="R437" i="4" s="1"/>
  <c r="N437" i="4"/>
  <c r="M437" i="4"/>
  <c r="L437" i="4"/>
  <c r="K437" i="4"/>
  <c r="AI436" i="4"/>
  <c r="AF436" i="4"/>
  <c r="AB436" i="4"/>
  <c r="Q436" i="4"/>
  <c r="R436" i="4" s="1"/>
  <c r="N436" i="4"/>
  <c r="M436" i="4"/>
  <c r="L436" i="4"/>
  <c r="K436" i="4"/>
  <c r="AI435" i="4"/>
  <c r="AF435" i="4"/>
  <c r="AB435" i="4"/>
  <c r="Q435" i="4"/>
  <c r="R435" i="4" s="1"/>
  <c r="N435" i="4"/>
  <c r="M435" i="4"/>
  <c r="L435" i="4"/>
  <c r="K435" i="4"/>
  <c r="AI434" i="4"/>
  <c r="AF434" i="4"/>
  <c r="AB434" i="4"/>
  <c r="Q434" i="4"/>
  <c r="R434" i="4" s="1"/>
  <c r="N434" i="4"/>
  <c r="M434" i="4"/>
  <c r="L434" i="4"/>
  <c r="K434" i="4"/>
  <c r="AI433" i="4"/>
  <c r="AF433" i="4"/>
  <c r="AB433" i="4"/>
  <c r="Q433" i="4"/>
  <c r="R433" i="4" s="1"/>
  <c r="N433" i="4"/>
  <c r="M433" i="4"/>
  <c r="L433" i="4"/>
  <c r="K433" i="4"/>
  <c r="AI432" i="4"/>
  <c r="AF432" i="4"/>
  <c r="AB432" i="4"/>
  <c r="Q432" i="4"/>
  <c r="R432" i="4" s="1"/>
  <c r="N432" i="4"/>
  <c r="M432" i="4"/>
  <c r="L432" i="4"/>
  <c r="K432" i="4"/>
  <c r="AI431" i="4"/>
  <c r="AF431" i="4"/>
  <c r="AB431" i="4"/>
  <c r="Q431" i="4"/>
  <c r="R431" i="4" s="1"/>
  <c r="N431" i="4"/>
  <c r="M431" i="4"/>
  <c r="L431" i="4"/>
  <c r="K431" i="4"/>
  <c r="AI430" i="4"/>
  <c r="AF430" i="4"/>
  <c r="AB430" i="4"/>
  <c r="Q430" i="4"/>
  <c r="R430" i="4" s="1"/>
  <c r="N430" i="4"/>
  <c r="M430" i="4"/>
  <c r="L430" i="4"/>
  <c r="K430" i="4"/>
  <c r="AI429" i="4"/>
  <c r="AF429" i="4"/>
  <c r="AB429" i="4"/>
  <c r="Q429" i="4"/>
  <c r="R429" i="4" s="1"/>
  <c r="N429" i="4"/>
  <c r="M429" i="4"/>
  <c r="L429" i="4"/>
  <c r="K429" i="4"/>
  <c r="AI428" i="4"/>
  <c r="AF428" i="4"/>
  <c r="AB428" i="4"/>
  <c r="Q428" i="4"/>
  <c r="R428" i="4" s="1"/>
  <c r="N428" i="4"/>
  <c r="M428" i="4"/>
  <c r="L428" i="4"/>
  <c r="K428" i="4"/>
  <c r="AI427" i="4"/>
  <c r="AF427" i="4"/>
  <c r="AB427" i="4"/>
  <c r="Q427" i="4"/>
  <c r="R427" i="4" s="1"/>
  <c r="N427" i="4"/>
  <c r="M427" i="4"/>
  <c r="L427" i="4"/>
  <c r="K427" i="4"/>
  <c r="AI426" i="4"/>
  <c r="AF426" i="4"/>
  <c r="AB426" i="4"/>
  <c r="Q426" i="4"/>
  <c r="R426" i="4" s="1"/>
  <c r="N426" i="4"/>
  <c r="M426" i="4"/>
  <c r="L426" i="4"/>
  <c r="K426" i="4"/>
  <c r="AI425" i="4"/>
  <c r="AF425" i="4"/>
  <c r="AB425" i="4"/>
  <c r="Q425" i="4"/>
  <c r="R425" i="4" s="1"/>
  <c r="N425" i="4"/>
  <c r="M425" i="4"/>
  <c r="L425" i="4"/>
  <c r="K425" i="4"/>
  <c r="AI424" i="4"/>
  <c r="AF424" i="4"/>
  <c r="AB424" i="4"/>
  <c r="Q424" i="4"/>
  <c r="R424" i="4" s="1"/>
  <c r="N424" i="4"/>
  <c r="M424" i="4"/>
  <c r="L424" i="4"/>
  <c r="K424" i="4"/>
  <c r="AI423" i="4"/>
  <c r="AF423" i="4"/>
  <c r="AB423" i="4"/>
  <c r="Q423" i="4"/>
  <c r="R423" i="4" s="1"/>
  <c r="N423" i="4"/>
  <c r="M423" i="4"/>
  <c r="L423" i="4"/>
  <c r="K423" i="4"/>
  <c r="AI422" i="4"/>
  <c r="AF422" i="4"/>
  <c r="AB422" i="4"/>
  <c r="Q422" i="4"/>
  <c r="R422" i="4" s="1"/>
  <c r="N422" i="4"/>
  <c r="M422" i="4"/>
  <c r="L422" i="4"/>
  <c r="K422" i="4"/>
  <c r="AI421" i="4"/>
  <c r="AF421" i="4"/>
  <c r="AB421" i="4"/>
  <c r="Q421" i="4"/>
  <c r="R421" i="4" s="1"/>
  <c r="N421" i="4"/>
  <c r="M421" i="4"/>
  <c r="L421" i="4"/>
  <c r="K421" i="4"/>
  <c r="AI420" i="4"/>
  <c r="AF420" i="4"/>
  <c r="AB420" i="4"/>
  <c r="Q420" i="4"/>
  <c r="R420" i="4" s="1"/>
  <c r="N420" i="4"/>
  <c r="M420" i="4"/>
  <c r="L420" i="4"/>
  <c r="K420" i="4"/>
  <c r="AI419" i="4"/>
  <c r="AF419" i="4"/>
  <c r="AB419" i="4"/>
  <c r="Q419" i="4"/>
  <c r="R419" i="4" s="1"/>
  <c r="N419" i="4"/>
  <c r="M419" i="4"/>
  <c r="L419" i="4"/>
  <c r="K419" i="4"/>
  <c r="AI418" i="4"/>
  <c r="AF418" i="4"/>
  <c r="AB418" i="4"/>
  <c r="Q418" i="4"/>
  <c r="R418" i="4" s="1"/>
  <c r="N418" i="4"/>
  <c r="M418" i="4"/>
  <c r="L418" i="4"/>
  <c r="K418" i="4"/>
  <c r="AI417" i="4"/>
  <c r="AF417" i="4"/>
  <c r="AB417" i="4"/>
  <c r="Q417" i="4"/>
  <c r="R417" i="4" s="1"/>
  <c r="N417" i="4"/>
  <c r="M417" i="4"/>
  <c r="L417" i="4"/>
  <c r="K417" i="4"/>
  <c r="AI416" i="4"/>
  <c r="AF416" i="4"/>
  <c r="AB416" i="4"/>
  <c r="Q416" i="4"/>
  <c r="R416" i="4" s="1"/>
  <c r="N416" i="4"/>
  <c r="M416" i="4"/>
  <c r="L416" i="4"/>
  <c r="K416" i="4"/>
  <c r="AI415" i="4"/>
  <c r="AF415" i="4"/>
  <c r="AB415" i="4"/>
  <c r="Q415" i="4"/>
  <c r="R415" i="4" s="1"/>
  <c r="N415" i="4"/>
  <c r="M415" i="4"/>
  <c r="L415" i="4"/>
  <c r="K415" i="4"/>
  <c r="AI414" i="4"/>
  <c r="AF414" i="4"/>
  <c r="AB414" i="4"/>
  <c r="Q414" i="4"/>
  <c r="R414" i="4" s="1"/>
  <c r="N414" i="4"/>
  <c r="M414" i="4"/>
  <c r="L414" i="4"/>
  <c r="K414" i="4"/>
  <c r="AI413" i="4"/>
  <c r="AF413" i="4"/>
  <c r="AB413" i="4"/>
  <c r="Q413" i="4"/>
  <c r="R413" i="4" s="1"/>
  <c r="N413" i="4"/>
  <c r="M413" i="4"/>
  <c r="L413" i="4"/>
  <c r="K413" i="4"/>
  <c r="AI412" i="4"/>
  <c r="AF412" i="4"/>
  <c r="AB412" i="4"/>
  <c r="Q412" i="4"/>
  <c r="R412" i="4" s="1"/>
  <c r="N412" i="4"/>
  <c r="M412" i="4"/>
  <c r="L412" i="4"/>
  <c r="K412" i="4"/>
  <c r="AI411" i="4"/>
  <c r="AF411" i="4"/>
  <c r="AB411" i="4"/>
  <c r="Q411" i="4"/>
  <c r="R411" i="4" s="1"/>
  <c r="N411" i="4"/>
  <c r="M411" i="4"/>
  <c r="L411" i="4"/>
  <c r="K411" i="4"/>
  <c r="AI410" i="4"/>
  <c r="AF410" i="4"/>
  <c r="AB410" i="4"/>
  <c r="Q410" i="4"/>
  <c r="R410" i="4" s="1"/>
  <c r="N410" i="4"/>
  <c r="M410" i="4"/>
  <c r="L410" i="4"/>
  <c r="K410" i="4"/>
  <c r="AI409" i="4"/>
  <c r="AF409" i="4"/>
  <c r="AB409" i="4"/>
  <c r="Q409" i="4"/>
  <c r="R409" i="4" s="1"/>
  <c r="N409" i="4"/>
  <c r="M409" i="4"/>
  <c r="L409" i="4"/>
  <c r="K409" i="4"/>
  <c r="AI408" i="4"/>
  <c r="AF408" i="4"/>
  <c r="AB408" i="4"/>
  <c r="Q408" i="4"/>
  <c r="R408" i="4" s="1"/>
  <c r="N408" i="4"/>
  <c r="M408" i="4"/>
  <c r="L408" i="4"/>
  <c r="K408" i="4"/>
  <c r="AI407" i="4"/>
  <c r="AF407" i="4"/>
  <c r="AB407" i="4"/>
  <c r="Q407" i="4"/>
  <c r="R407" i="4" s="1"/>
  <c r="N407" i="4"/>
  <c r="M407" i="4"/>
  <c r="L407" i="4"/>
  <c r="K407" i="4"/>
  <c r="AI406" i="4"/>
  <c r="AF406" i="4"/>
  <c r="AB406" i="4"/>
  <c r="Q406" i="4"/>
  <c r="R406" i="4" s="1"/>
  <c r="N406" i="4"/>
  <c r="M406" i="4"/>
  <c r="L406" i="4"/>
  <c r="K406" i="4"/>
  <c r="AI405" i="4"/>
  <c r="AF405" i="4"/>
  <c r="AB405" i="4"/>
  <c r="Q405" i="4"/>
  <c r="R405" i="4" s="1"/>
  <c r="N405" i="4"/>
  <c r="M405" i="4"/>
  <c r="L405" i="4"/>
  <c r="K405" i="4"/>
  <c r="AI404" i="4"/>
  <c r="AF404" i="4"/>
  <c r="AB404" i="4"/>
  <c r="Q404" i="4"/>
  <c r="R404" i="4" s="1"/>
  <c r="N404" i="4"/>
  <c r="M404" i="4"/>
  <c r="L404" i="4"/>
  <c r="K404" i="4"/>
  <c r="AI403" i="4"/>
  <c r="AF403" i="4"/>
  <c r="AB403" i="4"/>
  <c r="Q403" i="4"/>
  <c r="R403" i="4" s="1"/>
  <c r="N403" i="4"/>
  <c r="M403" i="4"/>
  <c r="L403" i="4"/>
  <c r="K403" i="4"/>
  <c r="AI402" i="4"/>
  <c r="AF402" i="4"/>
  <c r="AB402" i="4"/>
  <c r="Q402" i="4"/>
  <c r="R402" i="4" s="1"/>
  <c r="N402" i="4"/>
  <c r="M402" i="4"/>
  <c r="L402" i="4"/>
  <c r="K402" i="4"/>
  <c r="AI401" i="4"/>
  <c r="AF401" i="4"/>
  <c r="AB401" i="4"/>
  <c r="Q401" i="4"/>
  <c r="R401" i="4" s="1"/>
  <c r="N401" i="4"/>
  <c r="M401" i="4"/>
  <c r="L401" i="4"/>
  <c r="K401" i="4"/>
  <c r="AI400" i="4"/>
  <c r="AF400" i="4"/>
  <c r="AB400" i="4"/>
  <c r="Q400" i="4"/>
  <c r="R400" i="4" s="1"/>
  <c r="N400" i="4"/>
  <c r="M400" i="4"/>
  <c r="L400" i="4"/>
  <c r="K400" i="4"/>
  <c r="AI399" i="4"/>
  <c r="AF399" i="4"/>
  <c r="AC399" i="4"/>
  <c r="AB399" i="4"/>
  <c r="Q399" i="4"/>
  <c r="R399" i="4" s="1"/>
  <c r="N399" i="4"/>
  <c r="M399" i="4"/>
  <c r="L399" i="4"/>
  <c r="K399" i="4"/>
  <c r="AI398" i="4"/>
  <c r="AF398" i="4"/>
  <c r="AB398" i="4"/>
  <c r="Q398" i="4"/>
  <c r="R398" i="4" s="1"/>
  <c r="N398" i="4"/>
  <c r="M398" i="4"/>
  <c r="L398" i="4"/>
  <c r="K398" i="4"/>
  <c r="AI397" i="4"/>
  <c r="AF397" i="4"/>
  <c r="AB397" i="4"/>
  <c r="Q397" i="4"/>
  <c r="R397" i="4" s="1"/>
  <c r="N397" i="4"/>
  <c r="M397" i="4"/>
  <c r="L397" i="4"/>
  <c r="K397" i="4"/>
  <c r="AI396" i="4"/>
  <c r="AF396" i="4"/>
  <c r="AB396" i="4"/>
  <c r="Q396" i="4"/>
  <c r="R396" i="4" s="1"/>
  <c r="N396" i="4"/>
  <c r="M396" i="4"/>
  <c r="L396" i="4"/>
  <c r="K396" i="4"/>
  <c r="AI395" i="4"/>
  <c r="AF395" i="4"/>
  <c r="AB395" i="4"/>
  <c r="Q395" i="4"/>
  <c r="R395" i="4" s="1"/>
  <c r="N395" i="4"/>
  <c r="M395" i="4"/>
  <c r="L395" i="4"/>
  <c r="K395" i="4"/>
  <c r="AI394" i="4"/>
  <c r="AF394" i="4"/>
  <c r="AB394" i="4"/>
  <c r="Q394" i="4"/>
  <c r="R394" i="4" s="1"/>
  <c r="N394" i="4"/>
  <c r="M394" i="4"/>
  <c r="L394" i="4"/>
  <c r="K394" i="4"/>
  <c r="AI393" i="4"/>
  <c r="AF393" i="4"/>
  <c r="AB393" i="4"/>
  <c r="Q393" i="4"/>
  <c r="R393" i="4" s="1"/>
  <c r="N393" i="4"/>
  <c r="M393" i="4"/>
  <c r="L393" i="4"/>
  <c r="K393" i="4"/>
  <c r="AI392" i="4"/>
  <c r="AF392" i="4"/>
  <c r="AC392" i="4"/>
  <c r="AB392" i="4"/>
  <c r="Q392" i="4"/>
  <c r="R392" i="4" s="1"/>
  <c r="N392" i="4"/>
  <c r="M392" i="4"/>
  <c r="L392" i="4"/>
  <c r="K392" i="4"/>
  <c r="AI391" i="4"/>
  <c r="AF391" i="4"/>
  <c r="AB391" i="4"/>
  <c r="Q391" i="4"/>
  <c r="R391" i="4" s="1"/>
  <c r="N391" i="4"/>
  <c r="M391" i="4"/>
  <c r="L391" i="4"/>
  <c r="K391" i="4"/>
  <c r="AI390" i="4"/>
  <c r="AF390" i="4"/>
  <c r="AB390" i="4"/>
  <c r="Q390" i="4"/>
  <c r="R390" i="4" s="1"/>
  <c r="N390" i="4"/>
  <c r="M390" i="4"/>
  <c r="L390" i="4"/>
  <c r="K390" i="4"/>
  <c r="AI389" i="4"/>
  <c r="AF389" i="4"/>
  <c r="AB389" i="4"/>
  <c r="Q389" i="4"/>
  <c r="R389" i="4" s="1"/>
  <c r="N389" i="4"/>
  <c r="M389" i="4"/>
  <c r="L389" i="4"/>
  <c r="K389" i="4"/>
  <c r="AI388" i="4"/>
  <c r="AF388" i="4"/>
  <c r="AB388" i="4"/>
  <c r="Q388" i="4"/>
  <c r="R388" i="4" s="1"/>
  <c r="N388" i="4"/>
  <c r="M388" i="4"/>
  <c r="L388" i="4"/>
  <c r="K388" i="4"/>
  <c r="AI387" i="4"/>
  <c r="AF387" i="4"/>
  <c r="AB387" i="4"/>
  <c r="Q387" i="4"/>
  <c r="R387" i="4" s="1"/>
  <c r="N387" i="4"/>
  <c r="M387" i="4"/>
  <c r="L387" i="4"/>
  <c r="K387" i="4"/>
  <c r="AI386" i="4"/>
  <c r="AF386" i="4"/>
  <c r="AB386" i="4"/>
  <c r="Q386" i="4"/>
  <c r="R386" i="4" s="1"/>
  <c r="N386" i="4"/>
  <c r="M386" i="4"/>
  <c r="L386" i="4"/>
  <c r="K386" i="4"/>
  <c r="AI385" i="4"/>
  <c r="AF385" i="4"/>
  <c r="AB385" i="4"/>
  <c r="Q385" i="4"/>
  <c r="R385" i="4" s="1"/>
  <c r="N385" i="4"/>
  <c r="M385" i="4"/>
  <c r="L385" i="4"/>
  <c r="K385" i="4"/>
  <c r="AI384" i="4"/>
  <c r="AF384" i="4"/>
  <c r="AB384" i="4"/>
  <c r="Q384" i="4"/>
  <c r="R384" i="4" s="1"/>
  <c r="N384" i="4"/>
  <c r="M384" i="4"/>
  <c r="L384" i="4"/>
  <c r="K384" i="4"/>
  <c r="AI383" i="4"/>
  <c r="AF383" i="4"/>
  <c r="AB383" i="4"/>
  <c r="Q383" i="4"/>
  <c r="R383" i="4" s="1"/>
  <c r="N383" i="4"/>
  <c r="M383" i="4"/>
  <c r="L383" i="4"/>
  <c r="K383" i="4"/>
  <c r="AI382" i="4"/>
  <c r="AF382" i="4"/>
  <c r="AB382" i="4"/>
  <c r="Q382" i="4"/>
  <c r="R382" i="4" s="1"/>
  <c r="N382" i="4"/>
  <c r="M382" i="4"/>
  <c r="L382" i="4"/>
  <c r="K382" i="4"/>
  <c r="AI381" i="4"/>
  <c r="AF381" i="4"/>
  <c r="AB381" i="4"/>
  <c r="Q381" i="4"/>
  <c r="R381" i="4" s="1"/>
  <c r="N381" i="4"/>
  <c r="M381" i="4"/>
  <c r="L381" i="4"/>
  <c r="K381" i="4"/>
  <c r="AI380" i="4"/>
  <c r="AF380" i="4"/>
  <c r="AC380" i="4"/>
  <c r="AB380" i="4"/>
  <c r="Q380" i="4"/>
  <c r="R380" i="4" s="1"/>
  <c r="N380" i="4"/>
  <c r="M380" i="4"/>
  <c r="L380" i="4"/>
  <c r="K380" i="4"/>
  <c r="AI379" i="4"/>
  <c r="AF379" i="4"/>
  <c r="AB379" i="4"/>
  <c r="Q379" i="4"/>
  <c r="R379" i="4" s="1"/>
  <c r="N379" i="4"/>
  <c r="M379" i="4"/>
  <c r="L379" i="4"/>
  <c r="K379" i="4"/>
  <c r="AI378" i="4"/>
  <c r="AF378" i="4"/>
  <c r="AB378" i="4"/>
  <c r="Q378" i="4"/>
  <c r="R378" i="4" s="1"/>
  <c r="N378" i="4"/>
  <c r="M378" i="4"/>
  <c r="L378" i="4"/>
  <c r="K378" i="4"/>
  <c r="AI377" i="4"/>
  <c r="AF377" i="4"/>
  <c r="AB377" i="4"/>
  <c r="Q377" i="4"/>
  <c r="R377" i="4" s="1"/>
  <c r="N377" i="4"/>
  <c r="M377" i="4"/>
  <c r="L377" i="4"/>
  <c r="K377" i="4"/>
  <c r="AI376" i="4"/>
  <c r="AF376" i="4"/>
  <c r="AB376" i="4"/>
  <c r="Q376" i="4"/>
  <c r="R376" i="4" s="1"/>
  <c r="N376" i="4"/>
  <c r="M376" i="4"/>
  <c r="L376" i="4"/>
  <c r="K376" i="4"/>
  <c r="AI375" i="4"/>
  <c r="AF375" i="4"/>
  <c r="AB375" i="4"/>
  <c r="Q375" i="4"/>
  <c r="R375" i="4" s="1"/>
  <c r="N375" i="4"/>
  <c r="M375" i="4"/>
  <c r="L375" i="4"/>
  <c r="K375" i="4"/>
  <c r="AI374" i="4"/>
  <c r="AF374" i="4"/>
  <c r="AB374" i="4"/>
  <c r="Q374" i="4"/>
  <c r="R374" i="4" s="1"/>
  <c r="N374" i="4"/>
  <c r="M374" i="4"/>
  <c r="L374" i="4"/>
  <c r="K374" i="4"/>
  <c r="AI373" i="4"/>
  <c r="AF373" i="4"/>
  <c r="AB373" i="4"/>
  <c r="Q373" i="4"/>
  <c r="R373" i="4" s="1"/>
  <c r="N373" i="4"/>
  <c r="M373" i="4"/>
  <c r="L373" i="4"/>
  <c r="K373" i="4"/>
  <c r="AI372" i="4"/>
  <c r="AF372" i="4"/>
  <c r="AB372" i="4"/>
  <c r="Q372" i="4"/>
  <c r="R372" i="4" s="1"/>
  <c r="N372" i="4"/>
  <c r="M372" i="4"/>
  <c r="L372" i="4"/>
  <c r="K372" i="4"/>
  <c r="AI371" i="4"/>
  <c r="AF371" i="4"/>
  <c r="AB371" i="4"/>
  <c r="Q371" i="4"/>
  <c r="R371" i="4" s="1"/>
  <c r="N371" i="4"/>
  <c r="M371" i="4"/>
  <c r="L371" i="4"/>
  <c r="K371" i="4"/>
  <c r="AI370" i="4"/>
  <c r="AF370" i="4"/>
  <c r="AB370" i="4"/>
  <c r="Q370" i="4"/>
  <c r="R370" i="4" s="1"/>
  <c r="N370" i="4"/>
  <c r="M370" i="4"/>
  <c r="L370" i="4"/>
  <c r="K370" i="4"/>
  <c r="AI369" i="4"/>
  <c r="AF369" i="4"/>
  <c r="AB369" i="4"/>
  <c r="Q369" i="4"/>
  <c r="R369" i="4" s="1"/>
  <c r="N369" i="4"/>
  <c r="M369" i="4"/>
  <c r="L369" i="4"/>
  <c r="K369" i="4"/>
  <c r="AI368" i="4"/>
  <c r="AF368" i="4"/>
  <c r="AB368" i="4"/>
  <c r="Q368" i="4"/>
  <c r="R368" i="4" s="1"/>
  <c r="N368" i="4"/>
  <c r="M368" i="4"/>
  <c r="L368" i="4"/>
  <c r="K368" i="4"/>
  <c r="AI367" i="4"/>
  <c r="AF367" i="4"/>
  <c r="AB367" i="4"/>
  <c r="Q367" i="4"/>
  <c r="R367" i="4" s="1"/>
  <c r="N367" i="4"/>
  <c r="M367" i="4"/>
  <c r="L367" i="4"/>
  <c r="K367" i="4"/>
  <c r="AI366" i="4"/>
  <c r="AF366" i="4"/>
  <c r="AB366" i="4"/>
  <c r="Q366" i="4"/>
  <c r="R366" i="4" s="1"/>
  <c r="N366" i="4"/>
  <c r="M366" i="4"/>
  <c r="L366" i="4"/>
  <c r="K366" i="4"/>
  <c r="AI365" i="4"/>
  <c r="AF365" i="4"/>
  <c r="AB365" i="4"/>
  <c r="Q365" i="4"/>
  <c r="R365" i="4" s="1"/>
  <c r="N365" i="4"/>
  <c r="M365" i="4"/>
  <c r="L365" i="4"/>
  <c r="K365" i="4"/>
  <c r="AI364" i="4"/>
  <c r="AF364" i="4"/>
  <c r="AB364" i="4"/>
  <c r="Q364" i="4"/>
  <c r="R364" i="4" s="1"/>
  <c r="N364" i="4"/>
  <c r="M364" i="4"/>
  <c r="L364" i="4"/>
  <c r="K364" i="4"/>
  <c r="AI363" i="4"/>
  <c r="AF363" i="4"/>
  <c r="AB363" i="4"/>
  <c r="Q363" i="4"/>
  <c r="R363" i="4" s="1"/>
  <c r="N363" i="4"/>
  <c r="M363" i="4"/>
  <c r="L363" i="4"/>
  <c r="K363" i="4"/>
  <c r="AI362" i="4"/>
  <c r="AF362" i="4"/>
  <c r="AB362" i="4"/>
  <c r="Q362" i="4"/>
  <c r="R362" i="4" s="1"/>
  <c r="N362" i="4"/>
  <c r="M362" i="4"/>
  <c r="L362" i="4"/>
  <c r="K362" i="4"/>
  <c r="AI361" i="4"/>
  <c r="AF361" i="4"/>
  <c r="AB361" i="4"/>
  <c r="Q361" i="4"/>
  <c r="R361" i="4" s="1"/>
  <c r="N361" i="4"/>
  <c r="M361" i="4"/>
  <c r="L361" i="4"/>
  <c r="K361" i="4"/>
  <c r="AI360" i="4"/>
  <c r="AF360" i="4"/>
  <c r="AB360" i="4"/>
  <c r="Q360" i="4"/>
  <c r="R360" i="4" s="1"/>
  <c r="N360" i="4"/>
  <c r="M360" i="4"/>
  <c r="L360" i="4"/>
  <c r="K360" i="4"/>
  <c r="AI359" i="4"/>
  <c r="AF359" i="4"/>
  <c r="AB359" i="4"/>
  <c r="Q359" i="4"/>
  <c r="R359" i="4" s="1"/>
  <c r="N359" i="4"/>
  <c r="M359" i="4"/>
  <c r="L359" i="4"/>
  <c r="K359" i="4"/>
  <c r="AI358" i="4"/>
  <c r="AF358" i="4"/>
  <c r="AB358" i="4"/>
  <c r="Q358" i="4"/>
  <c r="R358" i="4" s="1"/>
  <c r="N358" i="4"/>
  <c r="M358" i="4"/>
  <c r="L358" i="4"/>
  <c r="K358" i="4"/>
  <c r="AI357" i="4"/>
  <c r="AF357" i="4"/>
  <c r="AB357" i="4"/>
  <c r="Q357" i="4"/>
  <c r="R357" i="4" s="1"/>
  <c r="N357" i="4"/>
  <c r="M357" i="4"/>
  <c r="L357" i="4"/>
  <c r="K357" i="4"/>
  <c r="AI356" i="4"/>
  <c r="AF356" i="4"/>
  <c r="AB356" i="4"/>
  <c r="Q356" i="4"/>
  <c r="R356" i="4" s="1"/>
  <c r="N356" i="4"/>
  <c r="M356" i="4"/>
  <c r="L356" i="4"/>
  <c r="K356" i="4"/>
  <c r="AI355" i="4"/>
  <c r="AF355" i="4"/>
  <c r="AB355" i="4"/>
  <c r="Q355" i="4"/>
  <c r="R355" i="4" s="1"/>
  <c r="N355" i="4"/>
  <c r="M355" i="4"/>
  <c r="L355" i="4"/>
  <c r="K355" i="4"/>
  <c r="AI354" i="4"/>
  <c r="AF354" i="4"/>
  <c r="AB354" i="4"/>
  <c r="Q354" i="4"/>
  <c r="R354" i="4" s="1"/>
  <c r="N354" i="4"/>
  <c r="M354" i="4"/>
  <c r="L354" i="4"/>
  <c r="K354" i="4"/>
  <c r="AI353" i="4"/>
  <c r="AF353" i="4"/>
  <c r="AB353" i="4"/>
  <c r="Q353" i="4"/>
  <c r="R353" i="4" s="1"/>
  <c r="N353" i="4"/>
  <c r="M353" i="4"/>
  <c r="L353" i="4"/>
  <c r="K353" i="4"/>
  <c r="AI352" i="4"/>
  <c r="AF352" i="4"/>
  <c r="AB352" i="4"/>
  <c r="Q352" i="4"/>
  <c r="R352" i="4" s="1"/>
  <c r="N352" i="4"/>
  <c r="M352" i="4"/>
  <c r="L352" i="4"/>
  <c r="K352" i="4"/>
  <c r="AI351" i="4"/>
  <c r="AF351" i="4"/>
  <c r="AB351" i="4"/>
  <c r="Q351" i="4"/>
  <c r="R351" i="4" s="1"/>
  <c r="N351" i="4"/>
  <c r="M351" i="4"/>
  <c r="L351" i="4"/>
  <c r="K351" i="4"/>
  <c r="AI350" i="4"/>
  <c r="AF350" i="4"/>
  <c r="AB350" i="4"/>
  <c r="Q350" i="4"/>
  <c r="R350" i="4" s="1"/>
  <c r="N350" i="4"/>
  <c r="M350" i="4"/>
  <c r="L350" i="4"/>
  <c r="K350" i="4"/>
  <c r="AI349" i="4"/>
  <c r="AF349" i="4"/>
  <c r="AB349" i="4"/>
  <c r="Q349" i="4"/>
  <c r="R349" i="4" s="1"/>
  <c r="N349" i="4"/>
  <c r="M349" i="4"/>
  <c r="L349" i="4"/>
  <c r="K349" i="4"/>
  <c r="AI348" i="4"/>
  <c r="AF348" i="4"/>
  <c r="AB348" i="4"/>
  <c r="Q348" i="4"/>
  <c r="R348" i="4" s="1"/>
  <c r="N348" i="4"/>
  <c r="M348" i="4"/>
  <c r="L348" i="4"/>
  <c r="K348" i="4"/>
  <c r="AI347" i="4"/>
  <c r="AF347" i="4"/>
  <c r="AB347" i="4"/>
  <c r="Q347" i="4"/>
  <c r="R347" i="4" s="1"/>
  <c r="N347" i="4"/>
  <c r="M347" i="4"/>
  <c r="L347" i="4"/>
  <c r="K347" i="4"/>
  <c r="AI346" i="4"/>
  <c r="AF346" i="4"/>
  <c r="AB346" i="4"/>
  <c r="Q346" i="4"/>
  <c r="R346" i="4" s="1"/>
  <c r="N346" i="4"/>
  <c r="M346" i="4"/>
  <c r="L346" i="4"/>
  <c r="K346" i="4"/>
  <c r="AI345" i="4"/>
  <c r="AF345" i="4"/>
  <c r="AB345" i="4"/>
  <c r="Q345" i="4"/>
  <c r="R345" i="4" s="1"/>
  <c r="N345" i="4"/>
  <c r="M345" i="4"/>
  <c r="L345" i="4"/>
  <c r="K345" i="4"/>
  <c r="AI344" i="4"/>
  <c r="AF344" i="4"/>
  <c r="AB344" i="4"/>
  <c r="Q344" i="4"/>
  <c r="R344" i="4" s="1"/>
  <c r="N344" i="4"/>
  <c r="M344" i="4"/>
  <c r="L344" i="4"/>
  <c r="K344" i="4"/>
  <c r="AI343" i="4"/>
  <c r="AF343" i="4"/>
  <c r="AB343" i="4"/>
  <c r="Q343" i="4"/>
  <c r="R343" i="4" s="1"/>
  <c r="N343" i="4"/>
  <c r="M343" i="4"/>
  <c r="L343" i="4"/>
  <c r="K343" i="4"/>
  <c r="AI342" i="4"/>
  <c r="AF342" i="4"/>
  <c r="AB342" i="4"/>
  <c r="Q342" i="4"/>
  <c r="R342" i="4" s="1"/>
  <c r="N342" i="4"/>
  <c r="M342" i="4"/>
  <c r="L342" i="4"/>
  <c r="K342" i="4"/>
  <c r="AI341" i="4"/>
  <c r="AF341" i="4"/>
  <c r="AB341" i="4"/>
  <c r="Q341" i="4"/>
  <c r="R341" i="4" s="1"/>
  <c r="N341" i="4"/>
  <c r="M341" i="4"/>
  <c r="L341" i="4"/>
  <c r="K341" i="4"/>
  <c r="AI340" i="4"/>
  <c r="AF340" i="4"/>
  <c r="AB340" i="4"/>
  <c r="Q340" i="4"/>
  <c r="R340" i="4" s="1"/>
  <c r="N340" i="4"/>
  <c r="M340" i="4"/>
  <c r="L340" i="4"/>
  <c r="K340" i="4"/>
  <c r="AI339" i="4"/>
  <c r="AF339" i="4"/>
  <c r="AB339" i="4"/>
  <c r="Q339" i="4"/>
  <c r="R339" i="4" s="1"/>
  <c r="N339" i="4"/>
  <c r="M339" i="4"/>
  <c r="L339" i="4"/>
  <c r="K339" i="4"/>
  <c r="AI338" i="4"/>
  <c r="AF338" i="4"/>
  <c r="AB338" i="4"/>
  <c r="Q338" i="4"/>
  <c r="R338" i="4" s="1"/>
  <c r="N338" i="4"/>
  <c r="M338" i="4"/>
  <c r="L338" i="4"/>
  <c r="K338" i="4"/>
  <c r="AI337" i="4"/>
  <c r="AF337" i="4"/>
  <c r="AB337" i="4"/>
  <c r="Q337" i="4"/>
  <c r="R337" i="4" s="1"/>
  <c r="N337" i="4"/>
  <c r="M337" i="4"/>
  <c r="L337" i="4"/>
  <c r="K337" i="4"/>
  <c r="AI336" i="4"/>
  <c r="AF336" i="4"/>
  <c r="AB336" i="4"/>
  <c r="Q336" i="4"/>
  <c r="R336" i="4" s="1"/>
  <c r="N336" i="4"/>
  <c r="M336" i="4"/>
  <c r="L336" i="4"/>
  <c r="K336" i="4"/>
  <c r="AI335" i="4"/>
  <c r="AF335" i="4"/>
  <c r="AB335" i="4"/>
  <c r="Q335" i="4"/>
  <c r="R335" i="4" s="1"/>
  <c r="N335" i="4"/>
  <c r="M335" i="4"/>
  <c r="L335" i="4"/>
  <c r="K335" i="4"/>
  <c r="AI334" i="4"/>
  <c r="AF334" i="4"/>
  <c r="AB334" i="4"/>
  <c r="Q334" i="4"/>
  <c r="R334" i="4" s="1"/>
  <c r="N334" i="4"/>
  <c r="M334" i="4"/>
  <c r="L334" i="4"/>
  <c r="K334" i="4"/>
  <c r="AI333" i="4"/>
  <c r="AF333" i="4"/>
  <c r="AB333" i="4"/>
  <c r="Q333" i="4"/>
  <c r="R333" i="4" s="1"/>
  <c r="N333" i="4"/>
  <c r="M333" i="4"/>
  <c r="L333" i="4"/>
  <c r="K333" i="4"/>
  <c r="AI332" i="4"/>
  <c r="AF332" i="4"/>
  <c r="AB332" i="4"/>
  <c r="Q332" i="4"/>
  <c r="R332" i="4" s="1"/>
  <c r="N332" i="4"/>
  <c r="M332" i="4"/>
  <c r="L332" i="4"/>
  <c r="K332" i="4"/>
  <c r="AI331" i="4"/>
  <c r="AF331" i="4"/>
  <c r="AB331" i="4"/>
  <c r="Q331" i="4"/>
  <c r="R331" i="4" s="1"/>
  <c r="N331" i="4"/>
  <c r="M331" i="4"/>
  <c r="L331" i="4"/>
  <c r="K331" i="4"/>
  <c r="AI330" i="4"/>
  <c r="AF330" i="4"/>
  <c r="AB330" i="4"/>
  <c r="Q330" i="4"/>
  <c r="R330" i="4" s="1"/>
  <c r="N330" i="4"/>
  <c r="M330" i="4"/>
  <c r="L330" i="4"/>
  <c r="K330" i="4"/>
  <c r="AI329" i="4"/>
  <c r="AF329" i="4"/>
  <c r="AB329" i="4"/>
  <c r="Q329" i="4"/>
  <c r="R329" i="4" s="1"/>
  <c r="N329" i="4"/>
  <c r="M329" i="4"/>
  <c r="L329" i="4"/>
  <c r="K329" i="4"/>
  <c r="AI328" i="4"/>
  <c r="AF328" i="4"/>
  <c r="AB328" i="4"/>
  <c r="Q328" i="4"/>
  <c r="R328" i="4" s="1"/>
  <c r="N328" i="4"/>
  <c r="M328" i="4"/>
  <c r="L328" i="4"/>
  <c r="K328" i="4"/>
  <c r="AI327" i="4"/>
  <c r="AF327" i="4"/>
  <c r="AB327" i="4"/>
  <c r="Q327" i="4"/>
  <c r="R327" i="4" s="1"/>
  <c r="N327" i="4"/>
  <c r="M327" i="4"/>
  <c r="L327" i="4"/>
  <c r="K327" i="4"/>
  <c r="AI326" i="4"/>
  <c r="AF326" i="4"/>
  <c r="AC326" i="4"/>
  <c r="AB326" i="4"/>
  <c r="Q326" i="4"/>
  <c r="R326" i="4" s="1"/>
  <c r="N326" i="4"/>
  <c r="M326" i="4"/>
  <c r="L326" i="4"/>
  <c r="K326" i="4"/>
  <c r="AI325" i="4"/>
  <c r="AF325" i="4"/>
  <c r="AB325" i="4"/>
  <c r="Q325" i="4"/>
  <c r="R325" i="4" s="1"/>
  <c r="N325" i="4"/>
  <c r="M325" i="4"/>
  <c r="L325" i="4"/>
  <c r="K325" i="4"/>
  <c r="AI324" i="4"/>
  <c r="AF324" i="4"/>
  <c r="AB324" i="4"/>
  <c r="Q324" i="4"/>
  <c r="R324" i="4" s="1"/>
  <c r="N324" i="4"/>
  <c r="M324" i="4"/>
  <c r="L324" i="4"/>
  <c r="K324" i="4"/>
  <c r="AI323" i="4"/>
  <c r="AF323" i="4"/>
  <c r="AB323" i="4"/>
  <c r="Q323" i="4"/>
  <c r="R323" i="4" s="1"/>
  <c r="N323" i="4"/>
  <c r="M323" i="4"/>
  <c r="L323" i="4"/>
  <c r="K323" i="4"/>
  <c r="AI322" i="4"/>
  <c r="AF322" i="4"/>
  <c r="AB322" i="4"/>
  <c r="Q322" i="4"/>
  <c r="R322" i="4" s="1"/>
  <c r="N322" i="4"/>
  <c r="M322" i="4"/>
  <c r="L322" i="4"/>
  <c r="K322" i="4"/>
  <c r="AI321" i="4"/>
  <c r="AF321" i="4"/>
  <c r="AB321" i="4"/>
  <c r="Q321" i="4"/>
  <c r="R321" i="4" s="1"/>
  <c r="N321" i="4"/>
  <c r="M321" i="4"/>
  <c r="L321" i="4"/>
  <c r="K321" i="4"/>
  <c r="AI320" i="4"/>
  <c r="AF320" i="4"/>
  <c r="AB320" i="4"/>
  <c r="AC320" i="4" s="1"/>
  <c r="Q320" i="4"/>
  <c r="R320" i="4" s="1"/>
  <c r="N320" i="4"/>
  <c r="M320" i="4"/>
  <c r="L320" i="4"/>
  <c r="K320" i="4"/>
  <c r="AI319" i="4"/>
  <c r="AF319" i="4"/>
  <c r="AB319" i="4"/>
  <c r="Q319" i="4"/>
  <c r="R319" i="4" s="1"/>
  <c r="N319" i="4"/>
  <c r="M319" i="4"/>
  <c r="L319" i="4"/>
  <c r="K319" i="4"/>
  <c r="AI318" i="4"/>
  <c r="AF318" i="4"/>
  <c r="AB318" i="4"/>
  <c r="Q318" i="4"/>
  <c r="R318" i="4" s="1"/>
  <c r="N318" i="4"/>
  <c r="M318" i="4"/>
  <c r="L318" i="4"/>
  <c r="K318" i="4"/>
  <c r="AI317" i="4"/>
  <c r="AF317" i="4"/>
  <c r="AB317" i="4"/>
  <c r="Q317" i="4"/>
  <c r="R317" i="4" s="1"/>
  <c r="N317" i="4"/>
  <c r="M317" i="4"/>
  <c r="L317" i="4"/>
  <c r="K317" i="4"/>
  <c r="AI316" i="4"/>
  <c r="AF316" i="4"/>
  <c r="AB316" i="4"/>
  <c r="Q316" i="4"/>
  <c r="R316" i="4" s="1"/>
  <c r="N316" i="4"/>
  <c r="M316" i="4"/>
  <c r="L316" i="4"/>
  <c r="K316" i="4"/>
  <c r="AI315" i="4"/>
  <c r="AF315" i="4"/>
  <c r="AB315" i="4"/>
  <c r="Q315" i="4"/>
  <c r="R315" i="4" s="1"/>
  <c r="N315" i="4"/>
  <c r="M315" i="4"/>
  <c r="L315" i="4"/>
  <c r="K315" i="4"/>
  <c r="AI314" i="4"/>
  <c r="AF314" i="4"/>
  <c r="AB314" i="4"/>
  <c r="Q314" i="4"/>
  <c r="R314" i="4" s="1"/>
  <c r="N314" i="4"/>
  <c r="M314" i="4"/>
  <c r="L314" i="4"/>
  <c r="K314" i="4"/>
  <c r="AI313" i="4"/>
  <c r="AF313" i="4"/>
  <c r="AB313" i="4"/>
  <c r="Q313" i="4"/>
  <c r="R313" i="4" s="1"/>
  <c r="N313" i="4"/>
  <c r="M313" i="4"/>
  <c r="L313" i="4"/>
  <c r="K313" i="4"/>
  <c r="AI312" i="4"/>
  <c r="AF312" i="4"/>
  <c r="AB312" i="4"/>
  <c r="Q312" i="4"/>
  <c r="R312" i="4" s="1"/>
  <c r="N312" i="4"/>
  <c r="M312" i="4"/>
  <c r="L312" i="4"/>
  <c r="K312" i="4"/>
  <c r="AI311" i="4"/>
  <c r="AF311" i="4"/>
  <c r="AB311" i="4"/>
  <c r="Q311" i="4"/>
  <c r="R311" i="4" s="1"/>
  <c r="N311" i="4"/>
  <c r="M311" i="4"/>
  <c r="L311" i="4"/>
  <c r="K311" i="4"/>
  <c r="AI310" i="4"/>
  <c r="AF310" i="4"/>
  <c r="AB310" i="4"/>
  <c r="Q310" i="4"/>
  <c r="R310" i="4" s="1"/>
  <c r="N310" i="4"/>
  <c r="M310" i="4"/>
  <c r="L310" i="4"/>
  <c r="K310" i="4"/>
  <c r="AI309" i="4"/>
  <c r="AF309" i="4"/>
  <c r="AB309" i="4"/>
  <c r="Q309" i="4"/>
  <c r="R309" i="4" s="1"/>
  <c r="N309" i="4"/>
  <c r="M309" i="4"/>
  <c r="L309" i="4"/>
  <c r="K309" i="4"/>
  <c r="AI308" i="4"/>
  <c r="AF308" i="4"/>
  <c r="AB308" i="4"/>
  <c r="Q308" i="4"/>
  <c r="R308" i="4" s="1"/>
  <c r="N308" i="4"/>
  <c r="M308" i="4"/>
  <c r="L308" i="4"/>
  <c r="K308" i="4"/>
  <c r="AI307" i="4"/>
  <c r="AF307" i="4"/>
  <c r="AB307" i="4"/>
  <c r="Q307" i="4"/>
  <c r="R307" i="4" s="1"/>
  <c r="N307" i="4"/>
  <c r="M307" i="4"/>
  <c r="L307" i="4"/>
  <c r="K307" i="4"/>
  <c r="AI306" i="4"/>
  <c r="AF306" i="4"/>
  <c r="AB306" i="4"/>
  <c r="Q306" i="4"/>
  <c r="R306" i="4" s="1"/>
  <c r="N306" i="4"/>
  <c r="M306" i="4"/>
  <c r="L306" i="4"/>
  <c r="K306" i="4"/>
  <c r="AI305" i="4"/>
  <c r="AF305" i="4"/>
  <c r="AB305" i="4"/>
  <c r="Q305" i="4"/>
  <c r="R305" i="4" s="1"/>
  <c r="N305" i="4"/>
  <c r="M305" i="4"/>
  <c r="L305" i="4"/>
  <c r="K305" i="4"/>
  <c r="AI304" i="4"/>
  <c r="AF304" i="4"/>
  <c r="AB304" i="4"/>
  <c r="Q304" i="4"/>
  <c r="R304" i="4" s="1"/>
  <c r="N304" i="4"/>
  <c r="M304" i="4"/>
  <c r="L304" i="4"/>
  <c r="K304" i="4"/>
  <c r="AI303" i="4"/>
  <c r="AF303" i="4"/>
  <c r="AB303" i="4"/>
  <c r="Q303" i="4"/>
  <c r="R303" i="4" s="1"/>
  <c r="N303" i="4"/>
  <c r="M303" i="4"/>
  <c r="L303" i="4"/>
  <c r="K303" i="4"/>
  <c r="AI302" i="4"/>
  <c r="AF302" i="4"/>
  <c r="AB302" i="4"/>
  <c r="Q302" i="4"/>
  <c r="R302" i="4" s="1"/>
  <c r="N302" i="4"/>
  <c r="M302" i="4"/>
  <c r="L302" i="4"/>
  <c r="K302" i="4"/>
  <c r="AI301" i="4"/>
  <c r="AF301" i="4"/>
  <c r="AB301" i="4"/>
  <c r="Q301" i="4"/>
  <c r="R301" i="4" s="1"/>
  <c r="N301" i="4"/>
  <c r="M301" i="4"/>
  <c r="L301" i="4"/>
  <c r="K301" i="4"/>
  <c r="AI300" i="4"/>
  <c r="AF300" i="4"/>
  <c r="AB300" i="4"/>
  <c r="Q300" i="4"/>
  <c r="R300" i="4" s="1"/>
  <c r="N300" i="4"/>
  <c r="M300" i="4"/>
  <c r="L300" i="4"/>
  <c r="K300" i="4"/>
  <c r="AI299" i="4"/>
  <c r="AF299" i="4"/>
  <c r="AB299" i="4"/>
  <c r="Q299" i="4"/>
  <c r="R299" i="4" s="1"/>
  <c r="N299" i="4"/>
  <c r="M299" i="4"/>
  <c r="L299" i="4"/>
  <c r="K299" i="4"/>
  <c r="AI298" i="4"/>
  <c r="AF298" i="4"/>
  <c r="AB298" i="4"/>
  <c r="Q298" i="4"/>
  <c r="R298" i="4" s="1"/>
  <c r="N298" i="4"/>
  <c r="M298" i="4"/>
  <c r="L298" i="4"/>
  <c r="K298" i="4"/>
  <c r="AI297" i="4"/>
  <c r="AF297" i="4"/>
  <c r="AB297" i="4"/>
  <c r="Q297" i="4"/>
  <c r="R297" i="4" s="1"/>
  <c r="N297" i="4"/>
  <c r="M297" i="4"/>
  <c r="L297" i="4"/>
  <c r="K297" i="4"/>
  <c r="AI296" i="4"/>
  <c r="AF296" i="4"/>
  <c r="AB296" i="4"/>
  <c r="Q296" i="4"/>
  <c r="R296" i="4" s="1"/>
  <c r="N296" i="4"/>
  <c r="M296" i="4"/>
  <c r="L296" i="4"/>
  <c r="K296" i="4"/>
  <c r="AI295" i="4"/>
  <c r="AF295" i="4"/>
  <c r="AB295" i="4"/>
  <c r="Q295" i="4"/>
  <c r="R295" i="4" s="1"/>
  <c r="N295" i="4"/>
  <c r="M295" i="4"/>
  <c r="L295" i="4"/>
  <c r="K295" i="4"/>
  <c r="AI294" i="4"/>
  <c r="AF294" i="4"/>
  <c r="AB294" i="4"/>
  <c r="Q294" i="4"/>
  <c r="R294" i="4" s="1"/>
  <c r="N294" i="4"/>
  <c r="M294" i="4"/>
  <c r="L294" i="4"/>
  <c r="K294" i="4"/>
  <c r="AI293" i="4"/>
  <c r="AF293" i="4"/>
  <c r="AB293" i="4"/>
  <c r="Q293" i="4"/>
  <c r="R293" i="4" s="1"/>
  <c r="N293" i="4"/>
  <c r="M293" i="4"/>
  <c r="L293" i="4"/>
  <c r="K293" i="4"/>
  <c r="AI292" i="4"/>
  <c r="AF292" i="4"/>
  <c r="AB292" i="4"/>
  <c r="Q292" i="4"/>
  <c r="R292" i="4" s="1"/>
  <c r="N292" i="4"/>
  <c r="M292" i="4"/>
  <c r="L292" i="4"/>
  <c r="K292" i="4"/>
  <c r="AI291" i="4"/>
  <c r="AF291" i="4"/>
  <c r="AB291" i="4"/>
  <c r="Q291" i="4"/>
  <c r="R291" i="4" s="1"/>
  <c r="N291" i="4"/>
  <c r="M291" i="4"/>
  <c r="L291" i="4"/>
  <c r="K291" i="4"/>
  <c r="AI290" i="4"/>
  <c r="AF290" i="4"/>
  <c r="AB290" i="4"/>
  <c r="Q290" i="4"/>
  <c r="R290" i="4" s="1"/>
  <c r="N290" i="4"/>
  <c r="M290" i="4"/>
  <c r="L290" i="4"/>
  <c r="K290" i="4"/>
  <c r="AI289" i="4"/>
  <c r="AF289" i="4"/>
  <c r="AB289" i="4"/>
  <c r="Q289" i="4"/>
  <c r="R289" i="4" s="1"/>
  <c r="N289" i="4"/>
  <c r="M289" i="4"/>
  <c r="L289" i="4"/>
  <c r="K289" i="4"/>
  <c r="AI288" i="4"/>
  <c r="AF288" i="4"/>
  <c r="AB288" i="4"/>
  <c r="Q288" i="4"/>
  <c r="R288" i="4" s="1"/>
  <c r="N288" i="4"/>
  <c r="M288" i="4"/>
  <c r="L288" i="4"/>
  <c r="K288" i="4"/>
  <c r="AI287" i="4"/>
  <c r="AF287" i="4"/>
  <c r="AB287" i="4"/>
  <c r="Q287" i="4"/>
  <c r="R287" i="4" s="1"/>
  <c r="N287" i="4"/>
  <c r="M287" i="4"/>
  <c r="L287" i="4"/>
  <c r="K287" i="4"/>
  <c r="AI286" i="4"/>
  <c r="AF286" i="4"/>
  <c r="AB286" i="4"/>
  <c r="Q286" i="4"/>
  <c r="R286" i="4" s="1"/>
  <c r="N286" i="4"/>
  <c r="M286" i="4"/>
  <c r="L286" i="4"/>
  <c r="K286" i="4"/>
  <c r="AI285" i="4"/>
  <c r="AF285" i="4"/>
  <c r="AB285" i="4"/>
  <c r="Q285" i="4"/>
  <c r="R285" i="4" s="1"/>
  <c r="N285" i="4"/>
  <c r="M285" i="4"/>
  <c r="L285" i="4"/>
  <c r="K285" i="4"/>
  <c r="AI284" i="4"/>
  <c r="AF284" i="4"/>
  <c r="AB284" i="4"/>
  <c r="Q284" i="4"/>
  <c r="R284" i="4" s="1"/>
  <c r="N284" i="4"/>
  <c r="M284" i="4"/>
  <c r="L284" i="4"/>
  <c r="K284" i="4"/>
  <c r="AI283" i="4"/>
  <c r="AF283" i="4"/>
  <c r="AB283" i="4"/>
  <c r="Q283" i="4"/>
  <c r="R283" i="4" s="1"/>
  <c r="N283" i="4"/>
  <c r="M283" i="4"/>
  <c r="L283" i="4"/>
  <c r="K283" i="4"/>
  <c r="AI282" i="4"/>
  <c r="AF282" i="4"/>
  <c r="AB282" i="4"/>
  <c r="Q282" i="4"/>
  <c r="R282" i="4" s="1"/>
  <c r="N282" i="4"/>
  <c r="M282" i="4"/>
  <c r="L282" i="4"/>
  <c r="K282" i="4"/>
  <c r="AI281" i="4"/>
  <c r="AF281" i="4"/>
  <c r="AB281" i="4"/>
  <c r="Q281" i="4"/>
  <c r="R281" i="4" s="1"/>
  <c r="N281" i="4"/>
  <c r="M281" i="4"/>
  <c r="L281" i="4"/>
  <c r="K281" i="4"/>
  <c r="AI280" i="4"/>
  <c r="AF280" i="4"/>
  <c r="AB280" i="4"/>
  <c r="Q280" i="4"/>
  <c r="R280" i="4" s="1"/>
  <c r="N280" i="4"/>
  <c r="M280" i="4"/>
  <c r="L280" i="4"/>
  <c r="K280" i="4"/>
  <c r="AI279" i="4"/>
  <c r="AF279" i="4"/>
  <c r="AB279" i="4"/>
  <c r="Q279" i="4"/>
  <c r="R279" i="4" s="1"/>
  <c r="N279" i="4"/>
  <c r="M279" i="4"/>
  <c r="L279" i="4"/>
  <c r="K279" i="4"/>
  <c r="AI278" i="4"/>
  <c r="AF278" i="4"/>
  <c r="AB278" i="4"/>
  <c r="Q278" i="4"/>
  <c r="R278" i="4" s="1"/>
  <c r="N278" i="4"/>
  <c r="M278" i="4"/>
  <c r="L278" i="4"/>
  <c r="K278" i="4"/>
  <c r="AI277" i="4"/>
  <c r="AF277" i="4"/>
  <c r="AB277" i="4"/>
  <c r="Q277" i="4"/>
  <c r="R277" i="4" s="1"/>
  <c r="N277" i="4"/>
  <c r="M277" i="4"/>
  <c r="L277" i="4"/>
  <c r="K277" i="4"/>
  <c r="AI276" i="4"/>
  <c r="AF276" i="4"/>
  <c r="AB276" i="4"/>
  <c r="Q276" i="4"/>
  <c r="R276" i="4" s="1"/>
  <c r="N276" i="4"/>
  <c r="M276" i="4"/>
  <c r="L276" i="4"/>
  <c r="K276" i="4"/>
  <c r="AI275" i="4"/>
  <c r="AF275" i="4"/>
  <c r="AB275" i="4"/>
  <c r="Q275" i="4"/>
  <c r="R275" i="4" s="1"/>
  <c r="N275" i="4"/>
  <c r="M275" i="4"/>
  <c r="L275" i="4"/>
  <c r="K275" i="4"/>
  <c r="AI274" i="4"/>
  <c r="AF274" i="4"/>
  <c r="AB274" i="4"/>
  <c r="Q274" i="4"/>
  <c r="R274" i="4" s="1"/>
  <c r="N274" i="4"/>
  <c r="M274" i="4"/>
  <c r="L274" i="4"/>
  <c r="K274" i="4"/>
  <c r="AI273" i="4"/>
  <c r="AF273" i="4"/>
  <c r="AB273" i="4"/>
  <c r="Q273" i="4"/>
  <c r="R273" i="4" s="1"/>
  <c r="N273" i="4"/>
  <c r="M273" i="4"/>
  <c r="L273" i="4"/>
  <c r="K273" i="4"/>
  <c r="AI272" i="4"/>
  <c r="AF272" i="4"/>
  <c r="AB272" i="4"/>
  <c r="Q272" i="4"/>
  <c r="R272" i="4" s="1"/>
  <c r="N272" i="4"/>
  <c r="M272" i="4"/>
  <c r="L272" i="4"/>
  <c r="K272" i="4"/>
  <c r="AI271" i="4"/>
  <c r="AF271" i="4"/>
  <c r="AB271" i="4"/>
  <c r="Q271" i="4"/>
  <c r="R271" i="4" s="1"/>
  <c r="N271" i="4"/>
  <c r="M271" i="4"/>
  <c r="L271" i="4"/>
  <c r="K271" i="4"/>
  <c r="AI270" i="4"/>
  <c r="AF270" i="4"/>
  <c r="AB270" i="4"/>
  <c r="Q270" i="4"/>
  <c r="R270" i="4" s="1"/>
  <c r="N270" i="4"/>
  <c r="M270" i="4"/>
  <c r="L270" i="4"/>
  <c r="K270" i="4"/>
  <c r="AI269" i="4"/>
  <c r="AF269" i="4"/>
  <c r="AB269" i="4"/>
  <c r="Q269" i="4"/>
  <c r="R269" i="4" s="1"/>
  <c r="N269" i="4"/>
  <c r="M269" i="4"/>
  <c r="L269" i="4"/>
  <c r="K269" i="4"/>
  <c r="AI268" i="4"/>
  <c r="AF268" i="4"/>
  <c r="AB268" i="4"/>
  <c r="Q268" i="4"/>
  <c r="R268" i="4" s="1"/>
  <c r="N268" i="4"/>
  <c r="M268" i="4"/>
  <c r="L268" i="4"/>
  <c r="K268" i="4"/>
  <c r="AI267" i="4"/>
  <c r="AF267" i="4"/>
  <c r="AB267" i="4"/>
  <c r="Q267" i="4"/>
  <c r="R267" i="4" s="1"/>
  <c r="N267" i="4"/>
  <c r="M267" i="4"/>
  <c r="L267" i="4"/>
  <c r="K267" i="4"/>
  <c r="AI266" i="4"/>
  <c r="AF266" i="4"/>
  <c r="AB266" i="4"/>
  <c r="Q266" i="4"/>
  <c r="R266" i="4" s="1"/>
  <c r="N266" i="4"/>
  <c r="M266" i="4"/>
  <c r="L266" i="4"/>
  <c r="K266" i="4"/>
  <c r="AI265" i="4"/>
  <c r="AF265" i="4"/>
  <c r="AB265" i="4"/>
  <c r="Q265" i="4"/>
  <c r="R265" i="4" s="1"/>
  <c r="N265" i="4"/>
  <c r="M265" i="4"/>
  <c r="L265" i="4"/>
  <c r="K265" i="4"/>
  <c r="AI264" i="4"/>
  <c r="AF264" i="4"/>
  <c r="AB264" i="4"/>
  <c r="Q264" i="4"/>
  <c r="R264" i="4" s="1"/>
  <c r="N264" i="4"/>
  <c r="M264" i="4"/>
  <c r="L264" i="4"/>
  <c r="K264" i="4"/>
  <c r="AI263" i="4"/>
  <c r="AF263" i="4"/>
  <c r="AB263" i="4"/>
  <c r="Q263" i="4"/>
  <c r="R263" i="4" s="1"/>
  <c r="N263" i="4"/>
  <c r="M263" i="4"/>
  <c r="L263" i="4"/>
  <c r="K263" i="4"/>
  <c r="AI262" i="4"/>
  <c r="AF262" i="4"/>
  <c r="AB262" i="4"/>
  <c r="Q262" i="4"/>
  <c r="R262" i="4" s="1"/>
  <c r="N262" i="4"/>
  <c r="M262" i="4"/>
  <c r="L262" i="4"/>
  <c r="K262" i="4"/>
  <c r="AI261" i="4"/>
  <c r="AF261" i="4"/>
  <c r="AB261" i="4"/>
  <c r="Q261" i="4"/>
  <c r="R261" i="4" s="1"/>
  <c r="N261" i="4"/>
  <c r="M261" i="4"/>
  <c r="L261" i="4"/>
  <c r="K261" i="4"/>
  <c r="AI260" i="4"/>
  <c r="AF260" i="4"/>
  <c r="AB260" i="4"/>
  <c r="Q260" i="4"/>
  <c r="R260" i="4" s="1"/>
  <c r="N260" i="4"/>
  <c r="M260" i="4"/>
  <c r="L260" i="4"/>
  <c r="K260" i="4"/>
  <c r="AI259" i="4"/>
  <c r="AF259" i="4"/>
  <c r="AB259" i="4"/>
  <c r="Q259" i="4"/>
  <c r="R259" i="4" s="1"/>
  <c r="N259" i="4"/>
  <c r="M259" i="4"/>
  <c r="L259" i="4"/>
  <c r="K259" i="4"/>
  <c r="AI258" i="4"/>
  <c r="AF258" i="4"/>
  <c r="AB258" i="4"/>
  <c r="Q258" i="4"/>
  <c r="R258" i="4" s="1"/>
  <c r="N258" i="4"/>
  <c r="M258" i="4"/>
  <c r="L258" i="4"/>
  <c r="K258" i="4"/>
  <c r="AI257" i="4"/>
  <c r="AF257" i="4"/>
  <c r="AB257" i="4"/>
  <c r="Q257" i="4"/>
  <c r="R257" i="4" s="1"/>
  <c r="N257" i="4"/>
  <c r="M257" i="4"/>
  <c r="L257" i="4"/>
  <c r="K257" i="4"/>
  <c r="AI256" i="4"/>
  <c r="AF256" i="4"/>
  <c r="AB256" i="4"/>
  <c r="Q256" i="4"/>
  <c r="R256" i="4" s="1"/>
  <c r="N256" i="4"/>
  <c r="M256" i="4"/>
  <c r="L256" i="4"/>
  <c r="K256" i="4"/>
  <c r="AI255" i="4"/>
  <c r="AF255" i="4"/>
  <c r="AB255" i="4"/>
  <c r="Q255" i="4"/>
  <c r="R255" i="4" s="1"/>
  <c r="N255" i="4"/>
  <c r="M255" i="4"/>
  <c r="L255" i="4"/>
  <c r="K255" i="4"/>
  <c r="AI254" i="4"/>
  <c r="AF254" i="4"/>
  <c r="AB254" i="4"/>
  <c r="Q254" i="4"/>
  <c r="R254" i="4" s="1"/>
  <c r="N254" i="4"/>
  <c r="M254" i="4"/>
  <c r="L254" i="4"/>
  <c r="K254" i="4"/>
  <c r="AI253" i="4"/>
  <c r="AF253" i="4"/>
  <c r="AB253" i="4"/>
  <c r="Q253" i="4"/>
  <c r="R253" i="4" s="1"/>
  <c r="N253" i="4"/>
  <c r="M253" i="4"/>
  <c r="L253" i="4"/>
  <c r="K253" i="4"/>
  <c r="AI252" i="4"/>
  <c r="AF252" i="4"/>
  <c r="AB252" i="4"/>
  <c r="Q252" i="4"/>
  <c r="R252" i="4" s="1"/>
  <c r="N252" i="4"/>
  <c r="M252" i="4"/>
  <c r="L252" i="4"/>
  <c r="K252" i="4"/>
  <c r="AI251" i="4"/>
  <c r="AF251" i="4"/>
  <c r="AB251" i="4"/>
  <c r="Q251" i="4"/>
  <c r="R251" i="4" s="1"/>
  <c r="N251" i="4"/>
  <c r="M251" i="4"/>
  <c r="L251" i="4"/>
  <c r="K251" i="4"/>
  <c r="AI250" i="4"/>
  <c r="AF250" i="4"/>
  <c r="AB250" i="4"/>
  <c r="Q250" i="4"/>
  <c r="R250" i="4" s="1"/>
  <c r="N250" i="4"/>
  <c r="M250" i="4"/>
  <c r="L250" i="4"/>
  <c r="K250" i="4"/>
  <c r="AI249" i="4"/>
  <c r="AF249" i="4"/>
  <c r="AC249" i="4"/>
  <c r="AB249" i="4"/>
  <c r="Q249" i="4"/>
  <c r="R249" i="4" s="1"/>
  <c r="N249" i="4"/>
  <c r="M249" i="4"/>
  <c r="L249" i="4"/>
  <c r="K249" i="4"/>
  <c r="AI248" i="4"/>
  <c r="AF248" i="4"/>
  <c r="AB248" i="4"/>
  <c r="Q248" i="4"/>
  <c r="R248" i="4" s="1"/>
  <c r="N248" i="4"/>
  <c r="M248" i="4"/>
  <c r="L248" i="4"/>
  <c r="K248" i="4"/>
  <c r="AI247" i="4"/>
  <c r="AF247" i="4"/>
  <c r="AB247" i="4"/>
  <c r="Q247" i="4"/>
  <c r="R247" i="4" s="1"/>
  <c r="N247" i="4"/>
  <c r="M247" i="4"/>
  <c r="L247" i="4"/>
  <c r="K247" i="4"/>
  <c r="AI246" i="4"/>
  <c r="AF246" i="4"/>
  <c r="AB246" i="4"/>
  <c r="Q246" i="4"/>
  <c r="R246" i="4" s="1"/>
  <c r="N246" i="4"/>
  <c r="M246" i="4"/>
  <c r="L246" i="4"/>
  <c r="K246" i="4"/>
  <c r="AI245" i="4"/>
  <c r="AF245" i="4"/>
  <c r="AB245" i="4"/>
  <c r="Q245" i="4"/>
  <c r="R245" i="4" s="1"/>
  <c r="N245" i="4"/>
  <c r="M245" i="4"/>
  <c r="L245" i="4"/>
  <c r="K245" i="4"/>
  <c r="AI244" i="4"/>
  <c r="AF244" i="4"/>
  <c r="AB244" i="4"/>
  <c r="Q244" i="4"/>
  <c r="R244" i="4" s="1"/>
  <c r="N244" i="4"/>
  <c r="M244" i="4"/>
  <c r="L244" i="4"/>
  <c r="K244" i="4"/>
  <c r="AI243" i="4"/>
  <c r="AF243" i="4"/>
  <c r="AB243" i="4"/>
  <c r="Q243" i="4"/>
  <c r="R243" i="4" s="1"/>
  <c r="N243" i="4"/>
  <c r="M243" i="4"/>
  <c r="L243" i="4"/>
  <c r="K243" i="4"/>
  <c r="AI242" i="4"/>
  <c r="AF242" i="4"/>
  <c r="AB242" i="4"/>
  <c r="Q242" i="4"/>
  <c r="R242" i="4" s="1"/>
  <c r="N242" i="4"/>
  <c r="M242" i="4"/>
  <c r="L242" i="4"/>
  <c r="K242" i="4"/>
  <c r="AI241" i="4"/>
  <c r="AF241" i="4"/>
  <c r="AB241" i="4"/>
  <c r="Q241" i="4"/>
  <c r="R241" i="4" s="1"/>
  <c r="N241" i="4"/>
  <c r="M241" i="4"/>
  <c r="L241" i="4"/>
  <c r="K241" i="4"/>
  <c r="AI240" i="4"/>
  <c r="AF240" i="4"/>
  <c r="AB240" i="4"/>
  <c r="Q240" i="4"/>
  <c r="R240" i="4" s="1"/>
  <c r="N240" i="4"/>
  <c r="M240" i="4"/>
  <c r="L240" i="4"/>
  <c r="K240" i="4"/>
  <c r="AI239" i="4"/>
  <c r="AF239" i="4"/>
  <c r="AB239" i="4"/>
  <c r="Q239" i="4"/>
  <c r="R239" i="4" s="1"/>
  <c r="N239" i="4"/>
  <c r="M239" i="4"/>
  <c r="L239" i="4"/>
  <c r="K239" i="4"/>
  <c r="AI238" i="4"/>
  <c r="AF238" i="4"/>
  <c r="AB238" i="4"/>
  <c r="Q238" i="4"/>
  <c r="R238" i="4" s="1"/>
  <c r="N238" i="4"/>
  <c r="M238" i="4"/>
  <c r="L238" i="4"/>
  <c r="K238" i="4"/>
  <c r="AI237" i="4"/>
  <c r="AF237" i="4"/>
  <c r="AB237" i="4"/>
  <c r="Q237" i="4"/>
  <c r="R237" i="4" s="1"/>
  <c r="N237" i="4"/>
  <c r="M237" i="4"/>
  <c r="L237" i="4"/>
  <c r="K237" i="4"/>
  <c r="AI236" i="4"/>
  <c r="AF236" i="4"/>
  <c r="AB236" i="4"/>
  <c r="Q236" i="4"/>
  <c r="R236" i="4" s="1"/>
  <c r="N236" i="4"/>
  <c r="M236" i="4"/>
  <c r="L236" i="4"/>
  <c r="K236" i="4"/>
  <c r="AI235" i="4"/>
  <c r="AF235" i="4"/>
  <c r="AB235" i="4"/>
  <c r="Q235" i="4"/>
  <c r="R235" i="4" s="1"/>
  <c r="N235" i="4"/>
  <c r="M235" i="4"/>
  <c r="L235" i="4"/>
  <c r="K235" i="4"/>
  <c r="AI234" i="4"/>
  <c r="AF234" i="4"/>
  <c r="AB234" i="4"/>
  <c r="Q234" i="4"/>
  <c r="R234" i="4" s="1"/>
  <c r="N234" i="4"/>
  <c r="M234" i="4"/>
  <c r="L234" i="4"/>
  <c r="K234" i="4"/>
  <c r="AI233" i="4"/>
  <c r="AF233" i="4"/>
  <c r="AB233" i="4"/>
  <c r="Q233" i="4"/>
  <c r="R233" i="4" s="1"/>
  <c r="N233" i="4"/>
  <c r="M233" i="4"/>
  <c r="L233" i="4"/>
  <c r="K233" i="4"/>
  <c r="AI232" i="4"/>
  <c r="AF232" i="4"/>
  <c r="AB232" i="4"/>
  <c r="Q232" i="4"/>
  <c r="R232" i="4" s="1"/>
  <c r="N232" i="4"/>
  <c r="M232" i="4"/>
  <c r="L232" i="4"/>
  <c r="K232" i="4"/>
  <c r="AI231" i="4"/>
  <c r="AF231" i="4"/>
  <c r="AB231" i="4"/>
  <c r="Q231" i="4"/>
  <c r="R231" i="4" s="1"/>
  <c r="N231" i="4"/>
  <c r="M231" i="4"/>
  <c r="L231" i="4"/>
  <c r="K231" i="4"/>
  <c r="AI230" i="4"/>
  <c r="AF230" i="4"/>
  <c r="AB230" i="4"/>
  <c r="Q230" i="4"/>
  <c r="R230" i="4" s="1"/>
  <c r="N230" i="4"/>
  <c r="M230" i="4"/>
  <c r="L230" i="4"/>
  <c r="K230" i="4"/>
  <c r="AI229" i="4"/>
  <c r="AF229" i="4"/>
  <c r="AB229" i="4"/>
  <c r="Q229" i="4"/>
  <c r="R229" i="4" s="1"/>
  <c r="N229" i="4"/>
  <c r="M229" i="4"/>
  <c r="L229" i="4"/>
  <c r="K229" i="4"/>
  <c r="AI228" i="4"/>
  <c r="AF228" i="4"/>
  <c r="AB228" i="4"/>
  <c r="Q228" i="4"/>
  <c r="R228" i="4" s="1"/>
  <c r="N228" i="4"/>
  <c r="M228" i="4"/>
  <c r="L228" i="4"/>
  <c r="K228" i="4"/>
  <c r="AI227" i="4"/>
  <c r="AF227" i="4"/>
  <c r="AB227" i="4"/>
  <c r="Q227" i="4"/>
  <c r="R227" i="4" s="1"/>
  <c r="N227" i="4"/>
  <c r="M227" i="4"/>
  <c r="L227" i="4"/>
  <c r="K227" i="4"/>
  <c r="AI226" i="4"/>
  <c r="AF226" i="4"/>
  <c r="AB226" i="4"/>
  <c r="Q226" i="4"/>
  <c r="R226" i="4" s="1"/>
  <c r="N226" i="4"/>
  <c r="M226" i="4"/>
  <c r="L226" i="4"/>
  <c r="K226" i="4"/>
  <c r="AI225" i="4"/>
  <c r="AF225" i="4"/>
  <c r="AB225" i="4"/>
  <c r="Q225" i="4"/>
  <c r="R225" i="4" s="1"/>
  <c r="N225" i="4"/>
  <c r="M225" i="4"/>
  <c r="L225" i="4"/>
  <c r="K225" i="4"/>
  <c r="AI224" i="4"/>
  <c r="AF224" i="4"/>
  <c r="AB224" i="4"/>
  <c r="Q224" i="4"/>
  <c r="R224" i="4" s="1"/>
  <c r="N224" i="4"/>
  <c r="M224" i="4"/>
  <c r="L224" i="4"/>
  <c r="K224" i="4"/>
  <c r="AI223" i="4"/>
  <c r="AF223" i="4"/>
  <c r="AB223" i="4"/>
  <c r="Q223" i="4"/>
  <c r="R223" i="4" s="1"/>
  <c r="N223" i="4"/>
  <c r="M223" i="4"/>
  <c r="L223" i="4"/>
  <c r="K223" i="4"/>
  <c r="AI222" i="4"/>
  <c r="AF222" i="4"/>
  <c r="AB222" i="4"/>
  <c r="Q222" i="4"/>
  <c r="R222" i="4" s="1"/>
  <c r="N222" i="4"/>
  <c r="M222" i="4"/>
  <c r="L222" i="4"/>
  <c r="K222" i="4"/>
  <c r="AI221" i="4"/>
  <c r="AF221" i="4"/>
  <c r="AB221" i="4"/>
  <c r="Q221" i="4"/>
  <c r="R221" i="4" s="1"/>
  <c r="N221" i="4"/>
  <c r="M221" i="4"/>
  <c r="L221" i="4"/>
  <c r="K221" i="4"/>
  <c r="AI220" i="4"/>
  <c r="AF220" i="4"/>
  <c r="AB220" i="4"/>
  <c r="Q220" i="4"/>
  <c r="R220" i="4" s="1"/>
  <c r="N220" i="4"/>
  <c r="M220" i="4"/>
  <c r="L220" i="4"/>
  <c r="K220" i="4"/>
  <c r="AI219" i="4"/>
  <c r="AF219" i="4"/>
  <c r="AB219" i="4"/>
  <c r="Q219" i="4"/>
  <c r="R219" i="4" s="1"/>
  <c r="N219" i="4"/>
  <c r="M219" i="4"/>
  <c r="L219" i="4"/>
  <c r="K219" i="4"/>
  <c r="AI218" i="4"/>
  <c r="AF218" i="4"/>
  <c r="AB218" i="4"/>
  <c r="Q218" i="4"/>
  <c r="R218" i="4" s="1"/>
  <c r="N218" i="4"/>
  <c r="M218" i="4"/>
  <c r="L218" i="4"/>
  <c r="K218" i="4"/>
  <c r="AI217" i="4"/>
  <c r="AF217" i="4"/>
  <c r="AB217" i="4"/>
  <c r="Q217" i="4"/>
  <c r="R217" i="4" s="1"/>
  <c r="N217" i="4"/>
  <c r="M217" i="4"/>
  <c r="L217" i="4"/>
  <c r="K217" i="4"/>
  <c r="AI216" i="4"/>
  <c r="AF216" i="4"/>
  <c r="AB216" i="4"/>
  <c r="Q216" i="4"/>
  <c r="R216" i="4" s="1"/>
  <c r="N216" i="4"/>
  <c r="M216" i="4"/>
  <c r="L216" i="4"/>
  <c r="K216" i="4"/>
  <c r="AI215" i="4"/>
  <c r="AF215" i="4"/>
  <c r="AB215" i="4"/>
  <c r="Q215" i="4"/>
  <c r="R215" i="4" s="1"/>
  <c r="N215" i="4"/>
  <c r="M215" i="4"/>
  <c r="L215" i="4"/>
  <c r="K215" i="4"/>
  <c r="AI214" i="4"/>
  <c r="AF214" i="4"/>
  <c r="AB214" i="4"/>
  <c r="Q214" i="4"/>
  <c r="R214" i="4" s="1"/>
  <c r="N214" i="4"/>
  <c r="M214" i="4"/>
  <c r="L214" i="4"/>
  <c r="K214" i="4"/>
  <c r="AI213" i="4"/>
  <c r="AF213" i="4"/>
  <c r="AB213" i="4"/>
  <c r="Q213" i="4"/>
  <c r="R213" i="4" s="1"/>
  <c r="N213" i="4"/>
  <c r="M213" i="4"/>
  <c r="L213" i="4"/>
  <c r="K213" i="4"/>
  <c r="AI212" i="4"/>
  <c r="AF212" i="4"/>
  <c r="AB212" i="4"/>
  <c r="Q212" i="4"/>
  <c r="R212" i="4" s="1"/>
  <c r="N212" i="4"/>
  <c r="M212" i="4"/>
  <c r="L212" i="4"/>
  <c r="K212" i="4"/>
  <c r="AI211" i="4"/>
  <c r="AF211" i="4"/>
  <c r="AB211" i="4"/>
  <c r="Q211" i="4"/>
  <c r="R211" i="4" s="1"/>
  <c r="N211" i="4"/>
  <c r="M211" i="4"/>
  <c r="L211" i="4"/>
  <c r="K211" i="4"/>
  <c r="AI210" i="4"/>
  <c r="AF210" i="4"/>
  <c r="AB210" i="4"/>
  <c r="Q210" i="4"/>
  <c r="R210" i="4" s="1"/>
  <c r="N210" i="4"/>
  <c r="M210" i="4"/>
  <c r="L210" i="4"/>
  <c r="K210" i="4"/>
  <c r="AI209" i="4"/>
  <c r="AF209" i="4"/>
  <c r="AB209" i="4"/>
  <c r="Q209" i="4"/>
  <c r="R209" i="4" s="1"/>
  <c r="N209" i="4"/>
  <c r="M209" i="4"/>
  <c r="L209" i="4"/>
  <c r="K209" i="4"/>
  <c r="AI208" i="4"/>
  <c r="AF208" i="4"/>
  <c r="AB208" i="4"/>
  <c r="Q208" i="4"/>
  <c r="R208" i="4" s="1"/>
  <c r="N208" i="4"/>
  <c r="M208" i="4"/>
  <c r="L208" i="4"/>
  <c r="K208" i="4"/>
  <c r="AI207" i="4"/>
  <c r="AF207" i="4"/>
  <c r="AC207" i="4"/>
  <c r="AB207" i="4"/>
  <c r="Q207" i="4"/>
  <c r="R207" i="4" s="1"/>
  <c r="N207" i="4"/>
  <c r="M207" i="4"/>
  <c r="L207" i="4"/>
  <c r="K207" i="4"/>
  <c r="AI206" i="4"/>
  <c r="AF206" i="4"/>
  <c r="AB206" i="4"/>
  <c r="Q206" i="4"/>
  <c r="R206" i="4" s="1"/>
  <c r="N206" i="4"/>
  <c r="M206" i="4"/>
  <c r="L206" i="4"/>
  <c r="K206" i="4"/>
  <c r="AI205" i="4"/>
  <c r="AF205" i="4"/>
  <c r="AB205" i="4"/>
  <c r="Q205" i="4"/>
  <c r="R205" i="4" s="1"/>
  <c r="N205" i="4"/>
  <c r="M205" i="4"/>
  <c r="L205" i="4"/>
  <c r="K205" i="4"/>
  <c r="AI204" i="4"/>
  <c r="AF204" i="4"/>
  <c r="AB204" i="4"/>
  <c r="Q204" i="4"/>
  <c r="R204" i="4" s="1"/>
  <c r="N204" i="4"/>
  <c r="M204" i="4"/>
  <c r="L204" i="4"/>
  <c r="K204" i="4"/>
  <c r="AI203" i="4"/>
  <c r="AF203" i="4"/>
  <c r="AB203" i="4"/>
  <c r="Q203" i="4"/>
  <c r="R203" i="4" s="1"/>
  <c r="N203" i="4"/>
  <c r="M203" i="4"/>
  <c r="L203" i="4"/>
  <c r="K203" i="4"/>
  <c r="AI202" i="4"/>
  <c r="AF202" i="4"/>
  <c r="AB202" i="4"/>
  <c r="Q202" i="4"/>
  <c r="R202" i="4" s="1"/>
  <c r="N202" i="4"/>
  <c r="M202" i="4"/>
  <c r="L202" i="4"/>
  <c r="K202" i="4"/>
  <c r="AI201" i="4"/>
  <c r="AF201" i="4"/>
  <c r="AB201" i="4"/>
  <c r="Q201" i="4"/>
  <c r="R201" i="4" s="1"/>
  <c r="N201" i="4"/>
  <c r="M201" i="4"/>
  <c r="L201" i="4"/>
  <c r="K201" i="4"/>
  <c r="AI200" i="4"/>
  <c r="AF200" i="4"/>
  <c r="AB200" i="4"/>
  <c r="Q200" i="4"/>
  <c r="R200" i="4" s="1"/>
  <c r="N200" i="4"/>
  <c r="M200" i="4"/>
  <c r="L200" i="4"/>
  <c r="K200" i="4"/>
  <c r="AI199" i="4"/>
  <c r="AF199" i="4"/>
  <c r="AB199" i="4"/>
  <c r="R199" i="4"/>
  <c r="Q199" i="4"/>
  <c r="N199" i="4"/>
  <c r="M199" i="4"/>
  <c r="L199" i="4"/>
  <c r="K199" i="4"/>
  <c r="AI198" i="4"/>
  <c r="AF198" i="4"/>
  <c r="AB198" i="4"/>
  <c r="Q198" i="4"/>
  <c r="R198" i="4" s="1"/>
  <c r="N198" i="4"/>
  <c r="M198" i="4"/>
  <c r="L198" i="4"/>
  <c r="K198" i="4"/>
  <c r="AI197" i="4"/>
  <c r="AF197" i="4"/>
  <c r="AB197" i="4"/>
  <c r="Q197" i="4"/>
  <c r="R197" i="4" s="1"/>
  <c r="N197" i="4"/>
  <c r="M197" i="4"/>
  <c r="L197" i="4"/>
  <c r="K197" i="4"/>
  <c r="AI196" i="4"/>
  <c r="AF196" i="4"/>
  <c r="AB196" i="4"/>
  <c r="Q196" i="4"/>
  <c r="R196" i="4" s="1"/>
  <c r="N196" i="4"/>
  <c r="M196" i="4"/>
  <c r="L196" i="4"/>
  <c r="K196" i="4"/>
  <c r="AI195" i="4"/>
  <c r="AF195" i="4"/>
  <c r="AB195" i="4"/>
  <c r="Q195" i="4"/>
  <c r="R195" i="4" s="1"/>
  <c r="N195" i="4"/>
  <c r="M195" i="4"/>
  <c r="L195" i="4"/>
  <c r="K195" i="4"/>
  <c r="AI194" i="4"/>
  <c r="AF194" i="4"/>
  <c r="AB194" i="4"/>
  <c r="Q194" i="4"/>
  <c r="R194" i="4" s="1"/>
  <c r="N194" i="4"/>
  <c r="M194" i="4"/>
  <c r="L194" i="4"/>
  <c r="K194" i="4"/>
  <c r="AI193" i="4"/>
  <c r="AF193" i="4"/>
  <c r="AB193" i="4"/>
  <c r="Q193" i="4"/>
  <c r="R193" i="4" s="1"/>
  <c r="N193" i="4"/>
  <c r="M193" i="4"/>
  <c r="L193" i="4"/>
  <c r="K193" i="4"/>
  <c r="AI192" i="4"/>
  <c r="AF192" i="4"/>
  <c r="AB192" i="4"/>
  <c r="Q192" i="4"/>
  <c r="R192" i="4" s="1"/>
  <c r="N192" i="4"/>
  <c r="M192" i="4"/>
  <c r="L192" i="4"/>
  <c r="K192" i="4"/>
  <c r="AI191" i="4"/>
  <c r="AF191" i="4"/>
  <c r="AB191" i="4"/>
  <c r="Q191" i="4"/>
  <c r="R191" i="4" s="1"/>
  <c r="N191" i="4"/>
  <c r="M191" i="4"/>
  <c r="L191" i="4"/>
  <c r="K191" i="4"/>
  <c r="AI190" i="4"/>
  <c r="AF190" i="4"/>
  <c r="AB190" i="4"/>
  <c r="Q190" i="4"/>
  <c r="R190" i="4" s="1"/>
  <c r="N190" i="4"/>
  <c r="M190" i="4"/>
  <c r="L190" i="4"/>
  <c r="K190" i="4"/>
  <c r="AI189" i="4"/>
  <c r="AF189" i="4"/>
  <c r="AB189" i="4"/>
  <c r="Q189" i="4"/>
  <c r="R189" i="4" s="1"/>
  <c r="N189" i="4"/>
  <c r="M189" i="4"/>
  <c r="L189" i="4"/>
  <c r="K189" i="4"/>
  <c r="AI188" i="4"/>
  <c r="AF188" i="4"/>
  <c r="AB188" i="4"/>
  <c r="Q188" i="4"/>
  <c r="R188" i="4" s="1"/>
  <c r="N188" i="4"/>
  <c r="M188" i="4"/>
  <c r="L188" i="4"/>
  <c r="K188" i="4"/>
  <c r="AI187" i="4"/>
  <c r="AF187" i="4"/>
  <c r="AB187" i="4"/>
  <c r="Q187" i="4"/>
  <c r="R187" i="4" s="1"/>
  <c r="N187" i="4"/>
  <c r="M187" i="4"/>
  <c r="L187" i="4"/>
  <c r="K187" i="4"/>
  <c r="AI186" i="4"/>
  <c r="AF186" i="4"/>
  <c r="AB186" i="4"/>
  <c r="Q186" i="4"/>
  <c r="R186" i="4" s="1"/>
  <c r="N186" i="4"/>
  <c r="M186" i="4"/>
  <c r="L186" i="4"/>
  <c r="K186" i="4"/>
  <c r="AI185" i="4"/>
  <c r="AF185" i="4"/>
  <c r="AB185" i="4"/>
  <c r="Q185" i="4"/>
  <c r="R185" i="4" s="1"/>
  <c r="N185" i="4"/>
  <c r="M185" i="4"/>
  <c r="L185" i="4"/>
  <c r="K185" i="4"/>
  <c r="AI184" i="4"/>
  <c r="AF184" i="4"/>
  <c r="AB184" i="4"/>
  <c r="Q184" i="4"/>
  <c r="R184" i="4" s="1"/>
  <c r="N184" i="4"/>
  <c r="M184" i="4"/>
  <c r="L184" i="4"/>
  <c r="K184" i="4"/>
  <c r="AI183" i="4"/>
  <c r="AF183" i="4"/>
  <c r="AB183" i="4"/>
  <c r="Q183" i="4"/>
  <c r="R183" i="4" s="1"/>
  <c r="N183" i="4"/>
  <c r="M183" i="4"/>
  <c r="L183" i="4"/>
  <c r="K183" i="4"/>
  <c r="AI182" i="4"/>
  <c r="AF182" i="4"/>
  <c r="AB182" i="4"/>
  <c r="Q182" i="4"/>
  <c r="R182" i="4" s="1"/>
  <c r="N182" i="4"/>
  <c r="M182" i="4"/>
  <c r="L182" i="4"/>
  <c r="K182" i="4"/>
  <c r="AI181" i="4"/>
  <c r="AF181" i="4"/>
  <c r="AB181" i="4"/>
  <c r="Q181" i="4"/>
  <c r="R181" i="4" s="1"/>
  <c r="N181" i="4"/>
  <c r="M181" i="4"/>
  <c r="L181" i="4"/>
  <c r="K181" i="4"/>
  <c r="AI180" i="4"/>
  <c r="AF180" i="4"/>
  <c r="AB180" i="4"/>
  <c r="Q180" i="4"/>
  <c r="R180" i="4" s="1"/>
  <c r="N180" i="4"/>
  <c r="M180" i="4"/>
  <c r="L180" i="4"/>
  <c r="K180" i="4"/>
  <c r="AI179" i="4"/>
  <c r="AF179" i="4"/>
  <c r="AB179" i="4"/>
  <c r="Q179" i="4"/>
  <c r="R179" i="4" s="1"/>
  <c r="N179" i="4"/>
  <c r="M179" i="4"/>
  <c r="L179" i="4"/>
  <c r="K179" i="4"/>
  <c r="AI178" i="4"/>
  <c r="AF178" i="4"/>
  <c r="AB178" i="4"/>
  <c r="Q178" i="4"/>
  <c r="R178" i="4" s="1"/>
  <c r="N178" i="4"/>
  <c r="M178" i="4"/>
  <c r="L178" i="4"/>
  <c r="K178" i="4"/>
  <c r="AI177" i="4"/>
  <c r="AF177" i="4"/>
  <c r="AB177" i="4"/>
  <c r="Q177" i="4"/>
  <c r="R177" i="4" s="1"/>
  <c r="N177" i="4"/>
  <c r="M177" i="4"/>
  <c r="L177" i="4"/>
  <c r="K177" i="4"/>
  <c r="AI176" i="4"/>
  <c r="AF176" i="4"/>
  <c r="AB176" i="4"/>
  <c r="Q176" i="4"/>
  <c r="R176" i="4" s="1"/>
  <c r="N176" i="4"/>
  <c r="M176" i="4"/>
  <c r="L176" i="4"/>
  <c r="K176" i="4"/>
  <c r="AI175" i="4"/>
  <c r="AF175" i="4"/>
  <c r="AB175" i="4"/>
  <c r="Q175" i="4"/>
  <c r="R175" i="4" s="1"/>
  <c r="N175" i="4"/>
  <c r="M175" i="4"/>
  <c r="L175" i="4"/>
  <c r="K175" i="4"/>
  <c r="AI174" i="4"/>
  <c r="AF174" i="4"/>
  <c r="AB174" i="4"/>
  <c r="Q174" i="4"/>
  <c r="R174" i="4" s="1"/>
  <c r="N174" i="4"/>
  <c r="M174" i="4"/>
  <c r="L174" i="4"/>
  <c r="K174" i="4"/>
  <c r="AI173" i="4"/>
  <c r="AF173" i="4"/>
  <c r="AB173" i="4"/>
  <c r="Q173" i="4"/>
  <c r="R173" i="4" s="1"/>
  <c r="N173" i="4"/>
  <c r="M173" i="4"/>
  <c r="L173" i="4"/>
  <c r="K173" i="4"/>
  <c r="AI172" i="4"/>
  <c r="AF172" i="4"/>
  <c r="AB172" i="4"/>
  <c r="Q172" i="4"/>
  <c r="R172" i="4" s="1"/>
  <c r="N172" i="4"/>
  <c r="M172" i="4"/>
  <c r="L172" i="4"/>
  <c r="K172" i="4"/>
  <c r="AI171" i="4"/>
  <c r="AF171" i="4"/>
  <c r="AB171" i="4"/>
  <c r="Q171" i="4"/>
  <c r="R171" i="4" s="1"/>
  <c r="N171" i="4"/>
  <c r="M171" i="4"/>
  <c r="L171" i="4"/>
  <c r="K171" i="4"/>
  <c r="AI170" i="4"/>
  <c r="AF170" i="4"/>
  <c r="AB170" i="4"/>
  <c r="Q170" i="4"/>
  <c r="R170" i="4" s="1"/>
  <c r="N170" i="4"/>
  <c r="M170" i="4"/>
  <c r="L170" i="4"/>
  <c r="K170" i="4"/>
  <c r="AI169" i="4"/>
  <c r="AF169" i="4"/>
  <c r="AB169" i="4"/>
  <c r="Q169" i="4"/>
  <c r="R169" i="4" s="1"/>
  <c r="N169" i="4"/>
  <c r="M169" i="4"/>
  <c r="L169" i="4"/>
  <c r="K169" i="4"/>
  <c r="AI168" i="4"/>
  <c r="AF168" i="4"/>
  <c r="AB168" i="4"/>
  <c r="Q168" i="4"/>
  <c r="R168" i="4" s="1"/>
  <c r="N168" i="4"/>
  <c r="M168" i="4"/>
  <c r="L168" i="4"/>
  <c r="K168" i="4"/>
  <c r="AI167" i="4"/>
  <c r="AF167" i="4"/>
  <c r="AB167" i="4"/>
  <c r="Q167" i="4"/>
  <c r="R167" i="4" s="1"/>
  <c r="N167" i="4"/>
  <c r="M167" i="4"/>
  <c r="L167" i="4"/>
  <c r="K167" i="4"/>
  <c r="AI166" i="4"/>
  <c r="AF166" i="4"/>
  <c r="AB166" i="4"/>
  <c r="Q166" i="4"/>
  <c r="R166" i="4" s="1"/>
  <c r="N166" i="4"/>
  <c r="M166" i="4"/>
  <c r="L166" i="4"/>
  <c r="K166" i="4"/>
  <c r="AI165" i="4"/>
  <c r="AF165" i="4"/>
  <c r="AB165" i="4"/>
  <c r="Q165" i="4"/>
  <c r="R165" i="4" s="1"/>
  <c r="N165" i="4"/>
  <c r="M165" i="4"/>
  <c r="L165" i="4"/>
  <c r="K165" i="4"/>
  <c r="AI164" i="4"/>
  <c r="AF164" i="4"/>
  <c r="AB164" i="4"/>
  <c r="Q164" i="4"/>
  <c r="R164" i="4" s="1"/>
  <c r="N164" i="4"/>
  <c r="M164" i="4"/>
  <c r="L164" i="4"/>
  <c r="K164" i="4"/>
  <c r="AI163" i="4"/>
  <c r="AF163" i="4"/>
  <c r="AB163" i="4"/>
  <c r="Q163" i="4"/>
  <c r="R163" i="4" s="1"/>
  <c r="N163" i="4"/>
  <c r="M163" i="4"/>
  <c r="L163" i="4"/>
  <c r="K163" i="4"/>
  <c r="AI162" i="4"/>
  <c r="AF162" i="4"/>
  <c r="AB162" i="4"/>
  <c r="Q162" i="4"/>
  <c r="R162" i="4" s="1"/>
  <c r="N162" i="4"/>
  <c r="M162" i="4"/>
  <c r="L162" i="4"/>
  <c r="K162" i="4"/>
  <c r="AI161" i="4"/>
  <c r="AF161" i="4"/>
  <c r="AB161" i="4"/>
  <c r="Q161" i="4"/>
  <c r="R161" i="4" s="1"/>
  <c r="N161" i="4"/>
  <c r="M161" i="4"/>
  <c r="L161" i="4"/>
  <c r="K161" i="4"/>
  <c r="AI160" i="4"/>
  <c r="AF160" i="4"/>
  <c r="AB160" i="4"/>
  <c r="Q160" i="4"/>
  <c r="R160" i="4" s="1"/>
  <c r="N160" i="4"/>
  <c r="M160" i="4"/>
  <c r="L160" i="4"/>
  <c r="K160" i="4"/>
  <c r="AI159" i="4"/>
  <c r="AF159" i="4"/>
  <c r="AB159" i="4"/>
  <c r="Q159" i="4"/>
  <c r="R159" i="4" s="1"/>
  <c r="N159" i="4"/>
  <c r="M159" i="4"/>
  <c r="L159" i="4"/>
  <c r="K159" i="4"/>
  <c r="AI158" i="4"/>
  <c r="AF158" i="4"/>
  <c r="AB158" i="4"/>
  <c r="Q158" i="4"/>
  <c r="R158" i="4" s="1"/>
  <c r="N158" i="4"/>
  <c r="M158" i="4"/>
  <c r="L158" i="4"/>
  <c r="K158" i="4"/>
  <c r="AI157" i="4"/>
  <c r="AF157" i="4"/>
  <c r="AB157" i="4"/>
  <c r="Q157" i="4"/>
  <c r="R157" i="4" s="1"/>
  <c r="N157" i="4"/>
  <c r="M157" i="4"/>
  <c r="L157" i="4"/>
  <c r="K157" i="4"/>
  <c r="AI156" i="4"/>
  <c r="AF156" i="4"/>
  <c r="AB156" i="4"/>
  <c r="Q156" i="4"/>
  <c r="R156" i="4" s="1"/>
  <c r="N156" i="4"/>
  <c r="M156" i="4"/>
  <c r="L156" i="4"/>
  <c r="K156" i="4"/>
  <c r="AI155" i="4"/>
  <c r="AF155" i="4"/>
  <c r="AB155" i="4"/>
  <c r="Q155" i="4"/>
  <c r="R155" i="4" s="1"/>
  <c r="N155" i="4"/>
  <c r="M155" i="4"/>
  <c r="L155" i="4"/>
  <c r="K155" i="4"/>
  <c r="AI154" i="4"/>
  <c r="AF154" i="4"/>
  <c r="AB154" i="4"/>
  <c r="Q154" i="4"/>
  <c r="R154" i="4" s="1"/>
  <c r="N154" i="4"/>
  <c r="M154" i="4"/>
  <c r="L154" i="4"/>
  <c r="K154" i="4"/>
  <c r="AI153" i="4"/>
  <c r="AF153" i="4"/>
  <c r="AB153" i="4"/>
  <c r="Q153" i="4"/>
  <c r="R153" i="4" s="1"/>
  <c r="N153" i="4"/>
  <c r="M153" i="4"/>
  <c r="L153" i="4"/>
  <c r="K153" i="4"/>
  <c r="AI152" i="4"/>
  <c r="AF152" i="4"/>
  <c r="AB152" i="4"/>
  <c r="Q152" i="4"/>
  <c r="R152" i="4" s="1"/>
  <c r="N152" i="4"/>
  <c r="M152" i="4"/>
  <c r="L152" i="4"/>
  <c r="K152" i="4"/>
  <c r="AI151" i="4"/>
  <c r="AF151" i="4"/>
  <c r="AB151" i="4"/>
  <c r="Q151" i="4"/>
  <c r="R151" i="4" s="1"/>
  <c r="N151" i="4"/>
  <c r="M151" i="4"/>
  <c r="L151" i="4"/>
  <c r="K151" i="4"/>
  <c r="AI150" i="4"/>
  <c r="AF150" i="4"/>
  <c r="AB150" i="4"/>
  <c r="Q150" i="4"/>
  <c r="R150" i="4" s="1"/>
  <c r="N150" i="4"/>
  <c r="M150" i="4"/>
  <c r="L150" i="4"/>
  <c r="K150" i="4"/>
  <c r="AI149" i="4"/>
  <c r="AF149" i="4"/>
  <c r="AB149" i="4"/>
  <c r="Q149" i="4"/>
  <c r="R149" i="4" s="1"/>
  <c r="N149" i="4"/>
  <c r="M149" i="4"/>
  <c r="L149" i="4"/>
  <c r="K149" i="4"/>
  <c r="AI148" i="4"/>
  <c r="AF148" i="4"/>
  <c r="AB148" i="4"/>
  <c r="Q148" i="4"/>
  <c r="R148" i="4" s="1"/>
  <c r="N148" i="4"/>
  <c r="M148" i="4"/>
  <c r="L148" i="4"/>
  <c r="K148" i="4"/>
  <c r="AI147" i="4"/>
  <c r="AF147" i="4"/>
  <c r="AB147" i="4"/>
  <c r="Q147" i="4"/>
  <c r="R147" i="4" s="1"/>
  <c r="N147" i="4"/>
  <c r="M147" i="4"/>
  <c r="L147" i="4"/>
  <c r="K147" i="4"/>
  <c r="AI146" i="4"/>
  <c r="AF146" i="4"/>
  <c r="AB146" i="4"/>
  <c r="Q146" i="4"/>
  <c r="R146" i="4" s="1"/>
  <c r="N146" i="4"/>
  <c r="M146" i="4"/>
  <c r="L146" i="4"/>
  <c r="K146" i="4"/>
  <c r="AI145" i="4"/>
  <c r="AF145" i="4"/>
  <c r="AB145" i="4"/>
  <c r="Q145" i="4"/>
  <c r="R145" i="4" s="1"/>
  <c r="N145" i="4"/>
  <c r="M145" i="4"/>
  <c r="L145" i="4"/>
  <c r="K145" i="4"/>
  <c r="AI144" i="4"/>
  <c r="AF144" i="4"/>
  <c r="AB144" i="4"/>
  <c r="Q144" i="4"/>
  <c r="R144" i="4" s="1"/>
  <c r="N144" i="4"/>
  <c r="M144" i="4"/>
  <c r="L144" i="4"/>
  <c r="K144" i="4"/>
  <c r="AI143" i="4"/>
  <c r="AF143" i="4"/>
  <c r="AB143" i="4"/>
  <c r="Q143" i="4"/>
  <c r="R143" i="4" s="1"/>
  <c r="N143" i="4"/>
  <c r="M143" i="4"/>
  <c r="L143" i="4"/>
  <c r="K143" i="4"/>
  <c r="AI142" i="4"/>
  <c r="AF142" i="4"/>
  <c r="AB142" i="4"/>
  <c r="Q142" i="4"/>
  <c r="R142" i="4" s="1"/>
  <c r="N142" i="4"/>
  <c r="M142" i="4"/>
  <c r="L142" i="4"/>
  <c r="K142" i="4"/>
  <c r="AI141" i="4"/>
  <c r="AF141" i="4"/>
  <c r="AB141" i="4"/>
  <c r="Q141" i="4"/>
  <c r="R141" i="4" s="1"/>
  <c r="N141" i="4"/>
  <c r="M141" i="4"/>
  <c r="L141" i="4"/>
  <c r="K141" i="4"/>
  <c r="AI140" i="4"/>
  <c r="AF140" i="4"/>
  <c r="AB140" i="4"/>
  <c r="Q140" i="4"/>
  <c r="R140" i="4" s="1"/>
  <c r="N140" i="4"/>
  <c r="M140" i="4"/>
  <c r="L140" i="4"/>
  <c r="K140" i="4"/>
  <c r="AI139" i="4"/>
  <c r="AF139" i="4"/>
  <c r="AB139" i="4"/>
  <c r="Q139" i="4"/>
  <c r="R139" i="4" s="1"/>
  <c r="N139" i="4"/>
  <c r="M139" i="4"/>
  <c r="L139" i="4"/>
  <c r="K139" i="4"/>
  <c r="AI138" i="4"/>
  <c r="AF138" i="4"/>
  <c r="AB138" i="4"/>
  <c r="Q138" i="4"/>
  <c r="R138" i="4" s="1"/>
  <c r="N138" i="4"/>
  <c r="M138" i="4"/>
  <c r="L138" i="4"/>
  <c r="K138" i="4"/>
  <c r="AI137" i="4"/>
  <c r="AF137" i="4"/>
  <c r="AB137" i="4"/>
  <c r="Q137" i="4"/>
  <c r="R137" i="4" s="1"/>
  <c r="N137" i="4"/>
  <c r="M137" i="4"/>
  <c r="L137" i="4"/>
  <c r="K137" i="4"/>
  <c r="AI136" i="4"/>
  <c r="AF136" i="4"/>
  <c r="AB136" i="4"/>
  <c r="Q136" i="4"/>
  <c r="R136" i="4" s="1"/>
  <c r="N136" i="4"/>
  <c r="M136" i="4"/>
  <c r="L136" i="4"/>
  <c r="K136" i="4"/>
  <c r="AI135" i="4"/>
  <c r="AF135" i="4"/>
  <c r="AB135" i="4"/>
  <c r="Q135" i="4"/>
  <c r="R135" i="4" s="1"/>
  <c r="N135" i="4"/>
  <c r="M135" i="4"/>
  <c r="L135" i="4"/>
  <c r="K135" i="4"/>
  <c r="AI134" i="4"/>
  <c r="AF134" i="4"/>
  <c r="AB134" i="4"/>
  <c r="Q134" i="4"/>
  <c r="R134" i="4" s="1"/>
  <c r="N134" i="4"/>
  <c r="M134" i="4"/>
  <c r="L134" i="4"/>
  <c r="K134" i="4"/>
  <c r="AI133" i="4"/>
  <c r="AF133" i="4"/>
  <c r="AB133" i="4"/>
  <c r="Q133" i="4"/>
  <c r="R133" i="4" s="1"/>
  <c r="N133" i="4"/>
  <c r="M133" i="4"/>
  <c r="L133" i="4"/>
  <c r="K133" i="4"/>
  <c r="AI132" i="4"/>
  <c r="AF132" i="4"/>
  <c r="AB132" i="4"/>
  <c r="Q132" i="4"/>
  <c r="R132" i="4" s="1"/>
  <c r="N132" i="4"/>
  <c r="M132" i="4"/>
  <c r="L132" i="4"/>
  <c r="K132" i="4"/>
  <c r="AI131" i="4"/>
  <c r="AF131" i="4"/>
  <c r="AB131" i="4"/>
  <c r="Q131" i="4"/>
  <c r="R131" i="4" s="1"/>
  <c r="N131" i="4"/>
  <c r="M131" i="4"/>
  <c r="L131" i="4"/>
  <c r="K131" i="4"/>
  <c r="AI130" i="4"/>
  <c r="AF130" i="4"/>
  <c r="AB130" i="4"/>
  <c r="Q130" i="4"/>
  <c r="R130" i="4" s="1"/>
  <c r="N130" i="4"/>
  <c r="M130" i="4"/>
  <c r="L130" i="4"/>
  <c r="K130" i="4"/>
  <c r="AI129" i="4"/>
  <c r="AF129" i="4"/>
  <c r="AB129" i="4"/>
  <c r="Q129" i="4"/>
  <c r="R129" i="4" s="1"/>
  <c r="N129" i="4"/>
  <c r="M129" i="4"/>
  <c r="L129" i="4"/>
  <c r="K129" i="4"/>
  <c r="AI128" i="4"/>
  <c r="AF128" i="4"/>
  <c r="AB128" i="4"/>
  <c r="Q128" i="4"/>
  <c r="R128" i="4" s="1"/>
  <c r="N128" i="4"/>
  <c r="M128" i="4"/>
  <c r="L128" i="4"/>
  <c r="K128" i="4"/>
  <c r="AI127" i="4"/>
  <c r="AF127" i="4"/>
  <c r="AB127" i="4"/>
  <c r="Q127" i="4"/>
  <c r="R127" i="4" s="1"/>
  <c r="N127" i="4"/>
  <c r="M127" i="4"/>
  <c r="L127" i="4"/>
  <c r="K127" i="4"/>
  <c r="AI126" i="4"/>
  <c r="AF126" i="4"/>
  <c r="AB126" i="4"/>
  <c r="Q126" i="4"/>
  <c r="R126" i="4" s="1"/>
  <c r="N126" i="4"/>
  <c r="M126" i="4"/>
  <c r="L126" i="4"/>
  <c r="K126" i="4"/>
  <c r="AI125" i="4"/>
  <c r="AF125" i="4"/>
  <c r="AB125" i="4"/>
  <c r="Q125" i="4"/>
  <c r="R125" i="4" s="1"/>
  <c r="N125" i="4"/>
  <c r="M125" i="4"/>
  <c r="L125" i="4"/>
  <c r="K125" i="4"/>
  <c r="AI124" i="4"/>
  <c r="AF124" i="4"/>
  <c r="AB124" i="4"/>
  <c r="Q124" i="4"/>
  <c r="R124" i="4" s="1"/>
  <c r="N124" i="4"/>
  <c r="M124" i="4"/>
  <c r="L124" i="4"/>
  <c r="K124" i="4"/>
  <c r="AI123" i="4"/>
  <c r="AF123" i="4"/>
  <c r="AB123" i="4"/>
  <c r="Q123" i="4"/>
  <c r="R123" i="4" s="1"/>
  <c r="N123" i="4"/>
  <c r="M123" i="4"/>
  <c r="L123" i="4"/>
  <c r="K123" i="4"/>
  <c r="AI122" i="4"/>
  <c r="AF122" i="4"/>
  <c r="AB122" i="4"/>
  <c r="Q122" i="4"/>
  <c r="R122" i="4" s="1"/>
  <c r="N122" i="4"/>
  <c r="M122" i="4"/>
  <c r="L122" i="4"/>
  <c r="K122" i="4"/>
  <c r="AI121" i="4"/>
  <c r="AF121" i="4"/>
  <c r="AB121" i="4"/>
  <c r="Q121" i="4"/>
  <c r="R121" i="4" s="1"/>
  <c r="N121" i="4"/>
  <c r="M121" i="4"/>
  <c r="L121" i="4"/>
  <c r="K121" i="4"/>
  <c r="AI120" i="4"/>
  <c r="AF120" i="4"/>
  <c r="AB120" i="4"/>
  <c r="Q120" i="4"/>
  <c r="R120" i="4" s="1"/>
  <c r="N120" i="4"/>
  <c r="M120" i="4"/>
  <c r="L120" i="4"/>
  <c r="K120" i="4"/>
  <c r="AI119" i="4"/>
  <c r="AF119" i="4"/>
  <c r="AB119" i="4"/>
  <c r="Q119" i="4"/>
  <c r="R119" i="4" s="1"/>
  <c r="N119" i="4"/>
  <c r="M119" i="4"/>
  <c r="L119" i="4"/>
  <c r="K119" i="4"/>
  <c r="AI118" i="4"/>
  <c r="AF118" i="4"/>
  <c r="AB118" i="4"/>
  <c r="Q118" i="4"/>
  <c r="R118" i="4" s="1"/>
  <c r="N118" i="4"/>
  <c r="M118" i="4"/>
  <c r="L118" i="4"/>
  <c r="K118" i="4"/>
  <c r="AI117" i="4"/>
  <c r="AF117" i="4"/>
  <c r="AB117" i="4"/>
  <c r="Q117" i="4"/>
  <c r="R117" i="4" s="1"/>
  <c r="N117" i="4"/>
  <c r="M117" i="4"/>
  <c r="L117" i="4"/>
  <c r="K117" i="4"/>
  <c r="AI116" i="4"/>
  <c r="AF116" i="4"/>
  <c r="AB116" i="4"/>
  <c r="Q116" i="4"/>
  <c r="R116" i="4" s="1"/>
  <c r="N116" i="4"/>
  <c r="M116" i="4"/>
  <c r="L116" i="4"/>
  <c r="K116" i="4"/>
  <c r="AI115" i="4"/>
  <c r="AF115" i="4"/>
  <c r="AB115" i="4"/>
  <c r="Q115" i="4"/>
  <c r="R115" i="4" s="1"/>
  <c r="N115" i="4"/>
  <c r="M115" i="4"/>
  <c r="L115" i="4"/>
  <c r="K115" i="4"/>
  <c r="AI114" i="4"/>
  <c r="AF114" i="4"/>
  <c r="AB114" i="4"/>
  <c r="Q114" i="4"/>
  <c r="R114" i="4" s="1"/>
  <c r="N114" i="4"/>
  <c r="M114" i="4"/>
  <c r="L114" i="4"/>
  <c r="K114" i="4"/>
  <c r="AI113" i="4"/>
  <c r="AF113" i="4"/>
  <c r="AB113" i="4"/>
  <c r="Q113" i="4"/>
  <c r="R113" i="4" s="1"/>
  <c r="N113" i="4"/>
  <c r="M113" i="4"/>
  <c r="L113" i="4"/>
  <c r="K113" i="4"/>
  <c r="AI112" i="4"/>
  <c r="AF112" i="4"/>
  <c r="AB112" i="4"/>
  <c r="Q112" i="4"/>
  <c r="R112" i="4" s="1"/>
  <c r="N112" i="4"/>
  <c r="M112" i="4"/>
  <c r="L112" i="4"/>
  <c r="K112" i="4"/>
  <c r="AI111" i="4"/>
  <c r="AF111" i="4"/>
  <c r="AB111" i="4"/>
  <c r="Q111" i="4"/>
  <c r="R111" i="4" s="1"/>
  <c r="N111" i="4"/>
  <c r="M111" i="4"/>
  <c r="L111" i="4"/>
  <c r="K111" i="4"/>
  <c r="AI110" i="4"/>
  <c r="AF110" i="4"/>
  <c r="AB110" i="4"/>
  <c r="Q110" i="4"/>
  <c r="R110" i="4" s="1"/>
  <c r="N110" i="4"/>
  <c r="M110" i="4"/>
  <c r="L110" i="4"/>
  <c r="K110" i="4"/>
  <c r="AI109" i="4"/>
  <c r="AF109" i="4"/>
  <c r="AB109" i="4"/>
  <c r="Q109" i="4"/>
  <c r="R109" i="4" s="1"/>
  <c r="N109" i="4"/>
  <c r="M109" i="4"/>
  <c r="L109" i="4"/>
  <c r="K109" i="4"/>
  <c r="AI108" i="4"/>
  <c r="AF108" i="4"/>
  <c r="AB108" i="4"/>
  <c r="Q108" i="4"/>
  <c r="R108" i="4" s="1"/>
  <c r="N108" i="4"/>
  <c r="M108" i="4"/>
  <c r="L108" i="4"/>
  <c r="K108" i="4"/>
  <c r="AI107" i="4"/>
  <c r="AF107" i="4"/>
  <c r="AB107" i="4"/>
  <c r="Q107" i="4"/>
  <c r="R107" i="4" s="1"/>
  <c r="N107" i="4"/>
  <c r="M107" i="4"/>
  <c r="L107" i="4"/>
  <c r="K107" i="4"/>
  <c r="AI106" i="4"/>
  <c r="AF106" i="4"/>
  <c r="AB106" i="4"/>
  <c r="Q106" i="4"/>
  <c r="R106" i="4" s="1"/>
  <c r="N106" i="4"/>
  <c r="M106" i="4"/>
  <c r="L106" i="4"/>
  <c r="K106" i="4"/>
  <c r="AI105" i="4"/>
  <c r="AF105" i="4"/>
  <c r="AB105" i="4"/>
  <c r="Q105" i="4"/>
  <c r="R105" i="4" s="1"/>
  <c r="N105" i="4"/>
  <c r="M105" i="4"/>
  <c r="L105" i="4"/>
  <c r="K105" i="4"/>
  <c r="AI104" i="4"/>
  <c r="AF104" i="4"/>
  <c r="AB104" i="4"/>
  <c r="Q104" i="4"/>
  <c r="R104" i="4" s="1"/>
  <c r="N104" i="4"/>
  <c r="M104" i="4"/>
  <c r="L104" i="4"/>
  <c r="K104" i="4"/>
  <c r="AI103" i="4"/>
  <c r="AF103" i="4"/>
  <c r="AB103" i="4"/>
  <c r="Q103" i="4"/>
  <c r="R103" i="4" s="1"/>
  <c r="N103" i="4"/>
  <c r="M103" i="4"/>
  <c r="L103" i="4"/>
  <c r="K103" i="4"/>
  <c r="AI102" i="4"/>
  <c r="AF102" i="4"/>
  <c r="AB102" i="4"/>
  <c r="Q102" i="4"/>
  <c r="R102" i="4" s="1"/>
  <c r="N102" i="4"/>
  <c r="M102" i="4"/>
  <c r="L102" i="4"/>
  <c r="K102" i="4"/>
  <c r="AI101" i="4"/>
  <c r="AF101" i="4"/>
  <c r="AB101" i="4"/>
  <c r="Q101" i="4"/>
  <c r="R101" i="4" s="1"/>
  <c r="N101" i="4"/>
  <c r="M101" i="4"/>
  <c r="L101" i="4"/>
  <c r="K101" i="4"/>
  <c r="AI100" i="4"/>
  <c r="AF100" i="4"/>
  <c r="AB100" i="4"/>
  <c r="Q100" i="4"/>
  <c r="R100" i="4" s="1"/>
  <c r="N100" i="4"/>
  <c r="M100" i="4"/>
  <c r="L100" i="4"/>
  <c r="K100" i="4"/>
  <c r="AI99" i="4"/>
  <c r="AF99" i="4"/>
  <c r="AB99" i="4"/>
  <c r="Q99" i="4"/>
  <c r="R99" i="4" s="1"/>
  <c r="N99" i="4"/>
  <c r="M99" i="4"/>
  <c r="L99" i="4"/>
  <c r="K99" i="4"/>
  <c r="AI98" i="4"/>
  <c r="AF98" i="4"/>
  <c r="AB98" i="4"/>
  <c r="Q98" i="4"/>
  <c r="R98" i="4" s="1"/>
  <c r="N98" i="4"/>
  <c r="M98" i="4"/>
  <c r="L98" i="4"/>
  <c r="K98" i="4"/>
  <c r="AI97" i="4"/>
  <c r="AF97" i="4"/>
  <c r="AB97" i="4"/>
  <c r="Q97" i="4"/>
  <c r="R97" i="4" s="1"/>
  <c r="N97" i="4"/>
  <c r="M97" i="4"/>
  <c r="L97" i="4"/>
  <c r="K97" i="4"/>
  <c r="AI96" i="4"/>
  <c r="AF96" i="4"/>
  <c r="AB96" i="4"/>
  <c r="Q96" i="4"/>
  <c r="R96" i="4" s="1"/>
  <c r="N96" i="4"/>
  <c r="M96" i="4"/>
  <c r="L96" i="4"/>
  <c r="K96" i="4"/>
  <c r="AI95" i="4"/>
  <c r="AF95" i="4"/>
  <c r="AB95" i="4"/>
  <c r="Q95" i="4"/>
  <c r="R95" i="4" s="1"/>
  <c r="N95" i="4"/>
  <c r="M95" i="4"/>
  <c r="L95" i="4"/>
  <c r="K95" i="4"/>
  <c r="AI94" i="4"/>
  <c r="AF94" i="4"/>
  <c r="AB94" i="4"/>
  <c r="Q94" i="4"/>
  <c r="R94" i="4" s="1"/>
  <c r="N94" i="4"/>
  <c r="M94" i="4"/>
  <c r="L94" i="4"/>
  <c r="K94" i="4"/>
  <c r="AI93" i="4"/>
  <c r="AF93" i="4"/>
  <c r="AB93" i="4"/>
  <c r="Q93" i="4"/>
  <c r="R93" i="4" s="1"/>
  <c r="N93" i="4"/>
  <c r="M93" i="4"/>
  <c r="L93" i="4"/>
  <c r="K93" i="4"/>
  <c r="AI92" i="4"/>
  <c r="AF92" i="4"/>
  <c r="AB92" i="4"/>
  <c r="Q92" i="4"/>
  <c r="R92" i="4" s="1"/>
  <c r="N92" i="4"/>
  <c r="M92" i="4"/>
  <c r="L92" i="4"/>
  <c r="K92" i="4"/>
  <c r="AI91" i="4"/>
  <c r="AF91" i="4"/>
  <c r="AB91" i="4"/>
  <c r="Q91" i="4"/>
  <c r="R91" i="4" s="1"/>
  <c r="N91" i="4"/>
  <c r="M91" i="4"/>
  <c r="L91" i="4"/>
  <c r="K91" i="4"/>
  <c r="AI90" i="4"/>
  <c r="AF90" i="4"/>
  <c r="AB90" i="4"/>
  <c r="Q90" i="4"/>
  <c r="R90" i="4" s="1"/>
  <c r="N90" i="4"/>
  <c r="M90" i="4"/>
  <c r="L90" i="4"/>
  <c r="K90" i="4"/>
  <c r="AI89" i="4"/>
  <c r="AF89" i="4"/>
  <c r="AB89" i="4"/>
  <c r="Q89" i="4"/>
  <c r="R89" i="4" s="1"/>
  <c r="N89" i="4"/>
  <c r="M89" i="4"/>
  <c r="L89" i="4"/>
  <c r="K89" i="4"/>
  <c r="AI88" i="4"/>
  <c r="AF88" i="4"/>
  <c r="AB88" i="4"/>
  <c r="Q88" i="4"/>
  <c r="R88" i="4" s="1"/>
  <c r="N88" i="4"/>
  <c r="M88" i="4"/>
  <c r="L88" i="4"/>
  <c r="K88" i="4"/>
  <c r="AI87" i="4"/>
  <c r="AF87" i="4"/>
  <c r="AB87" i="4"/>
  <c r="Q87" i="4"/>
  <c r="R87" i="4" s="1"/>
  <c r="N87" i="4"/>
  <c r="M87" i="4"/>
  <c r="L87" i="4"/>
  <c r="K87" i="4"/>
  <c r="AI86" i="4"/>
  <c r="AF86" i="4"/>
  <c r="AB86" i="4"/>
  <c r="Q86" i="4"/>
  <c r="R86" i="4" s="1"/>
  <c r="N86" i="4"/>
  <c r="M86" i="4"/>
  <c r="L86" i="4"/>
  <c r="K86" i="4"/>
  <c r="AI85" i="4"/>
  <c r="AF85" i="4"/>
  <c r="AB85" i="4"/>
  <c r="Q85" i="4"/>
  <c r="R85" i="4" s="1"/>
  <c r="N85" i="4"/>
  <c r="M85" i="4"/>
  <c r="L85" i="4"/>
  <c r="K85" i="4"/>
  <c r="AI84" i="4"/>
  <c r="AF84" i="4"/>
  <c r="AB84" i="4"/>
  <c r="Q84" i="4"/>
  <c r="R84" i="4" s="1"/>
  <c r="N84" i="4"/>
  <c r="M84" i="4"/>
  <c r="L84" i="4"/>
  <c r="K84" i="4"/>
  <c r="AI83" i="4"/>
  <c r="AF83" i="4"/>
  <c r="AB83" i="4"/>
  <c r="Q83" i="4"/>
  <c r="R83" i="4" s="1"/>
  <c r="N83" i="4"/>
  <c r="M83" i="4"/>
  <c r="L83" i="4"/>
  <c r="K83" i="4"/>
  <c r="AI82" i="4"/>
  <c r="AF82" i="4"/>
  <c r="AB82" i="4"/>
  <c r="Q82" i="4"/>
  <c r="R82" i="4" s="1"/>
  <c r="N82" i="4"/>
  <c r="M82" i="4"/>
  <c r="L82" i="4"/>
  <c r="K82" i="4"/>
  <c r="AI81" i="4"/>
  <c r="AF81" i="4"/>
  <c r="AB81" i="4"/>
  <c r="Q81" i="4"/>
  <c r="R81" i="4" s="1"/>
  <c r="N81" i="4"/>
  <c r="M81" i="4"/>
  <c r="L81" i="4"/>
  <c r="K81" i="4"/>
  <c r="AI80" i="4"/>
  <c r="AF80" i="4"/>
  <c r="AB80" i="4"/>
  <c r="Q80" i="4"/>
  <c r="R80" i="4" s="1"/>
  <c r="N80" i="4"/>
  <c r="M80" i="4"/>
  <c r="L80" i="4"/>
  <c r="K80" i="4"/>
  <c r="AI79" i="4"/>
  <c r="AF79" i="4"/>
  <c r="AB79" i="4"/>
  <c r="Q79" i="4"/>
  <c r="R79" i="4" s="1"/>
  <c r="N79" i="4"/>
  <c r="M79" i="4"/>
  <c r="L79" i="4"/>
  <c r="K79" i="4"/>
  <c r="AI78" i="4"/>
  <c r="AF78" i="4"/>
  <c r="AB78" i="4"/>
  <c r="Q78" i="4"/>
  <c r="R78" i="4" s="1"/>
  <c r="N78" i="4"/>
  <c r="M78" i="4"/>
  <c r="L78" i="4"/>
  <c r="K78" i="4"/>
  <c r="AI77" i="4"/>
  <c r="AF77" i="4"/>
  <c r="AB77" i="4"/>
  <c r="Q77" i="4"/>
  <c r="R77" i="4" s="1"/>
  <c r="N77" i="4"/>
  <c r="M77" i="4"/>
  <c r="L77" i="4"/>
  <c r="K77" i="4"/>
  <c r="AI76" i="4"/>
  <c r="AF76" i="4"/>
  <c r="AB76" i="4"/>
  <c r="Q76" i="4"/>
  <c r="R76" i="4" s="1"/>
  <c r="N76" i="4"/>
  <c r="M76" i="4"/>
  <c r="L76" i="4"/>
  <c r="K76" i="4"/>
  <c r="AI75" i="4"/>
  <c r="AF75" i="4"/>
  <c r="AB75" i="4"/>
  <c r="Q75" i="4"/>
  <c r="R75" i="4" s="1"/>
  <c r="N75" i="4"/>
  <c r="M75" i="4"/>
  <c r="L75" i="4"/>
  <c r="K75" i="4"/>
  <c r="AI74" i="4"/>
  <c r="AF74" i="4"/>
  <c r="AB74" i="4"/>
  <c r="Q74" i="4"/>
  <c r="R74" i="4" s="1"/>
  <c r="N74" i="4"/>
  <c r="M74" i="4"/>
  <c r="L74" i="4"/>
  <c r="K74" i="4"/>
  <c r="AI73" i="4"/>
  <c r="AF73" i="4"/>
  <c r="AB73" i="4"/>
  <c r="Q73" i="4"/>
  <c r="R73" i="4" s="1"/>
  <c r="N73" i="4"/>
  <c r="M73" i="4"/>
  <c r="L73" i="4"/>
  <c r="K73" i="4"/>
  <c r="AI72" i="4"/>
  <c r="AF72" i="4"/>
  <c r="AB72" i="4"/>
  <c r="Q72" i="4"/>
  <c r="R72" i="4" s="1"/>
  <c r="N72" i="4"/>
  <c r="M72" i="4"/>
  <c r="L72" i="4"/>
  <c r="K72" i="4"/>
  <c r="AI71" i="4"/>
  <c r="AF71" i="4"/>
  <c r="AB71" i="4"/>
  <c r="Q71" i="4"/>
  <c r="R71" i="4" s="1"/>
  <c r="N71" i="4"/>
  <c r="M71" i="4"/>
  <c r="L71" i="4"/>
  <c r="K71" i="4"/>
  <c r="AI70" i="4"/>
  <c r="AF70" i="4"/>
  <c r="AB70" i="4"/>
  <c r="Q70" i="4"/>
  <c r="R70" i="4" s="1"/>
  <c r="N70" i="4"/>
  <c r="M70" i="4"/>
  <c r="L70" i="4"/>
  <c r="K70" i="4"/>
  <c r="AI69" i="4"/>
  <c r="AF69" i="4"/>
  <c r="AB69" i="4"/>
  <c r="Q69" i="4"/>
  <c r="R69" i="4" s="1"/>
  <c r="N69" i="4"/>
  <c r="M69" i="4"/>
  <c r="L69" i="4"/>
  <c r="K69" i="4"/>
  <c r="AI68" i="4"/>
  <c r="AF68" i="4"/>
  <c r="AB68" i="4"/>
  <c r="Q68" i="4"/>
  <c r="R68" i="4" s="1"/>
  <c r="N68" i="4"/>
  <c r="M68" i="4"/>
  <c r="L68" i="4"/>
  <c r="K68" i="4"/>
  <c r="AI67" i="4"/>
  <c r="AF67" i="4"/>
  <c r="AB67" i="4"/>
  <c r="Q67" i="4"/>
  <c r="R67" i="4" s="1"/>
  <c r="N67" i="4"/>
  <c r="M67" i="4"/>
  <c r="L67" i="4"/>
  <c r="K67" i="4"/>
  <c r="AI66" i="4"/>
  <c r="AF66" i="4"/>
  <c r="AB66" i="4"/>
  <c r="Q66" i="4"/>
  <c r="R66" i="4" s="1"/>
  <c r="N66" i="4"/>
  <c r="M66" i="4"/>
  <c r="L66" i="4"/>
  <c r="K66" i="4"/>
  <c r="AI65" i="4"/>
  <c r="AF65" i="4"/>
  <c r="AB65" i="4"/>
  <c r="Q65" i="4"/>
  <c r="R65" i="4" s="1"/>
  <c r="N65" i="4"/>
  <c r="M65" i="4"/>
  <c r="L65" i="4"/>
  <c r="K65" i="4"/>
  <c r="AI64" i="4"/>
  <c r="AF64" i="4"/>
  <c r="AB64" i="4"/>
  <c r="Q64" i="4"/>
  <c r="R64" i="4" s="1"/>
  <c r="N64" i="4"/>
  <c r="M64" i="4"/>
  <c r="L64" i="4"/>
  <c r="K64" i="4"/>
  <c r="AI63" i="4"/>
  <c r="AF63" i="4"/>
  <c r="AB63" i="4"/>
  <c r="Q63" i="4"/>
  <c r="R63" i="4" s="1"/>
  <c r="N63" i="4"/>
  <c r="M63" i="4"/>
  <c r="L63" i="4"/>
  <c r="K63" i="4"/>
  <c r="AI62" i="4"/>
  <c r="AF62" i="4"/>
  <c r="AB62" i="4"/>
  <c r="Q62" i="4"/>
  <c r="R62" i="4" s="1"/>
  <c r="N62" i="4"/>
  <c r="M62" i="4"/>
  <c r="L62" i="4"/>
  <c r="K62" i="4"/>
  <c r="AI61" i="4"/>
  <c r="AF61" i="4"/>
  <c r="AB61" i="4"/>
  <c r="Q61" i="4"/>
  <c r="R61" i="4" s="1"/>
  <c r="N61" i="4"/>
  <c r="M61" i="4"/>
  <c r="L61" i="4"/>
  <c r="K61" i="4"/>
  <c r="AI60" i="4"/>
  <c r="AF60" i="4"/>
  <c r="AB60" i="4"/>
  <c r="Q60" i="4"/>
  <c r="R60" i="4" s="1"/>
  <c r="N60" i="4"/>
  <c r="M60" i="4"/>
  <c r="L60" i="4"/>
  <c r="K60" i="4"/>
  <c r="AI59" i="4"/>
  <c r="AF59" i="4"/>
  <c r="AB59" i="4"/>
  <c r="Q59" i="4"/>
  <c r="R59" i="4" s="1"/>
  <c r="N59" i="4"/>
  <c r="M59" i="4"/>
  <c r="L59" i="4"/>
  <c r="K59" i="4"/>
  <c r="AI58" i="4"/>
  <c r="AF58" i="4"/>
  <c r="AB58" i="4"/>
  <c r="Q58" i="4"/>
  <c r="R58" i="4" s="1"/>
  <c r="N58" i="4"/>
  <c r="M58" i="4"/>
  <c r="L58" i="4"/>
  <c r="K58" i="4"/>
  <c r="AI57" i="4"/>
  <c r="AF57" i="4"/>
  <c r="AB57" i="4"/>
  <c r="Q57" i="4"/>
  <c r="R57" i="4" s="1"/>
  <c r="N57" i="4"/>
  <c r="M57" i="4"/>
  <c r="L57" i="4"/>
  <c r="K57" i="4"/>
  <c r="AI56" i="4"/>
  <c r="AF56" i="4"/>
  <c r="AB56" i="4"/>
  <c r="Q56" i="4"/>
  <c r="R56" i="4" s="1"/>
  <c r="N56" i="4"/>
  <c r="M56" i="4"/>
  <c r="L56" i="4"/>
  <c r="K56" i="4"/>
  <c r="AI55" i="4"/>
  <c r="AF55" i="4"/>
  <c r="AB55" i="4"/>
  <c r="Q55" i="4"/>
  <c r="R55" i="4" s="1"/>
  <c r="N55" i="4"/>
  <c r="M55" i="4"/>
  <c r="L55" i="4"/>
  <c r="K55" i="4"/>
  <c r="AI54" i="4"/>
  <c r="AF54" i="4"/>
  <c r="AB54" i="4"/>
  <c r="Q54" i="4"/>
  <c r="R54" i="4" s="1"/>
  <c r="N54" i="4"/>
  <c r="M54" i="4"/>
  <c r="L54" i="4"/>
  <c r="K54" i="4"/>
  <c r="AI53" i="4"/>
  <c r="AF53" i="4"/>
  <c r="AB53" i="4"/>
  <c r="Q53" i="4"/>
  <c r="R53" i="4" s="1"/>
  <c r="N53" i="4"/>
  <c r="M53" i="4"/>
  <c r="L53" i="4"/>
  <c r="K53" i="4"/>
  <c r="AI52" i="4"/>
  <c r="AF52" i="4"/>
  <c r="AB52" i="4"/>
  <c r="Q52" i="4"/>
  <c r="R52" i="4" s="1"/>
  <c r="N52" i="4"/>
  <c r="M52" i="4"/>
  <c r="L52" i="4"/>
  <c r="K52" i="4"/>
  <c r="AI51" i="4"/>
  <c r="AF51" i="4"/>
  <c r="AB51" i="4"/>
  <c r="Q51" i="4"/>
  <c r="R51" i="4" s="1"/>
  <c r="N51" i="4"/>
  <c r="M51" i="4"/>
  <c r="L51" i="4"/>
  <c r="K51" i="4"/>
  <c r="AI50" i="4"/>
  <c r="AF50" i="4"/>
  <c r="AB50" i="4"/>
  <c r="Q50" i="4"/>
  <c r="R50" i="4" s="1"/>
  <c r="N50" i="4"/>
  <c r="M50" i="4"/>
  <c r="L50" i="4"/>
  <c r="K50" i="4"/>
  <c r="AI49" i="4"/>
  <c r="AF49" i="4"/>
  <c r="AB49" i="4"/>
  <c r="Q49" i="4"/>
  <c r="R49" i="4" s="1"/>
  <c r="N49" i="4"/>
  <c r="M49" i="4"/>
  <c r="L49" i="4"/>
  <c r="K49" i="4"/>
  <c r="AI48" i="4"/>
  <c r="AF48" i="4"/>
  <c r="AB48" i="4"/>
  <c r="Q48" i="4"/>
  <c r="R48" i="4" s="1"/>
  <c r="N48" i="4"/>
  <c r="M48" i="4"/>
  <c r="L48" i="4"/>
  <c r="K48" i="4"/>
  <c r="AI47" i="4"/>
  <c r="AF47" i="4"/>
  <c r="AB47" i="4"/>
  <c r="Q47" i="4"/>
  <c r="R47" i="4" s="1"/>
  <c r="N47" i="4"/>
  <c r="M47" i="4"/>
  <c r="L47" i="4"/>
  <c r="K47" i="4"/>
  <c r="AI46" i="4"/>
  <c r="AF46" i="4"/>
  <c r="AB46" i="4"/>
  <c r="Q46" i="4"/>
  <c r="R46" i="4" s="1"/>
  <c r="N46" i="4"/>
  <c r="M46" i="4"/>
  <c r="L46" i="4"/>
  <c r="K46" i="4"/>
  <c r="AI45" i="4"/>
  <c r="AF45" i="4"/>
  <c r="AB45" i="4"/>
  <c r="Q45" i="4"/>
  <c r="R45" i="4" s="1"/>
  <c r="N45" i="4"/>
  <c r="M45" i="4"/>
  <c r="L45" i="4"/>
  <c r="K45" i="4"/>
  <c r="AI44" i="4"/>
  <c r="AF44" i="4"/>
  <c r="AB44" i="4"/>
  <c r="Q44" i="4"/>
  <c r="R44" i="4" s="1"/>
  <c r="N44" i="4"/>
  <c r="M44" i="4"/>
  <c r="L44" i="4"/>
  <c r="K44" i="4"/>
  <c r="AI43" i="4"/>
  <c r="AF43" i="4"/>
  <c r="AB43" i="4"/>
  <c r="Q43" i="4"/>
  <c r="R43" i="4" s="1"/>
  <c r="N43" i="4"/>
  <c r="M43" i="4"/>
  <c r="L43" i="4"/>
  <c r="K43" i="4"/>
  <c r="AI42" i="4"/>
  <c r="AF42" i="4"/>
  <c r="AB42" i="4"/>
  <c r="Q42" i="4"/>
  <c r="R42" i="4" s="1"/>
  <c r="N42" i="4"/>
  <c r="M42" i="4"/>
  <c r="L42" i="4"/>
  <c r="K42" i="4"/>
  <c r="AI41" i="4"/>
  <c r="AF41" i="4"/>
  <c r="AB41" i="4"/>
  <c r="Q41" i="4"/>
  <c r="R41" i="4" s="1"/>
  <c r="N41" i="4"/>
  <c r="M41" i="4"/>
  <c r="L41" i="4"/>
  <c r="K41" i="4"/>
  <c r="AI40" i="4"/>
  <c r="AF40" i="4"/>
  <c r="AB40" i="4"/>
  <c r="Q40" i="4"/>
  <c r="R40" i="4" s="1"/>
  <c r="N40" i="4"/>
  <c r="M40" i="4"/>
  <c r="L40" i="4"/>
  <c r="K40" i="4"/>
  <c r="AI39" i="4"/>
  <c r="AF39" i="4"/>
  <c r="AB39" i="4"/>
  <c r="Q39" i="4"/>
  <c r="R39" i="4" s="1"/>
  <c r="N39" i="4"/>
  <c r="M39" i="4"/>
  <c r="L39" i="4"/>
  <c r="K39" i="4"/>
  <c r="AI38" i="4"/>
  <c r="AF38" i="4"/>
  <c r="AB38" i="4"/>
  <c r="Q38" i="4"/>
  <c r="R38" i="4" s="1"/>
  <c r="N38" i="4"/>
  <c r="M38" i="4"/>
  <c r="L38" i="4"/>
  <c r="K38" i="4"/>
  <c r="AI37" i="4"/>
  <c r="AF37" i="4"/>
  <c r="AB37" i="4"/>
  <c r="Q37" i="4"/>
  <c r="R37" i="4" s="1"/>
  <c r="N37" i="4"/>
  <c r="M37" i="4"/>
  <c r="L37" i="4"/>
  <c r="K37" i="4"/>
  <c r="AI36" i="4"/>
  <c r="AF36" i="4"/>
  <c r="AB36" i="4"/>
  <c r="Q36" i="4"/>
  <c r="R36" i="4" s="1"/>
  <c r="N36" i="4"/>
  <c r="M36" i="4"/>
  <c r="L36" i="4"/>
  <c r="K36" i="4"/>
  <c r="AI35" i="4"/>
  <c r="AF35" i="4"/>
  <c r="AB35" i="4"/>
  <c r="Q35" i="4"/>
  <c r="R35" i="4" s="1"/>
  <c r="N35" i="4"/>
  <c r="M35" i="4"/>
  <c r="L35" i="4"/>
  <c r="K35" i="4"/>
  <c r="AI34" i="4"/>
  <c r="AF34" i="4"/>
  <c r="AB34" i="4"/>
  <c r="Q34" i="4"/>
  <c r="R34" i="4" s="1"/>
  <c r="N34" i="4"/>
  <c r="M34" i="4"/>
  <c r="L34" i="4"/>
  <c r="K34" i="4"/>
  <c r="AI33" i="4"/>
  <c r="AF33" i="4"/>
  <c r="AB33" i="4"/>
  <c r="Q33" i="4"/>
  <c r="R33" i="4" s="1"/>
  <c r="N33" i="4"/>
  <c r="M33" i="4"/>
  <c r="L33" i="4"/>
  <c r="K33" i="4"/>
  <c r="AI32" i="4"/>
  <c r="AF32" i="4"/>
  <c r="AB32" i="4"/>
  <c r="Q32" i="4"/>
  <c r="R32" i="4" s="1"/>
  <c r="N32" i="4"/>
  <c r="M32" i="4"/>
  <c r="L32" i="4"/>
  <c r="K32" i="4"/>
  <c r="AI31" i="4"/>
  <c r="AF31" i="4"/>
  <c r="AB31" i="4"/>
  <c r="Q31" i="4"/>
  <c r="R31" i="4" s="1"/>
  <c r="N31" i="4"/>
  <c r="M31" i="4"/>
  <c r="L31" i="4"/>
  <c r="K31" i="4"/>
  <c r="AI30" i="4"/>
  <c r="AF30" i="4"/>
  <c r="AB30" i="4"/>
  <c r="Q30" i="4"/>
  <c r="R30" i="4" s="1"/>
  <c r="N30" i="4"/>
  <c r="M30" i="4"/>
  <c r="L30" i="4"/>
  <c r="K30" i="4"/>
  <c r="AI29" i="4"/>
  <c r="AF29" i="4"/>
  <c r="AB29" i="4"/>
  <c r="Q29" i="4"/>
  <c r="R29" i="4" s="1"/>
  <c r="N29" i="4"/>
  <c r="M29" i="4"/>
  <c r="L29" i="4"/>
  <c r="K29" i="4"/>
  <c r="AI28" i="4"/>
  <c r="AF28" i="4"/>
  <c r="AB28" i="4"/>
  <c r="Q28" i="4"/>
  <c r="R28" i="4" s="1"/>
  <c r="N28" i="4"/>
  <c r="M28" i="4"/>
  <c r="L28" i="4"/>
  <c r="K28" i="4"/>
  <c r="AI27" i="4"/>
  <c r="AF27" i="4"/>
  <c r="AB27" i="4"/>
  <c r="Q27" i="4"/>
  <c r="R27" i="4" s="1"/>
  <c r="N27" i="4"/>
  <c r="M27" i="4"/>
  <c r="L27" i="4"/>
  <c r="K27" i="4"/>
  <c r="AI26" i="4"/>
  <c r="AF26" i="4"/>
  <c r="AB26" i="4"/>
  <c r="Q26" i="4"/>
  <c r="R26" i="4" s="1"/>
  <c r="N26" i="4"/>
  <c r="M26" i="4"/>
  <c r="L26" i="4"/>
  <c r="K26" i="4"/>
  <c r="AI25" i="4"/>
  <c r="AF25" i="4"/>
  <c r="AB25" i="4"/>
  <c r="Q25" i="4"/>
  <c r="R25" i="4" s="1"/>
  <c r="N25" i="4"/>
  <c r="M25" i="4"/>
  <c r="L25" i="4"/>
  <c r="K25" i="4"/>
  <c r="AI24" i="4"/>
  <c r="AF24" i="4"/>
  <c r="AB24" i="4"/>
  <c r="Q24" i="4"/>
  <c r="R24" i="4" s="1"/>
  <c r="N24" i="4"/>
  <c r="M24" i="4"/>
  <c r="L24" i="4"/>
  <c r="K24" i="4"/>
  <c r="AI23" i="4"/>
  <c r="AF23" i="4"/>
  <c r="AB23" i="4"/>
  <c r="Q23" i="4"/>
  <c r="R23" i="4" s="1"/>
  <c r="N23" i="4"/>
  <c r="M23" i="4"/>
  <c r="L23" i="4"/>
  <c r="K23" i="4"/>
  <c r="AI22" i="4"/>
  <c r="AF22" i="4"/>
  <c r="AB22" i="4"/>
  <c r="Q22" i="4"/>
  <c r="R22" i="4" s="1"/>
  <c r="N22" i="4"/>
  <c r="M22" i="4"/>
  <c r="L22" i="4"/>
  <c r="K22" i="4"/>
  <c r="AI21" i="4"/>
  <c r="AF21" i="4"/>
  <c r="AB21" i="4"/>
  <c r="Q21" i="4"/>
  <c r="R21" i="4" s="1"/>
  <c r="N21" i="4"/>
  <c r="M21" i="4"/>
  <c r="L21" i="4"/>
  <c r="K21" i="4"/>
  <c r="AI20" i="4"/>
  <c r="AF20" i="4"/>
  <c r="AB20" i="4"/>
  <c r="Q20" i="4"/>
  <c r="R20" i="4" s="1"/>
  <c r="N20" i="4"/>
  <c r="M20" i="4"/>
  <c r="L20" i="4"/>
  <c r="K20" i="4"/>
  <c r="AI19" i="4"/>
  <c r="AF19" i="4"/>
  <c r="AB19" i="4"/>
  <c r="Q19" i="4"/>
  <c r="R19" i="4" s="1"/>
  <c r="N19" i="4"/>
  <c r="M19" i="4"/>
  <c r="L19" i="4"/>
  <c r="K19" i="4"/>
  <c r="AI18" i="4"/>
  <c r="AF18" i="4"/>
  <c r="AB18" i="4"/>
  <c r="Q18" i="4"/>
  <c r="R18" i="4" s="1"/>
  <c r="N18" i="4"/>
  <c r="M18" i="4"/>
  <c r="L18" i="4"/>
  <c r="K18" i="4"/>
  <c r="AI17" i="4"/>
  <c r="AF17" i="4"/>
  <c r="AB17" i="4"/>
  <c r="Q17" i="4"/>
  <c r="R17" i="4" s="1"/>
  <c r="N17" i="4"/>
  <c r="M17" i="4"/>
  <c r="L17" i="4"/>
  <c r="K17" i="4"/>
  <c r="AI16" i="4"/>
  <c r="AF16" i="4"/>
  <c r="AB16" i="4"/>
  <c r="Q16" i="4"/>
  <c r="R16" i="4" s="1"/>
  <c r="N16" i="4"/>
  <c r="M16" i="4"/>
  <c r="L16" i="4"/>
  <c r="K16" i="4"/>
  <c r="AI15" i="4"/>
  <c r="AF15" i="4"/>
  <c r="AB15" i="4"/>
  <c r="Q15" i="4"/>
  <c r="R15" i="4" s="1"/>
  <c r="N15" i="4"/>
  <c r="M15" i="4"/>
  <c r="L15" i="4"/>
  <c r="K15" i="4"/>
  <c r="AI14" i="4"/>
  <c r="AF14" i="4"/>
  <c r="AB14" i="4"/>
  <c r="Q14" i="4"/>
  <c r="R14" i="4" s="1"/>
  <c r="N14" i="4"/>
  <c r="M14" i="4"/>
  <c r="L14" i="4"/>
  <c r="K14" i="4"/>
  <c r="AI13" i="4"/>
  <c r="AF13" i="4"/>
  <c r="AB13" i="4"/>
  <c r="Q13" i="4"/>
  <c r="R13" i="4" s="1"/>
  <c r="N13" i="4"/>
  <c r="M13" i="4"/>
  <c r="L13" i="4"/>
  <c r="K13" i="4"/>
  <c r="AI12" i="4"/>
  <c r="AF12" i="4"/>
  <c r="AB12" i="4"/>
  <c r="Q12" i="4"/>
  <c r="R12" i="4" s="1"/>
  <c r="N12" i="4"/>
  <c r="M12" i="4"/>
  <c r="L12" i="4"/>
  <c r="K12" i="4"/>
  <c r="AI11" i="4"/>
  <c r="AF11" i="4"/>
  <c r="AB11" i="4"/>
  <c r="Q11" i="4"/>
  <c r="R11" i="4" s="1"/>
  <c r="N11" i="4"/>
  <c r="M11" i="4"/>
  <c r="L11" i="4"/>
  <c r="K11" i="4"/>
  <c r="AI10" i="4"/>
  <c r="AF10" i="4"/>
  <c r="AB10" i="4"/>
  <c r="Q10" i="4"/>
  <c r="R10" i="4" s="1"/>
  <c r="N10" i="4"/>
  <c r="M10" i="4"/>
  <c r="L10" i="4"/>
  <c r="K10" i="4"/>
  <c r="AI9" i="4"/>
  <c r="AF9" i="4"/>
  <c r="AB9" i="4"/>
  <c r="Q9" i="4"/>
  <c r="R9" i="4" s="1"/>
  <c r="N9" i="4"/>
  <c r="M9" i="4"/>
  <c r="L9" i="4"/>
  <c r="K9" i="4"/>
  <c r="AI8" i="4"/>
  <c r="AF8" i="4"/>
  <c r="AB8" i="4"/>
  <c r="Q8" i="4"/>
  <c r="R8" i="4" s="1"/>
  <c r="N8" i="4"/>
  <c r="M8" i="4"/>
  <c r="L8" i="4"/>
  <c r="K8" i="4"/>
  <c r="AI7" i="4"/>
  <c r="AF7" i="4"/>
  <c r="AB7" i="4"/>
  <c r="Q7" i="4"/>
  <c r="R7" i="4" s="1"/>
  <c r="N7" i="4"/>
  <c r="M7" i="4"/>
  <c r="L7" i="4"/>
  <c r="K7" i="4"/>
  <c r="AI6" i="4"/>
  <c r="AF6" i="4"/>
  <c r="AB6" i="4"/>
  <c r="Q6" i="4"/>
  <c r="R6" i="4" s="1"/>
  <c r="N6" i="4"/>
  <c r="M6" i="4"/>
  <c r="L6" i="4"/>
  <c r="K6" i="4"/>
  <c r="AI5" i="4"/>
  <c r="AF5" i="4"/>
  <c r="AB5" i="4"/>
  <c r="Q5" i="4"/>
  <c r="R5" i="4" s="1"/>
  <c r="N5" i="4"/>
  <c r="M5" i="4"/>
  <c r="L5" i="4"/>
  <c r="K5" i="4"/>
  <c r="AI4" i="4"/>
  <c r="AF4" i="4"/>
  <c r="AB4" i="4"/>
  <c r="Q4" i="4"/>
  <c r="R4" i="4" s="1"/>
  <c r="N4" i="4"/>
  <c r="M4" i="4"/>
  <c r="L4" i="4"/>
  <c r="K4" i="4"/>
  <c r="AI3" i="4"/>
  <c r="AF3" i="4"/>
  <c r="AB3" i="4"/>
  <c r="Q3" i="4"/>
  <c r="R3" i="4" s="1"/>
  <c r="N3" i="4"/>
  <c r="M3" i="4"/>
  <c r="L3" i="4"/>
  <c r="K3" i="4"/>
  <c r="AI2" i="4"/>
  <c r="AF2" i="4"/>
  <c r="AB2" i="4"/>
  <c r="Q2" i="4"/>
  <c r="R2" i="4" s="1"/>
  <c r="N2" i="4"/>
  <c r="M2" i="4"/>
  <c r="L2" i="4"/>
  <c r="K2" i="4"/>
  <c r="AC503" i="4" l="1"/>
  <c r="S503" i="4"/>
  <c r="AG503" i="4" s="1"/>
  <c r="T503" i="4"/>
  <c r="U503" i="4"/>
  <c r="P503" i="4"/>
  <c r="O503" i="4"/>
  <c r="AC502" i="4"/>
  <c r="S502" i="4"/>
  <c r="AG502" i="4" s="1"/>
  <c r="T502" i="4"/>
  <c r="U502" i="4"/>
  <c r="O502" i="4"/>
  <c r="P502" i="4"/>
  <c r="AC501" i="4"/>
  <c r="U501" i="4"/>
  <c r="S501" i="4"/>
  <c r="AG501" i="4" s="1"/>
  <c r="T501" i="4"/>
  <c r="O501" i="4"/>
  <c r="P501" i="4"/>
  <c r="AC500" i="4"/>
  <c r="T500" i="4"/>
  <c r="S500" i="4"/>
  <c r="AG500" i="4" s="1"/>
  <c r="U500" i="4"/>
  <c r="O500" i="4"/>
  <c r="P500" i="4"/>
  <c r="AC499" i="4"/>
  <c r="T499" i="4"/>
  <c r="S499" i="4"/>
  <c r="AG499" i="4" s="1"/>
  <c r="U499" i="4"/>
  <c r="P499" i="4"/>
  <c r="O499" i="4"/>
  <c r="AC498" i="4"/>
  <c r="T498" i="4"/>
  <c r="S498" i="4"/>
  <c r="AG498" i="4" s="1"/>
  <c r="U498" i="4"/>
  <c r="P498" i="4"/>
  <c r="O498" i="4"/>
  <c r="AC497" i="4"/>
  <c r="U497" i="4"/>
  <c r="S497" i="4"/>
  <c r="AG497" i="4" s="1"/>
  <c r="T497" i="4"/>
  <c r="O497" i="4"/>
  <c r="P497" i="4"/>
  <c r="AC496" i="4"/>
  <c r="U496" i="4"/>
  <c r="S496" i="4"/>
  <c r="AG496" i="4" s="1"/>
  <c r="T496" i="4"/>
  <c r="O496" i="4"/>
  <c r="P496" i="4"/>
  <c r="AC495" i="4"/>
  <c r="U495" i="4"/>
  <c r="T495" i="4"/>
  <c r="S495" i="4"/>
  <c r="AG495" i="4" s="1"/>
  <c r="P495" i="4"/>
  <c r="O495" i="4"/>
  <c r="AC494" i="4"/>
  <c r="S494" i="4"/>
  <c r="AG494" i="4" s="1"/>
  <c r="T494" i="4"/>
  <c r="U494" i="4"/>
  <c r="P494" i="4"/>
  <c r="O494" i="4"/>
  <c r="AC493" i="4"/>
  <c r="U493" i="4"/>
  <c r="T493" i="4"/>
  <c r="S493" i="4"/>
  <c r="AG493" i="4" s="1"/>
  <c r="O493" i="4"/>
  <c r="P493" i="4"/>
  <c r="AC492" i="4"/>
  <c r="T492" i="4"/>
  <c r="U492" i="4"/>
  <c r="S492" i="4"/>
  <c r="AG492" i="4" s="1"/>
  <c r="P492" i="4"/>
  <c r="O492" i="4"/>
  <c r="AC491" i="4"/>
  <c r="U491" i="4"/>
  <c r="T491" i="4"/>
  <c r="S491" i="4"/>
  <c r="AG491" i="4" s="1"/>
  <c r="O491" i="4"/>
  <c r="P491" i="4"/>
  <c r="AC490" i="4"/>
  <c r="T490" i="4"/>
  <c r="S490" i="4"/>
  <c r="AG490" i="4" s="1"/>
  <c r="U490" i="4"/>
  <c r="O490" i="4"/>
  <c r="P490" i="4"/>
  <c r="AC489" i="4"/>
  <c r="T489" i="4"/>
  <c r="S489" i="4"/>
  <c r="AG489" i="4" s="1"/>
  <c r="U489" i="4"/>
  <c r="O489" i="4"/>
  <c r="P489" i="4"/>
  <c r="AC488" i="4"/>
  <c r="T488" i="4"/>
  <c r="S488" i="4"/>
  <c r="AG488" i="4" s="1"/>
  <c r="U488" i="4"/>
  <c r="P488" i="4"/>
  <c r="O488" i="4"/>
  <c r="AC487" i="4"/>
  <c r="S487" i="4"/>
  <c r="AG487" i="4" s="1"/>
  <c r="U487" i="4"/>
  <c r="T487" i="4"/>
  <c r="O487" i="4"/>
  <c r="P487" i="4"/>
  <c r="T486" i="4"/>
  <c r="S486" i="4"/>
  <c r="AG486" i="4" s="1"/>
  <c r="U486" i="4"/>
  <c r="P486" i="4"/>
  <c r="O486" i="4"/>
  <c r="AC485" i="4"/>
  <c r="T485" i="4"/>
  <c r="S485" i="4"/>
  <c r="AG485" i="4" s="1"/>
  <c r="U485" i="4"/>
  <c r="O485" i="4"/>
  <c r="P485" i="4"/>
  <c r="AC484" i="4"/>
  <c r="U484" i="4"/>
  <c r="S484" i="4"/>
  <c r="AG484" i="4" s="1"/>
  <c r="T484" i="4"/>
  <c r="O484" i="4"/>
  <c r="P484" i="4"/>
  <c r="AC483" i="4"/>
  <c r="U483" i="4"/>
  <c r="S483" i="4"/>
  <c r="AG483" i="4" s="1"/>
  <c r="T483" i="4"/>
  <c r="O483" i="4"/>
  <c r="P483" i="4"/>
  <c r="AC482" i="4"/>
  <c r="T482" i="4"/>
  <c r="S482" i="4"/>
  <c r="AG482" i="4" s="1"/>
  <c r="U482" i="4"/>
  <c r="P482" i="4"/>
  <c r="O482" i="4"/>
  <c r="AC481" i="4"/>
  <c r="U481" i="4"/>
  <c r="S481" i="4"/>
  <c r="AG481" i="4" s="1"/>
  <c r="T481" i="4"/>
  <c r="P481" i="4"/>
  <c r="O481" i="4"/>
  <c r="AC480" i="4"/>
  <c r="U480" i="4"/>
  <c r="T480" i="4"/>
  <c r="S480" i="4"/>
  <c r="AG480" i="4" s="1"/>
  <c r="O480" i="4"/>
  <c r="P480" i="4"/>
  <c r="AC479" i="4"/>
  <c r="T479" i="4"/>
  <c r="S479" i="4"/>
  <c r="AG479" i="4" s="1"/>
  <c r="U479" i="4"/>
  <c r="O479" i="4"/>
  <c r="P479" i="4"/>
  <c r="AC478" i="4"/>
  <c r="U478" i="4"/>
  <c r="S478" i="4"/>
  <c r="AG478" i="4" s="1"/>
  <c r="T478" i="4"/>
  <c r="P478" i="4"/>
  <c r="O478" i="4"/>
  <c r="AC477" i="4"/>
  <c r="T477" i="4"/>
  <c r="S477" i="4"/>
  <c r="AG477" i="4" s="1"/>
  <c r="U477" i="4"/>
  <c r="O477" i="4"/>
  <c r="P477" i="4"/>
  <c r="AC476" i="4"/>
  <c r="U476" i="4"/>
  <c r="S476" i="4"/>
  <c r="AG476" i="4" s="1"/>
  <c r="T476" i="4"/>
  <c r="P476" i="4"/>
  <c r="O476" i="4"/>
  <c r="AC475" i="4"/>
  <c r="S475" i="4"/>
  <c r="AG475" i="4" s="1"/>
  <c r="U475" i="4"/>
  <c r="T475" i="4"/>
  <c r="P475" i="4"/>
  <c r="O475" i="4"/>
  <c r="AC474" i="4"/>
  <c r="T474" i="4"/>
  <c r="U474" i="4"/>
  <c r="S474" i="4"/>
  <c r="AG474" i="4" s="1"/>
  <c r="P474" i="4"/>
  <c r="O474" i="4"/>
  <c r="AC473" i="4"/>
  <c r="U473" i="4"/>
  <c r="T473" i="4"/>
  <c r="S473" i="4"/>
  <c r="AG473" i="4" s="1"/>
  <c r="P473" i="4"/>
  <c r="O473" i="4"/>
  <c r="AC472" i="4"/>
  <c r="T472" i="4"/>
  <c r="S472" i="4"/>
  <c r="AG472" i="4" s="1"/>
  <c r="U472" i="4"/>
  <c r="P472" i="4"/>
  <c r="O472" i="4"/>
  <c r="AC471" i="4"/>
  <c r="U471" i="4"/>
  <c r="T471" i="4"/>
  <c r="S471" i="4"/>
  <c r="AG471" i="4" s="1"/>
  <c r="O471" i="4"/>
  <c r="P471" i="4"/>
  <c r="AC470" i="4"/>
  <c r="U470" i="4"/>
  <c r="T470" i="4"/>
  <c r="S470" i="4"/>
  <c r="AG470" i="4" s="1"/>
  <c r="O470" i="4"/>
  <c r="P470" i="4"/>
  <c r="AC469" i="4"/>
  <c r="S469" i="4"/>
  <c r="AG469" i="4" s="1"/>
  <c r="U469" i="4"/>
  <c r="T469" i="4"/>
  <c r="O469" i="4"/>
  <c r="P469" i="4"/>
  <c r="AC468" i="4"/>
  <c r="U468" i="4"/>
  <c r="S468" i="4"/>
  <c r="AG468" i="4" s="1"/>
  <c r="T468" i="4"/>
  <c r="O468" i="4"/>
  <c r="P468" i="4"/>
  <c r="AC467" i="4"/>
  <c r="T467" i="4"/>
  <c r="S467" i="4"/>
  <c r="AG467" i="4" s="1"/>
  <c r="U467" i="4"/>
  <c r="P467" i="4"/>
  <c r="O467" i="4"/>
  <c r="AC466" i="4"/>
  <c r="S466" i="4"/>
  <c r="AG466" i="4" s="1"/>
  <c r="T466" i="4"/>
  <c r="U466" i="4"/>
  <c r="P466" i="4"/>
  <c r="O466" i="4"/>
  <c r="AC465" i="4"/>
  <c r="S465" i="4"/>
  <c r="AG465" i="4" s="1"/>
  <c r="U465" i="4"/>
  <c r="T465" i="4"/>
  <c r="O465" i="4"/>
  <c r="P465" i="4"/>
  <c r="AC464" i="4"/>
  <c r="U464" i="4"/>
  <c r="S464" i="4"/>
  <c r="AG464" i="4" s="1"/>
  <c r="T464" i="4"/>
  <c r="O464" i="4"/>
  <c r="P464" i="4"/>
  <c r="AC463" i="4"/>
  <c r="S463" i="4"/>
  <c r="AG463" i="4" s="1"/>
  <c r="U463" i="4"/>
  <c r="T463" i="4"/>
  <c r="O463" i="4"/>
  <c r="P463" i="4"/>
  <c r="AC462" i="4"/>
  <c r="U462" i="4"/>
  <c r="T462" i="4"/>
  <c r="S462" i="4"/>
  <c r="AG462" i="4" s="1"/>
  <c r="P462" i="4"/>
  <c r="O462" i="4"/>
  <c r="AC461" i="4"/>
  <c r="T461" i="4"/>
  <c r="S461" i="4"/>
  <c r="AG461" i="4" s="1"/>
  <c r="U461" i="4"/>
  <c r="P461" i="4"/>
  <c r="O461" i="4"/>
  <c r="AC460" i="4"/>
  <c r="T460" i="4"/>
  <c r="U460" i="4"/>
  <c r="S460" i="4"/>
  <c r="AG460" i="4" s="1"/>
  <c r="O460" i="4"/>
  <c r="P460" i="4"/>
  <c r="AC459" i="4"/>
  <c r="U459" i="4"/>
  <c r="T459" i="4"/>
  <c r="S459" i="4"/>
  <c r="AG459" i="4" s="1"/>
  <c r="O459" i="4"/>
  <c r="P459" i="4"/>
  <c r="AC458" i="4"/>
  <c r="T458" i="4"/>
  <c r="S458" i="4"/>
  <c r="AG458" i="4" s="1"/>
  <c r="U458" i="4"/>
  <c r="O458" i="4"/>
  <c r="P458" i="4"/>
  <c r="AC457" i="4"/>
  <c r="T457" i="4"/>
  <c r="U457" i="4"/>
  <c r="S457" i="4"/>
  <c r="AG457" i="4" s="1"/>
  <c r="O457" i="4"/>
  <c r="P457" i="4"/>
  <c r="AC456" i="4"/>
  <c r="S456" i="4"/>
  <c r="AG456" i="4" s="1"/>
  <c r="U456" i="4"/>
  <c r="T456" i="4"/>
  <c r="P456" i="4"/>
  <c r="O456" i="4"/>
  <c r="AC455" i="4"/>
  <c r="T455" i="4"/>
  <c r="S455" i="4"/>
  <c r="AG455" i="4" s="1"/>
  <c r="U455" i="4"/>
  <c r="P455" i="4"/>
  <c r="O455" i="4"/>
  <c r="AC454" i="4"/>
  <c r="T454" i="4"/>
  <c r="S454" i="4"/>
  <c r="AG454" i="4" s="1"/>
  <c r="U454" i="4"/>
  <c r="P454" i="4"/>
  <c r="O454" i="4"/>
  <c r="AC453" i="4"/>
  <c r="U453" i="4"/>
  <c r="S453" i="4"/>
  <c r="AG453" i="4" s="1"/>
  <c r="T453" i="4"/>
  <c r="O453" i="4"/>
  <c r="P453" i="4"/>
  <c r="AC452" i="4"/>
  <c r="U452" i="4"/>
  <c r="S452" i="4"/>
  <c r="AG452" i="4" s="1"/>
  <c r="T452" i="4"/>
  <c r="O452" i="4"/>
  <c r="P452" i="4"/>
  <c r="AC451" i="4"/>
  <c r="T451" i="4"/>
  <c r="S451" i="4"/>
  <c r="AG451" i="4" s="1"/>
  <c r="U451" i="4"/>
  <c r="O451" i="4"/>
  <c r="P451" i="4"/>
  <c r="AC450" i="4"/>
  <c r="T450" i="4"/>
  <c r="S450" i="4"/>
  <c r="AG450" i="4" s="1"/>
  <c r="U450" i="4"/>
  <c r="P450" i="4"/>
  <c r="O450" i="4"/>
  <c r="AC449" i="4"/>
  <c r="U449" i="4"/>
  <c r="T449" i="4"/>
  <c r="S449" i="4"/>
  <c r="AG449" i="4" s="1"/>
  <c r="O449" i="4"/>
  <c r="P449" i="4"/>
  <c r="AM448" i="4"/>
  <c r="AO448" i="4"/>
  <c r="AN448" i="4"/>
  <c r="U448" i="4"/>
  <c r="S448" i="4"/>
  <c r="AG448" i="4" s="1"/>
  <c r="T448" i="4"/>
  <c r="O448" i="4"/>
  <c r="P448" i="4"/>
  <c r="AC447" i="4"/>
  <c r="T447" i="4"/>
  <c r="S447" i="4"/>
  <c r="AG447" i="4" s="1"/>
  <c r="U447" i="4"/>
  <c r="O447" i="4"/>
  <c r="P447" i="4"/>
  <c r="AC446" i="4"/>
  <c r="T446" i="4"/>
  <c r="S446" i="4"/>
  <c r="AG446" i="4" s="1"/>
  <c r="U446" i="4"/>
  <c r="O446" i="4"/>
  <c r="P446" i="4"/>
  <c r="AC445" i="4"/>
  <c r="T445" i="4"/>
  <c r="S445" i="4"/>
  <c r="AG445" i="4" s="1"/>
  <c r="U445" i="4"/>
  <c r="O445" i="4"/>
  <c r="P445" i="4"/>
  <c r="AC444" i="4"/>
  <c r="U444" i="4"/>
  <c r="T444" i="4"/>
  <c r="S444" i="4"/>
  <c r="AG444" i="4" s="1"/>
  <c r="P444" i="4"/>
  <c r="O444" i="4"/>
  <c r="AC443" i="4"/>
  <c r="U443" i="4"/>
  <c r="T443" i="4"/>
  <c r="S443" i="4"/>
  <c r="AG443" i="4" s="1"/>
  <c r="O443" i="4"/>
  <c r="P443" i="4"/>
  <c r="AC442" i="4"/>
  <c r="T442" i="4"/>
  <c r="U442" i="4"/>
  <c r="S442" i="4"/>
  <c r="AG442" i="4" s="1"/>
  <c r="P442" i="4"/>
  <c r="O442" i="4"/>
  <c r="AC441" i="4"/>
  <c r="T441" i="4"/>
  <c r="S441" i="4"/>
  <c r="AG441" i="4" s="1"/>
  <c r="U441" i="4"/>
  <c r="P441" i="4"/>
  <c r="O441" i="4"/>
  <c r="AC440" i="4"/>
  <c r="T440" i="4"/>
  <c r="U440" i="4"/>
  <c r="S440" i="4"/>
  <c r="AG440" i="4" s="1"/>
  <c r="P440" i="4"/>
  <c r="O440" i="4"/>
  <c r="AC439" i="4"/>
  <c r="T439" i="4"/>
  <c r="S439" i="4"/>
  <c r="AG439" i="4" s="1"/>
  <c r="U439" i="4"/>
  <c r="O439" i="4"/>
  <c r="P439" i="4"/>
  <c r="AC438" i="4"/>
  <c r="T438" i="4"/>
  <c r="U438" i="4"/>
  <c r="S438" i="4"/>
  <c r="AG438" i="4" s="1"/>
  <c r="P438" i="4"/>
  <c r="O438" i="4"/>
  <c r="AC437" i="4"/>
  <c r="U437" i="4"/>
  <c r="T437" i="4"/>
  <c r="S437" i="4"/>
  <c r="AG437" i="4" s="1"/>
  <c r="P437" i="4"/>
  <c r="O437" i="4"/>
  <c r="AC436" i="4"/>
  <c r="U436" i="4"/>
  <c r="T436" i="4"/>
  <c r="S436" i="4"/>
  <c r="AG436" i="4" s="1"/>
  <c r="O436" i="4"/>
  <c r="P436" i="4"/>
  <c r="AC435" i="4"/>
  <c r="T435" i="4"/>
  <c r="S435" i="4"/>
  <c r="AG435" i="4" s="1"/>
  <c r="U435" i="4"/>
  <c r="P435" i="4"/>
  <c r="O435" i="4"/>
  <c r="AC434" i="4"/>
  <c r="T434" i="4"/>
  <c r="S434" i="4"/>
  <c r="AG434" i="4" s="1"/>
  <c r="U434" i="4"/>
  <c r="O434" i="4"/>
  <c r="P434" i="4"/>
  <c r="AC433" i="4"/>
  <c r="T433" i="4"/>
  <c r="S433" i="4"/>
  <c r="AG433" i="4" s="1"/>
  <c r="U433" i="4"/>
  <c r="P433" i="4"/>
  <c r="O433" i="4"/>
  <c r="AC432" i="4"/>
  <c r="T432" i="4"/>
  <c r="S432" i="4"/>
  <c r="AG432" i="4" s="1"/>
  <c r="U432" i="4"/>
  <c r="O432" i="4"/>
  <c r="P432" i="4"/>
  <c r="AC431" i="4"/>
  <c r="S431" i="4"/>
  <c r="AG431" i="4" s="1"/>
  <c r="U431" i="4"/>
  <c r="T431" i="4"/>
  <c r="P431" i="4"/>
  <c r="O431" i="4"/>
  <c r="AC430" i="4"/>
  <c r="U430" i="4"/>
  <c r="S430" i="4"/>
  <c r="AG430" i="4" s="1"/>
  <c r="T430" i="4"/>
  <c r="O430" i="4"/>
  <c r="P430" i="4"/>
  <c r="AC429" i="4"/>
  <c r="U429" i="4"/>
  <c r="S429" i="4"/>
  <c r="AG429" i="4" s="1"/>
  <c r="T429" i="4"/>
  <c r="O429" i="4"/>
  <c r="P429" i="4"/>
  <c r="AC428" i="4"/>
  <c r="U428" i="4"/>
  <c r="T428" i="4"/>
  <c r="S428" i="4"/>
  <c r="AG428" i="4" s="1"/>
  <c r="O428" i="4"/>
  <c r="P428" i="4"/>
  <c r="AC427" i="4"/>
  <c r="U427" i="4"/>
  <c r="S427" i="4"/>
  <c r="AG427" i="4" s="1"/>
  <c r="T427" i="4"/>
  <c r="O427" i="4"/>
  <c r="P427" i="4"/>
  <c r="AC426" i="4"/>
  <c r="U426" i="4"/>
  <c r="T426" i="4"/>
  <c r="S426" i="4"/>
  <c r="AG426" i="4" s="1"/>
  <c r="P426" i="4"/>
  <c r="O426" i="4"/>
  <c r="AC425" i="4"/>
  <c r="T425" i="4"/>
  <c r="S425" i="4"/>
  <c r="AG425" i="4" s="1"/>
  <c r="U425" i="4"/>
  <c r="O425" i="4"/>
  <c r="P425" i="4"/>
  <c r="AC424" i="4"/>
  <c r="S424" i="4"/>
  <c r="AG424" i="4" s="1"/>
  <c r="T424" i="4"/>
  <c r="U424" i="4"/>
  <c r="P424" i="4"/>
  <c r="O424" i="4"/>
  <c r="AC423" i="4"/>
  <c r="T423" i="4"/>
  <c r="S423" i="4"/>
  <c r="AG423" i="4" s="1"/>
  <c r="U423" i="4"/>
  <c r="P423" i="4"/>
  <c r="O423" i="4"/>
  <c r="AC422" i="4"/>
  <c r="U422" i="4"/>
  <c r="T422" i="4"/>
  <c r="S422" i="4"/>
  <c r="AG422" i="4" s="1"/>
  <c r="O422" i="4"/>
  <c r="P422" i="4"/>
  <c r="AC421" i="4"/>
  <c r="T421" i="4"/>
  <c r="S421" i="4"/>
  <c r="AG421" i="4" s="1"/>
  <c r="U421" i="4"/>
  <c r="P421" i="4"/>
  <c r="O421" i="4"/>
  <c r="AC420" i="4"/>
  <c r="T420" i="4"/>
  <c r="S420" i="4"/>
  <c r="AG420" i="4" s="1"/>
  <c r="U420" i="4"/>
  <c r="P420" i="4"/>
  <c r="O420" i="4"/>
  <c r="AC419" i="4"/>
  <c r="T419" i="4"/>
  <c r="S419" i="4"/>
  <c r="AG419" i="4" s="1"/>
  <c r="U419" i="4"/>
  <c r="O419" i="4"/>
  <c r="P419" i="4"/>
  <c r="AC418" i="4"/>
  <c r="T418" i="4"/>
  <c r="S418" i="4"/>
  <c r="AG418" i="4" s="1"/>
  <c r="U418" i="4"/>
  <c r="P418" i="4"/>
  <c r="O418" i="4"/>
  <c r="AC417" i="4"/>
  <c r="T417" i="4"/>
  <c r="S417" i="4"/>
  <c r="AG417" i="4" s="1"/>
  <c r="U417" i="4"/>
  <c r="P417" i="4"/>
  <c r="O417" i="4"/>
  <c r="AC416" i="4"/>
  <c r="T416" i="4"/>
  <c r="U416" i="4"/>
  <c r="S416" i="4"/>
  <c r="AG416" i="4" s="1"/>
  <c r="O416" i="4"/>
  <c r="P416" i="4"/>
  <c r="AC415" i="4"/>
  <c r="U415" i="4"/>
  <c r="S415" i="4"/>
  <c r="AG415" i="4" s="1"/>
  <c r="T415" i="4"/>
  <c r="P415" i="4"/>
  <c r="O415" i="4"/>
  <c r="AC414" i="4"/>
  <c r="T414" i="4"/>
  <c r="S414" i="4"/>
  <c r="AG414" i="4" s="1"/>
  <c r="U414" i="4"/>
  <c r="O414" i="4"/>
  <c r="P414" i="4"/>
  <c r="AC413" i="4"/>
  <c r="S413" i="4"/>
  <c r="AG413" i="4" s="1"/>
  <c r="T413" i="4"/>
  <c r="U413" i="4"/>
  <c r="O413" i="4"/>
  <c r="P413" i="4"/>
  <c r="AC412" i="4"/>
  <c r="S412" i="4"/>
  <c r="AG412" i="4" s="1"/>
  <c r="T412" i="4"/>
  <c r="U412" i="4"/>
  <c r="O412" i="4"/>
  <c r="P412" i="4"/>
  <c r="AC411" i="4"/>
  <c r="S411" i="4"/>
  <c r="AG411" i="4" s="1"/>
  <c r="T411" i="4"/>
  <c r="U411" i="4"/>
  <c r="P411" i="4"/>
  <c r="O411" i="4"/>
  <c r="AC410" i="4"/>
  <c r="S410" i="4"/>
  <c r="AG410" i="4" s="1"/>
  <c r="T410" i="4"/>
  <c r="U410" i="4"/>
  <c r="P410" i="4"/>
  <c r="O410" i="4"/>
  <c r="AC409" i="4"/>
  <c r="U409" i="4"/>
  <c r="S409" i="4"/>
  <c r="AG409" i="4" s="1"/>
  <c r="T409" i="4"/>
  <c r="O409" i="4"/>
  <c r="P409" i="4"/>
  <c r="AC408" i="4"/>
  <c r="U408" i="4"/>
  <c r="S408" i="4"/>
  <c r="AG408" i="4" s="1"/>
  <c r="T408" i="4"/>
  <c r="O408" i="4"/>
  <c r="P408" i="4"/>
  <c r="AC407" i="4"/>
  <c r="U407" i="4"/>
  <c r="T407" i="4"/>
  <c r="S407" i="4"/>
  <c r="AG407" i="4" s="1"/>
  <c r="P407" i="4"/>
  <c r="O407" i="4"/>
  <c r="AC406" i="4"/>
  <c r="S406" i="4"/>
  <c r="AG406" i="4" s="1"/>
  <c r="U406" i="4"/>
  <c r="T406" i="4"/>
  <c r="O406" i="4"/>
  <c r="P406" i="4"/>
  <c r="AC405" i="4"/>
  <c r="T405" i="4"/>
  <c r="S405" i="4"/>
  <c r="AG405" i="4" s="1"/>
  <c r="U405" i="4"/>
  <c r="O405" i="4"/>
  <c r="P405" i="4"/>
  <c r="AC404" i="4"/>
  <c r="U404" i="4"/>
  <c r="S404" i="4"/>
  <c r="AG404" i="4" s="1"/>
  <c r="T404" i="4"/>
  <c r="O404" i="4"/>
  <c r="P404" i="4"/>
  <c r="AC403" i="4"/>
  <c r="T403" i="4"/>
  <c r="S403" i="4"/>
  <c r="AG403" i="4" s="1"/>
  <c r="U403" i="4"/>
  <c r="O403" i="4"/>
  <c r="P403" i="4"/>
  <c r="AC402" i="4"/>
  <c r="T402" i="4"/>
  <c r="S402" i="4"/>
  <c r="AG402" i="4" s="1"/>
  <c r="U402" i="4"/>
  <c r="O402" i="4"/>
  <c r="P402" i="4"/>
  <c r="AC401" i="4"/>
  <c r="T401" i="4"/>
  <c r="S401" i="4"/>
  <c r="AG401" i="4" s="1"/>
  <c r="U401" i="4"/>
  <c r="P401" i="4"/>
  <c r="O401" i="4"/>
  <c r="AC400" i="4"/>
  <c r="U400" i="4"/>
  <c r="S400" i="4"/>
  <c r="AG400" i="4" s="1"/>
  <c r="T400" i="4"/>
  <c r="P400" i="4"/>
  <c r="O400" i="4"/>
  <c r="AN399" i="4"/>
  <c r="AO399" i="4"/>
  <c r="AM399" i="4"/>
  <c r="T399" i="4"/>
  <c r="S399" i="4"/>
  <c r="AG399" i="4" s="1"/>
  <c r="U399" i="4"/>
  <c r="O399" i="4"/>
  <c r="P399" i="4"/>
  <c r="AC398" i="4"/>
  <c r="T398" i="4"/>
  <c r="S398" i="4"/>
  <c r="AG398" i="4" s="1"/>
  <c r="U398" i="4"/>
  <c r="O398" i="4"/>
  <c r="P398" i="4"/>
  <c r="AC397" i="4"/>
  <c r="U397" i="4"/>
  <c r="T397" i="4"/>
  <c r="S397" i="4"/>
  <c r="AG397" i="4" s="1"/>
  <c r="P397" i="4"/>
  <c r="O397" i="4"/>
  <c r="AC396" i="4"/>
  <c r="T396" i="4"/>
  <c r="U396" i="4"/>
  <c r="S396" i="4"/>
  <c r="AG396" i="4" s="1"/>
  <c r="O396" i="4"/>
  <c r="P396" i="4"/>
  <c r="AC395" i="4"/>
  <c r="S395" i="4"/>
  <c r="AG395" i="4" s="1"/>
  <c r="T395" i="4"/>
  <c r="U395" i="4"/>
  <c r="P395" i="4"/>
  <c r="O395" i="4"/>
  <c r="AC394" i="4"/>
  <c r="T394" i="4"/>
  <c r="S394" i="4"/>
  <c r="AG394" i="4" s="1"/>
  <c r="U394" i="4"/>
  <c r="P394" i="4"/>
  <c r="O394" i="4"/>
  <c r="AC393" i="4"/>
  <c r="U393" i="4"/>
  <c r="S393" i="4"/>
  <c r="AG393" i="4" s="1"/>
  <c r="T393" i="4"/>
  <c r="O393" i="4"/>
  <c r="P393" i="4"/>
  <c r="AM392" i="4"/>
  <c r="AO392" i="4"/>
  <c r="AN392" i="4"/>
  <c r="S392" i="4"/>
  <c r="AG392" i="4" s="1"/>
  <c r="T392" i="4"/>
  <c r="U392" i="4"/>
  <c r="P392" i="4"/>
  <c r="O392" i="4"/>
  <c r="AC391" i="4"/>
  <c r="U391" i="4"/>
  <c r="T391" i="4"/>
  <c r="S391" i="4"/>
  <c r="AG391" i="4" s="1"/>
  <c r="P391" i="4"/>
  <c r="O391" i="4"/>
  <c r="AC390" i="4"/>
  <c r="S390" i="4"/>
  <c r="AG390" i="4" s="1"/>
  <c r="U390" i="4"/>
  <c r="T390" i="4"/>
  <c r="P390" i="4"/>
  <c r="O390" i="4"/>
  <c r="AC389" i="4"/>
  <c r="T389" i="4"/>
  <c r="S389" i="4"/>
  <c r="AG389" i="4" s="1"/>
  <c r="U389" i="4"/>
  <c r="O389" i="4"/>
  <c r="P389" i="4"/>
  <c r="AC388" i="4"/>
  <c r="U388" i="4"/>
  <c r="T388" i="4"/>
  <c r="S388" i="4"/>
  <c r="AG388" i="4" s="1"/>
  <c r="P388" i="4"/>
  <c r="O388" i="4"/>
  <c r="AC387" i="4"/>
  <c r="T387" i="4"/>
  <c r="S387" i="4"/>
  <c r="AG387" i="4" s="1"/>
  <c r="U387" i="4"/>
  <c r="O387" i="4"/>
  <c r="P387" i="4"/>
  <c r="AC386" i="4"/>
  <c r="U386" i="4"/>
  <c r="T386" i="4"/>
  <c r="S386" i="4"/>
  <c r="AG386" i="4" s="1"/>
  <c r="P386" i="4"/>
  <c r="O386" i="4"/>
  <c r="AC385" i="4"/>
  <c r="S385" i="4"/>
  <c r="AG385" i="4" s="1"/>
  <c r="U385" i="4"/>
  <c r="T385" i="4"/>
  <c r="P385" i="4"/>
  <c r="O385" i="4"/>
  <c r="AC384" i="4"/>
  <c r="T384" i="4"/>
  <c r="U384" i="4"/>
  <c r="S384" i="4"/>
  <c r="AG384" i="4" s="1"/>
  <c r="O384" i="4"/>
  <c r="P384" i="4"/>
  <c r="AC383" i="4"/>
  <c r="T383" i="4"/>
  <c r="U383" i="4"/>
  <c r="S383" i="4"/>
  <c r="AG383" i="4" s="1"/>
  <c r="O383" i="4"/>
  <c r="P383" i="4"/>
  <c r="AC382" i="4"/>
  <c r="U382" i="4"/>
  <c r="T382" i="4"/>
  <c r="S382" i="4"/>
  <c r="AG382" i="4" s="1"/>
  <c r="O382" i="4"/>
  <c r="P382" i="4"/>
  <c r="AC381" i="4"/>
  <c r="U381" i="4"/>
  <c r="S381" i="4"/>
  <c r="AG381" i="4" s="1"/>
  <c r="T381" i="4"/>
  <c r="P381" i="4"/>
  <c r="O381" i="4"/>
  <c r="AO380" i="4"/>
  <c r="AM380" i="4"/>
  <c r="AN380" i="4"/>
  <c r="U380" i="4"/>
  <c r="S380" i="4"/>
  <c r="AG380" i="4" s="1"/>
  <c r="T380" i="4"/>
  <c r="P380" i="4"/>
  <c r="O380" i="4"/>
  <c r="AC379" i="4"/>
  <c r="T379" i="4"/>
  <c r="S379" i="4"/>
  <c r="AG379" i="4" s="1"/>
  <c r="U379" i="4"/>
  <c r="P379" i="4"/>
  <c r="O379" i="4"/>
  <c r="AC378" i="4"/>
  <c r="T378" i="4"/>
  <c r="U378" i="4"/>
  <c r="S378" i="4"/>
  <c r="AG378" i="4" s="1"/>
  <c r="O378" i="4"/>
  <c r="P378" i="4"/>
  <c r="AC377" i="4"/>
  <c r="T377" i="4"/>
  <c r="S377" i="4"/>
  <c r="AG377" i="4" s="1"/>
  <c r="U377" i="4"/>
  <c r="O377" i="4"/>
  <c r="P377" i="4"/>
  <c r="AC376" i="4"/>
  <c r="T376" i="4"/>
  <c r="S376" i="4"/>
  <c r="AG376" i="4" s="1"/>
  <c r="U376" i="4"/>
  <c r="P376" i="4"/>
  <c r="O376" i="4"/>
  <c r="AC375" i="4"/>
  <c r="T375" i="4"/>
  <c r="S375" i="4"/>
  <c r="AG375" i="4" s="1"/>
  <c r="U375" i="4"/>
  <c r="O375" i="4"/>
  <c r="P375" i="4"/>
  <c r="AC374" i="4"/>
  <c r="U374" i="4"/>
  <c r="S374" i="4"/>
  <c r="AG374" i="4" s="1"/>
  <c r="T374" i="4"/>
  <c r="O374" i="4"/>
  <c r="P374" i="4"/>
  <c r="AC373" i="4"/>
  <c r="S373" i="4"/>
  <c r="AG373" i="4" s="1"/>
  <c r="T373" i="4"/>
  <c r="U373" i="4"/>
  <c r="P373" i="4"/>
  <c r="O373" i="4"/>
  <c r="AC372" i="4"/>
  <c r="T372" i="4"/>
  <c r="S372" i="4"/>
  <c r="AG372" i="4" s="1"/>
  <c r="U372" i="4"/>
  <c r="P372" i="4"/>
  <c r="O372" i="4"/>
  <c r="AC371" i="4"/>
  <c r="S371" i="4"/>
  <c r="AG371" i="4" s="1"/>
  <c r="U371" i="4"/>
  <c r="T371" i="4"/>
  <c r="O371" i="4"/>
  <c r="P371" i="4"/>
  <c r="AC370" i="4"/>
  <c r="T370" i="4"/>
  <c r="S370" i="4"/>
  <c r="AG370" i="4" s="1"/>
  <c r="U370" i="4"/>
  <c r="O370" i="4"/>
  <c r="P370" i="4"/>
  <c r="AC369" i="4"/>
  <c r="T369" i="4"/>
  <c r="S369" i="4"/>
  <c r="AG369" i="4" s="1"/>
  <c r="U369" i="4"/>
  <c r="P369" i="4"/>
  <c r="O369" i="4"/>
  <c r="AC368" i="4"/>
  <c r="U368" i="4"/>
  <c r="S368" i="4"/>
  <c r="AG368" i="4" s="1"/>
  <c r="T368" i="4"/>
  <c r="P368" i="4"/>
  <c r="O368" i="4"/>
  <c r="AC367" i="4"/>
  <c r="S367" i="4"/>
  <c r="AG367" i="4" s="1"/>
  <c r="U367" i="4"/>
  <c r="T367" i="4"/>
  <c r="O367" i="4"/>
  <c r="P367" i="4"/>
  <c r="AC366" i="4"/>
  <c r="S366" i="4"/>
  <c r="AG366" i="4" s="1"/>
  <c r="T366" i="4"/>
  <c r="U366" i="4"/>
  <c r="P366" i="4"/>
  <c r="O366" i="4"/>
  <c r="AC365" i="4"/>
  <c r="T365" i="4"/>
  <c r="S365" i="4"/>
  <c r="AG365" i="4" s="1"/>
  <c r="U365" i="4"/>
  <c r="P365" i="4"/>
  <c r="O365" i="4"/>
  <c r="AC364" i="4"/>
  <c r="S364" i="4"/>
  <c r="AG364" i="4" s="1"/>
  <c r="U364" i="4"/>
  <c r="T364" i="4"/>
  <c r="P364" i="4"/>
  <c r="O364" i="4"/>
  <c r="AC363" i="4"/>
  <c r="U363" i="4"/>
  <c r="S363" i="4"/>
  <c r="AG363" i="4" s="1"/>
  <c r="T363" i="4"/>
  <c r="P363" i="4"/>
  <c r="O363" i="4"/>
  <c r="AC362" i="4"/>
  <c r="U362" i="4"/>
  <c r="S362" i="4"/>
  <c r="AG362" i="4" s="1"/>
  <c r="T362" i="4"/>
  <c r="P362" i="4"/>
  <c r="O362" i="4"/>
  <c r="AC361" i="4"/>
  <c r="U361" i="4"/>
  <c r="T361" i="4"/>
  <c r="S361" i="4"/>
  <c r="AG361" i="4" s="1"/>
  <c r="P361" i="4"/>
  <c r="O361" i="4"/>
  <c r="AC360" i="4"/>
  <c r="T360" i="4"/>
  <c r="S360" i="4"/>
  <c r="AG360" i="4" s="1"/>
  <c r="U360" i="4"/>
  <c r="P360" i="4"/>
  <c r="O360" i="4"/>
  <c r="AC359" i="4"/>
  <c r="T359" i="4"/>
  <c r="S359" i="4"/>
  <c r="AG359" i="4" s="1"/>
  <c r="U359" i="4"/>
  <c r="P359" i="4"/>
  <c r="O359" i="4"/>
  <c r="AC358" i="4"/>
  <c r="U358" i="4"/>
  <c r="S358" i="4"/>
  <c r="AG358" i="4" s="1"/>
  <c r="T358" i="4"/>
  <c r="P358" i="4"/>
  <c r="O358" i="4"/>
  <c r="AC357" i="4"/>
  <c r="T357" i="4"/>
  <c r="S357" i="4"/>
  <c r="AG357" i="4" s="1"/>
  <c r="U357" i="4"/>
  <c r="O357" i="4"/>
  <c r="P357" i="4"/>
  <c r="AC356" i="4"/>
  <c r="U356" i="4"/>
  <c r="T356" i="4"/>
  <c r="S356" i="4"/>
  <c r="AG356" i="4" s="1"/>
  <c r="O356" i="4"/>
  <c r="P356" i="4"/>
  <c r="AC355" i="4"/>
  <c r="U355" i="4"/>
  <c r="S355" i="4"/>
  <c r="AG355" i="4" s="1"/>
  <c r="T355" i="4"/>
  <c r="P355" i="4"/>
  <c r="O355" i="4"/>
  <c r="AC354" i="4"/>
  <c r="U354" i="4"/>
  <c r="S354" i="4"/>
  <c r="AG354" i="4" s="1"/>
  <c r="T354" i="4"/>
  <c r="P354" i="4"/>
  <c r="O354" i="4"/>
  <c r="AC353" i="4"/>
  <c r="U353" i="4"/>
  <c r="T353" i="4"/>
  <c r="S353" i="4"/>
  <c r="AG353" i="4" s="1"/>
  <c r="O353" i="4"/>
  <c r="P353" i="4"/>
  <c r="AC352" i="4"/>
  <c r="T352" i="4"/>
  <c r="S352" i="4"/>
  <c r="AG352" i="4" s="1"/>
  <c r="U352" i="4"/>
  <c r="O352" i="4"/>
  <c r="P352" i="4"/>
  <c r="AC351" i="4"/>
  <c r="U351" i="4"/>
  <c r="T351" i="4"/>
  <c r="S351" i="4"/>
  <c r="AG351" i="4" s="1"/>
  <c r="O351" i="4"/>
  <c r="P351" i="4"/>
  <c r="AC350" i="4"/>
  <c r="T350" i="4"/>
  <c r="S350" i="4"/>
  <c r="AG350" i="4" s="1"/>
  <c r="U350" i="4"/>
  <c r="O350" i="4"/>
  <c r="P350" i="4"/>
  <c r="AC349" i="4"/>
  <c r="U349" i="4"/>
  <c r="T349" i="4"/>
  <c r="S349" i="4"/>
  <c r="AG349" i="4" s="1"/>
  <c r="O349" i="4"/>
  <c r="P349" i="4"/>
  <c r="AC348" i="4"/>
  <c r="U348" i="4"/>
  <c r="S348" i="4"/>
  <c r="AG348" i="4" s="1"/>
  <c r="T348" i="4"/>
  <c r="P348" i="4"/>
  <c r="O348" i="4"/>
  <c r="AC347" i="4"/>
  <c r="S347" i="4"/>
  <c r="AG347" i="4" s="1"/>
  <c r="T347" i="4"/>
  <c r="U347" i="4"/>
  <c r="O347" i="4"/>
  <c r="P347" i="4"/>
  <c r="AC346" i="4"/>
  <c r="U346" i="4"/>
  <c r="T346" i="4"/>
  <c r="S346" i="4"/>
  <c r="AG346" i="4" s="1"/>
  <c r="O346" i="4"/>
  <c r="P346" i="4"/>
  <c r="AC345" i="4"/>
  <c r="T345" i="4"/>
  <c r="S345" i="4"/>
  <c r="AG345" i="4" s="1"/>
  <c r="U345" i="4"/>
  <c r="O345" i="4"/>
  <c r="P345" i="4"/>
  <c r="AC344" i="4"/>
  <c r="T344" i="4"/>
  <c r="U344" i="4"/>
  <c r="S344" i="4"/>
  <c r="AG344" i="4" s="1"/>
  <c r="O344" i="4"/>
  <c r="P344" i="4"/>
  <c r="AC343" i="4"/>
  <c r="U343" i="4"/>
  <c r="T343" i="4"/>
  <c r="S343" i="4"/>
  <c r="AG343" i="4" s="1"/>
  <c r="O343" i="4"/>
  <c r="P343" i="4"/>
  <c r="AC342" i="4"/>
  <c r="U342" i="4"/>
  <c r="S342" i="4"/>
  <c r="AG342" i="4" s="1"/>
  <c r="T342" i="4"/>
  <c r="P342" i="4"/>
  <c r="O342" i="4"/>
  <c r="AC341" i="4"/>
  <c r="U341" i="4"/>
  <c r="T341" i="4"/>
  <c r="S341" i="4"/>
  <c r="AG341" i="4" s="1"/>
  <c r="P341" i="4"/>
  <c r="O341" i="4"/>
  <c r="AC340" i="4"/>
  <c r="U340" i="4"/>
  <c r="S340" i="4"/>
  <c r="AG340" i="4" s="1"/>
  <c r="T340" i="4"/>
  <c r="O340" i="4"/>
  <c r="P340" i="4"/>
  <c r="AC339" i="4"/>
  <c r="T339" i="4"/>
  <c r="S339" i="4"/>
  <c r="AG339" i="4" s="1"/>
  <c r="U339" i="4"/>
  <c r="P339" i="4"/>
  <c r="O339" i="4"/>
  <c r="AC338" i="4"/>
  <c r="U338" i="4"/>
  <c r="T338" i="4"/>
  <c r="S338" i="4"/>
  <c r="AG338" i="4" s="1"/>
  <c r="P338" i="4"/>
  <c r="O338" i="4"/>
  <c r="AC337" i="4"/>
  <c r="T337" i="4"/>
  <c r="U337" i="4"/>
  <c r="S337" i="4"/>
  <c r="AG337" i="4" s="1"/>
  <c r="O337" i="4"/>
  <c r="P337" i="4"/>
  <c r="AC336" i="4"/>
  <c r="T336" i="4"/>
  <c r="U336" i="4"/>
  <c r="S336" i="4"/>
  <c r="AG336" i="4" s="1"/>
  <c r="O336" i="4"/>
  <c r="P336" i="4"/>
  <c r="AC335" i="4"/>
  <c r="U335" i="4"/>
  <c r="T335" i="4"/>
  <c r="S335" i="4"/>
  <c r="AG335" i="4" s="1"/>
  <c r="O335" i="4"/>
  <c r="P335" i="4"/>
  <c r="AC334" i="4"/>
  <c r="U334" i="4"/>
  <c r="T334" i="4"/>
  <c r="S334" i="4"/>
  <c r="AG334" i="4" s="1"/>
  <c r="O334" i="4"/>
  <c r="P334" i="4"/>
  <c r="AC333" i="4"/>
  <c r="U333" i="4"/>
  <c r="S333" i="4"/>
  <c r="AG333" i="4" s="1"/>
  <c r="T333" i="4"/>
  <c r="O333" i="4"/>
  <c r="P333" i="4"/>
  <c r="AC332" i="4"/>
  <c r="T332" i="4"/>
  <c r="S332" i="4"/>
  <c r="AG332" i="4" s="1"/>
  <c r="U332" i="4"/>
  <c r="O332" i="4"/>
  <c r="P332" i="4"/>
  <c r="AC331" i="4"/>
  <c r="S331" i="4"/>
  <c r="AG331" i="4" s="1"/>
  <c r="U331" i="4"/>
  <c r="T331" i="4"/>
  <c r="P331" i="4"/>
  <c r="O331" i="4"/>
  <c r="AC330" i="4"/>
  <c r="T330" i="4"/>
  <c r="U330" i="4"/>
  <c r="S330" i="4"/>
  <c r="AG330" i="4" s="1"/>
  <c r="O330" i="4"/>
  <c r="P330" i="4"/>
  <c r="AC329" i="4"/>
  <c r="T329" i="4"/>
  <c r="U329" i="4"/>
  <c r="S329" i="4"/>
  <c r="AG329" i="4" s="1"/>
  <c r="O329" i="4"/>
  <c r="P329" i="4"/>
  <c r="AC328" i="4"/>
  <c r="U328" i="4"/>
  <c r="T328" i="4"/>
  <c r="S328" i="4"/>
  <c r="AG328" i="4" s="1"/>
  <c r="O328" i="4"/>
  <c r="P328" i="4"/>
  <c r="AC327" i="4"/>
  <c r="T327" i="4"/>
  <c r="U327" i="4"/>
  <c r="S327" i="4"/>
  <c r="AG327" i="4" s="1"/>
  <c r="P327" i="4"/>
  <c r="O327" i="4"/>
  <c r="AM326" i="4"/>
  <c r="AO326" i="4"/>
  <c r="AN326" i="4"/>
  <c r="U326" i="4"/>
  <c r="S326" i="4"/>
  <c r="AG326" i="4" s="1"/>
  <c r="T326" i="4"/>
  <c r="P326" i="4"/>
  <c r="O326" i="4"/>
  <c r="AC325" i="4"/>
  <c r="T325" i="4"/>
  <c r="S325" i="4"/>
  <c r="AG325" i="4" s="1"/>
  <c r="U325" i="4"/>
  <c r="O325" i="4"/>
  <c r="P325" i="4"/>
  <c r="AC324" i="4"/>
  <c r="U324" i="4"/>
  <c r="S324" i="4"/>
  <c r="AG324" i="4" s="1"/>
  <c r="T324" i="4"/>
  <c r="P324" i="4"/>
  <c r="O324" i="4"/>
  <c r="AC323" i="4"/>
  <c r="T323" i="4"/>
  <c r="S323" i="4"/>
  <c r="AG323" i="4" s="1"/>
  <c r="U323" i="4"/>
  <c r="P323" i="4"/>
  <c r="O323" i="4"/>
  <c r="AC322" i="4"/>
  <c r="S322" i="4"/>
  <c r="AG322" i="4" s="1"/>
  <c r="U322" i="4"/>
  <c r="T322" i="4"/>
  <c r="P322" i="4"/>
  <c r="O322" i="4"/>
  <c r="AC321" i="4"/>
  <c r="T321" i="4"/>
  <c r="U321" i="4"/>
  <c r="S321" i="4"/>
  <c r="AG321" i="4" s="1"/>
  <c r="O321" i="4"/>
  <c r="P321" i="4"/>
  <c r="AM320" i="4"/>
  <c r="AO320" i="4"/>
  <c r="AN320" i="4"/>
  <c r="S320" i="4"/>
  <c r="AG320" i="4" s="1"/>
  <c r="T320" i="4"/>
  <c r="U320" i="4"/>
  <c r="P320" i="4"/>
  <c r="O320" i="4"/>
  <c r="AC319" i="4"/>
  <c r="S319" i="4"/>
  <c r="AG319" i="4" s="1"/>
  <c r="T319" i="4"/>
  <c r="U319" i="4"/>
  <c r="P319" i="4"/>
  <c r="O319" i="4"/>
  <c r="AC318" i="4"/>
  <c r="S318" i="4"/>
  <c r="AG318" i="4" s="1"/>
  <c r="T318" i="4"/>
  <c r="U318" i="4"/>
  <c r="P318" i="4"/>
  <c r="O318" i="4"/>
  <c r="AC317" i="4"/>
  <c r="S317" i="4"/>
  <c r="AG317" i="4" s="1"/>
  <c r="T317" i="4"/>
  <c r="U317" i="4"/>
  <c r="O317" i="4"/>
  <c r="P317" i="4"/>
  <c r="AC316" i="4"/>
  <c r="S316" i="4"/>
  <c r="AG316" i="4" s="1"/>
  <c r="T316" i="4"/>
  <c r="U316" i="4"/>
  <c r="P316" i="4"/>
  <c r="O316" i="4"/>
  <c r="AC315" i="4"/>
  <c r="S315" i="4"/>
  <c r="AG315" i="4" s="1"/>
  <c r="T315" i="4"/>
  <c r="U315" i="4"/>
  <c r="O315" i="4"/>
  <c r="P315" i="4"/>
  <c r="AC314" i="4"/>
  <c r="S314" i="4"/>
  <c r="AG314" i="4" s="1"/>
  <c r="T314" i="4"/>
  <c r="U314" i="4"/>
  <c r="P314" i="4"/>
  <c r="O314" i="4"/>
  <c r="AC313" i="4"/>
  <c r="S313" i="4"/>
  <c r="AG313" i="4" s="1"/>
  <c r="T313" i="4"/>
  <c r="U313" i="4"/>
  <c r="P313" i="4"/>
  <c r="O313" i="4"/>
  <c r="AC312" i="4"/>
  <c r="S312" i="4"/>
  <c r="AG312" i="4" s="1"/>
  <c r="T312" i="4"/>
  <c r="U312" i="4"/>
  <c r="O312" i="4"/>
  <c r="P312" i="4"/>
  <c r="AC311" i="4"/>
  <c r="S311" i="4"/>
  <c r="AG311" i="4" s="1"/>
  <c r="T311" i="4"/>
  <c r="U311" i="4"/>
  <c r="O311" i="4"/>
  <c r="P311" i="4"/>
  <c r="AC310" i="4"/>
  <c r="S310" i="4"/>
  <c r="AG310" i="4" s="1"/>
  <c r="T310" i="4"/>
  <c r="U310" i="4"/>
  <c r="O310" i="4"/>
  <c r="P310" i="4"/>
  <c r="AC309" i="4"/>
  <c r="S309" i="4"/>
  <c r="AG309" i="4" s="1"/>
  <c r="T309" i="4"/>
  <c r="U309" i="4"/>
  <c r="P309" i="4"/>
  <c r="O309" i="4"/>
  <c r="AC308" i="4"/>
  <c r="S308" i="4"/>
  <c r="AG308" i="4" s="1"/>
  <c r="T308" i="4"/>
  <c r="U308" i="4"/>
  <c r="O308" i="4"/>
  <c r="P308" i="4"/>
  <c r="AC307" i="4"/>
  <c r="S307" i="4"/>
  <c r="AG307" i="4" s="1"/>
  <c r="T307" i="4"/>
  <c r="U307" i="4"/>
  <c r="P307" i="4"/>
  <c r="O307" i="4"/>
  <c r="AC306" i="4"/>
  <c r="S306" i="4"/>
  <c r="AG306" i="4" s="1"/>
  <c r="T306" i="4"/>
  <c r="U306" i="4"/>
  <c r="P306" i="4"/>
  <c r="O306" i="4"/>
  <c r="AC305" i="4"/>
  <c r="S305" i="4"/>
  <c r="AG305" i="4" s="1"/>
  <c r="T305" i="4"/>
  <c r="U305" i="4"/>
  <c r="O305" i="4"/>
  <c r="P305" i="4"/>
  <c r="AC304" i="4"/>
  <c r="S304" i="4"/>
  <c r="AG304" i="4" s="1"/>
  <c r="T304" i="4"/>
  <c r="U304" i="4"/>
  <c r="P304" i="4"/>
  <c r="O304" i="4"/>
  <c r="AC303" i="4"/>
  <c r="S303" i="4"/>
  <c r="AG303" i="4" s="1"/>
  <c r="T303" i="4"/>
  <c r="U303" i="4"/>
  <c r="P303" i="4"/>
  <c r="O303" i="4"/>
  <c r="AC302" i="4"/>
  <c r="S302" i="4"/>
  <c r="AG302" i="4" s="1"/>
  <c r="T302" i="4"/>
  <c r="U302" i="4"/>
  <c r="P302" i="4"/>
  <c r="O302" i="4"/>
  <c r="AC301" i="4"/>
  <c r="S301" i="4"/>
  <c r="AG301" i="4" s="1"/>
  <c r="T301" i="4"/>
  <c r="U301" i="4"/>
  <c r="P301" i="4"/>
  <c r="O301" i="4"/>
  <c r="AC300" i="4"/>
  <c r="S300" i="4"/>
  <c r="AG300" i="4" s="1"/>
  <c r="T300" i="4"/>
  <c r="U300" i="4"/>
  <c r="P300" i="4"/>
  <c r="O300" i="4"/>
  <c r="AC299" i="4"/>
  <c r="S299" i="4"/>
  <c r="AG299" i="4" s="1"/>
  <c r="T299" i="4"/>
  <c r="U299" i="4"/>
  <c r="P299" i="4"/>
  <c r="O299" i="4"/>
  <c r="AC298" i="4"/>
  <c r="S298" i="4"/>
  <c r="AG298" i="4" s="1"/>
  <c r="T298" i="4"/>
  <c r="U298" i="4"/>
  <c r="P298" i="4"/>
  <c r="O298" i="4"/>
  <c r="AC297" i="4"/>
  <c r="S297" i="4"/>
  <c r="AG297" i="4" s="1"/>
  <c r="T297" i="4"/>
  <c r="U297" i="4"/>
  <c r="P297" i="4"/>
  <c r="O297" i="4"/>
  <c r="AC296" i="4"/>
  <c r="T296" i="4"/>
  <c r="U296" i="4"/>
  <c r="S296" i="4"/>
  <c r="AG296" i="4" s="1"/>
  <c r="P296" i="4"/>
  <c r="O296" i="4"/>
  <c r="AC295" i="4"/>
  <c r="U295" i="4"/>
  <c r="T295" i="4"/>
  <c r="S295" i="4"/>
  <c r="AG295" i="4" s="1"/>
  <c r="P295" i="4"/>
  <c r="O295" i="4"/>
  <c r="AC294" i="4"/>
  <c r="U294" i="4"/>
  <c r="S294" i="4"/>
  <c r="AG294" i="4" s="1"/>
  <c r="T294" i="4"/>
  <c r="P294" i="4"/>
  <c r="O294" i="4"/>
  <c r="AC293" i="4"/>
  <c r="U293" i="4"/>
  <c r="S293" i="4"/>
  <c r="AG293" i="4" s="1"/>
  <c r="T293" i="4"/>
  <c r="P293" i="4"/>
  <c r="O293" i="4"/>
  <c r="AC292" i="4"/>
  <c r="U292" i="4"/>
  <c r="T292" i="4"/>
  <c r="S292" i="4"/>
  <c r="AG292" i="4" s="1"/>
  <c r="O292" i="4"/>
  <c r="P292" i="4"/>
  <c r="AC291" i="4"/>
  <c r="U291" i="4"/>
  <c r="T291" i="4"/>
  <c r="S291" i="4"/>
  <c r="AG291" i="4" s="1"/>
  <c r="O291" i="4"/>
  <c r="P291" i="4"/>
  <c r="AC290" i="4"/>
  <c r="U290" i="4"/>
  <c r="S290" i="4"/>
  <c r="AG290" i="4" s="1"/>
  <c r="T290" i="4"/>
  <c r="P290" i="4"/>
  <c r="O290" i="4"/>
  <c r="AC289" i="4"/>
  <c r="U289" i="4"/>
  <c r="S289" i="4"/>
  <c r="AG289" i="4" s="1"/>
  <c r="T289" i="4"/>
  <c r="P289" i="4"/>
  <c r="O289" i="4"/>
  <c r="AC288" i="4"/>
  <c r="U288" i="4"/>
  <c r="S288" i="4"/>
  <c r="AG288" i="4" s="1"/>
  <c r="T288" i="4"/>
  <c r="P288" i="4"/>
  <c r="O288" i="4"/>
  <c r="AC287" i="4"/>
  <c r="U287" i="4"/>
  <c r="T287" i="4"/>
  <c r="S287" i="4"/>
  <c r="AG287" i="4" s="1"/>
  <c r="P287" i="4"/>
  <c r="O287" i="4"/>
  <c r="AC286" i="4"/>
  <c r="U286" i="4"/>
  <c r="T286" i="4"/>
  <c r="S286" i="4"/>
  <c r="AG286" i="4" s="1"/>
  <c r="P286" i="4"/>
  <c r="O286" i="4"/>
  <c r="AC285" i="4"/>
  <c r="U285" i="4"/>
  <c r="S285" i="4"/>
  <c r="AG285" i="4" s="1"/>
  <c r="T285" i="4"/>
  <c r="P285" i="4"/>
  <c r="O285" i="4"/>
  <c r="AC284" i="4"/>
  <c r="U284" i="4"/>
  <c r="S284" i="4"/>
  <c r="AG284" i="4" s="1"/>
  <c r="T284" i="4"/>
  <c r="P284" i="4"/>
  <c r="O284" i="4"/>
  <c r="AC283" i="4"/>
  <c r="U283" i="4"/>
  <c r="T283" i="4"/>
  <c r="S283" i="4"/>
  <c r="AG283" i="4" s="1"/>
  <c r="O283" i="4"/>
  <c r="P283" i="4"/>
  <c r="AC282" i="4"/>
  <c r="T282" i="4"/>
  <c r="S282" i="4"/>
  <c r="AG282" i="4" s="1"/>
  <c r="U282" i="4"/>
  <c r="P282" i="4"/>
  <c r="O282" i="4"/>
  <c r="AC281" i="4"/>
  <c r="S281" i="4"/>
  <c r="AG281" i="4" s="1"/>
  <c r="U281" i="4"/>
  <c r="T281" i="4"/>
  <c r="O281" i="4"/>
  <c r="P281" i="4"/>
  <c r="AC280" i="4"/>
  <c r="U280" i="4"/>
  <c r="S280" i="4"/>
  <c r="AG280" i="4" s="1"/>
  <c r="T280" i="4"/>
  <c r="P280" i="4"/>
  <c r="O280" i="4"/>
  <c r="AC279" i="4"/>
  <c r="U279" i="4"/>
  <c r="S279" i="4"/>
  <c r="AG279" i="4" s="1"/>
  <c r="T279" i="4"/>
  <c r="P279" i="4"/>
  <c r="O279" i="4"/>
  <c r="AC278" i="4"/>
  <c r="T278" i="4"/>
  <c r="U278" i="4"/>
  <c r="S278" i="4"/>
  <c r="AG278" i="4" s="1"/>
  <c r="O278" i="4"/>
  <c r="P278" i="4"/>
  <c r="AC277" i="4"/>
  <c r="T277" i="4"/>
  <c r="U277" i="4"/>
  <c r="S277" i="4"/>
  <c r="AG277" i="4" s="1"/>
  <c r="P277" i="4"/>
  <c r="O277" i="4"/>
  <c r="AC276" i="4"/>
  <c r="U276" i="4"/>
  <c r="S276" i="4"/>
  <c r="AG276" i="4" s="1"/>
  <c r="T276" i="4"/>
  <c r="P276" i="4"/>
  <c r="O276" i="4"/>
  <c r="AC275" i="4"/>
  <c r="U275" i="4"/>
  <c r="S275" i="4"/>
  <c r="AG275" i="4" s="1"/>
  <c r="T275" i="4"/>
  <c r="P275" i="4"/>
  <c r="O275" i="4"/>
  <c r="AC274" i="4"/>
  <c r="U274" i="4"/>
  <c r="T274" i="4"/>
  <c r="S274" i="4"/>
  <c r="AG274" i="4" s="1"/>
  <c r="O274" i="4"/>
  <c r="P274" i="4"/>
  <c r="AC273" i="4"/>
  <c r="T273" i="4"/>
  <c r="U273" i="4"/>
  <c r="S273" i="4"/>
  <c r="AG273" i="4" s="1"/>
  <c r="O273" i="4"/>
  <c r="P273" i="4"/>
  <c r="AC272" i="4"/>
  <c r="U272" i="4"/>
  <c r="T272" i="4"/>
  <c r="S272" i="4"/>
  <c r="AG272" i="4" s="1"/>
  <c r="O272" i="4"/>
  <c r="P272" i="4"/>
  <c r="AC271" i="4"/>
  <c r="U271" i="4"/>
  <c r="T271" i="4"/>
  <c r="S271" i="4"/>
  <c r="AG271" i="4" s="1"/>
  <c r="O271" i="4"/>
  <c r="P271" i="4"/>
  <c r="AC270" i="4"/>
  <c r="S270" i="4"/>
  <c r="AG270" i="4" s="1"/>
  <c r="U270" i="4"/>
  <c r="T270" i="4"/>
  <c r="O270" i="4"/>
  <c r="P270" i="4"/>
  <c r="AC269" i="4"/>
  <c r="T269" i="4"/>
  <c r="U269" i="4"/>
  <c r="S269" i="4"/>
  <c r="AG269" i="4" s="1"/>
  <c r="P269" i="4"/>
  <c r="O269" i="4"/>
  <c r="AC268" i="4"/>
  <c r="U268" i="4"/>
  <c r="T268" i="4"/>
  <c r="S268" i="4"/>
  <c r="AG268" i="4" s="1"/>
  <c r="O268" i="4"/>
  <c r="P268" i="4"/>
  <c r="AC267" i="4"/>
  <c r="U267" i="4"/>
  <c r="T267" i="4"/>
  <c r="S267" i="4"/>
  <c r="AG267" i="4" s="1"/>
  <c r="O267" i="4"/>
  <c r="P267" i="4"/>
  <c r="AC266" i="4"/>
  <c r="T266" i="4"/>
  <c r="S266" i="4"/>
  <c r="AG266" i="4" s="1"/>
  <c r="U266" i="4"/>
  <c r="O266" i="4"/>
  <c r="P266" i="4"/>
  <c r="AC265" i="4"/>
  <c r="S265" i="4"/>
  <c r="AG265" i="4" s="1"/>
  <c r="U265" i="4"/>
  <c r="T265" i="4"/>
  <c r="O265" i="4"/>
  <c r="P265" i="4"/>
  <c r="AC264" i="4"/>
  <c r="U264" i="4"/>
  <c r="S264" i="4"/>
  <c r="AG264" i="4" s="1"/>
  <c r="T264" i="4"/>
  <c r="O264" i="4"/>
  <c r="P264" i="4"/>
  <c r="AC263" i="4"/>
  <c r="T263" i="4"/>
  <c r="S263" i="4"/>
  <c r="AG263" i="4" s="1"/>
  <c r="U263" i="4"/>
  <c r="O263" i="4"/>
  <c r="P263" i="4"/>
  <c r="AC262" i="4"/>
  <c r="S262" i="4"/>
  <c r="AG262" i="4" s="1"/>
  <c r="U262" i="4"/>
  <c r="T262" i="4"/>
  <c r="P262" i="4"/>
  <c r="O262" i="4"/>
  <c r="AC261" i="4"/>
  <c r="U261" i="4"/>
  <c r="T261" i="4"/>
  <c r="S261" i="4"/>
  <c r="AG261" i="4" s="1"/>
  <c r="O261" i="4"/>
  <c r="P261" i="4"/>
  <c r="AC260" i="4"/>
  <c r="T260" i="4"/>
  <c r="U260" i="4"/>
  <c r="S260" i="4"/>
  <c r="AG260" i="4" s="1"/>
  <c r="O260" i="4"/>
  <c r="P260" i="4"/>
  <c r="AC259" i="4"/>
  <c r="U259" i="4"/>
  <c r="S259" i="4"/>
  <c r="AG259" i="4" s="1"/>
  <c r="T259" i="4"/>
  <c r="O259" i="4"/>
  <c r="P259" i="4"/>
  <c r="AC258" i="4"/>
  <c r="T258" i="4"/>
  <c r="S258" i="4"/>
  <c r="AG258" i="4" s="1"/>
  <c r="U258" i="4"/>
  <c r="O258" i="4"/>
  <c r="P258" i="4"/>
  <c r="AC257" i="4"/>
  <c r="S257" i="4"/>
  <c r="AG257" i="4" s="1"/>
  <c r="U257" i="4"/>
  <c r="T257" i="4"/>
  <c r="O257" i="4"/>
  <c r="P257" i="4"/>
  <c r="AC256" i="4"/>
  <c r="U256" i="4"/>
  <c r="T256" i="4"/>
  <c r="S256" i="4"/>
  <c r="AG256" i="4" s="1"/>
  <c r="P256" i="4"/>
  <c r="O256" i="4"/>
  <c r="AC255" i="4"/>
  <c r="U255" i="4"/>
  <c r="S255" i="4"/>
  <c r="AG255" i="4" s="1"/>
  <c r="T255" i="4"/>
  <c r="O255" i="4"/>
  <c r="P255" i="4"/>
  <c r="AC254" i="4"/>
  <c r="U254" i="4"/>
  <c r="T254" i="4"/>
  <c r="S254" i="4"/>
  <c r="AG254" i="4" s="1"/>
  <c r="P254" i="4"/>
  <c r="O254" i="4"/>
  <c r="AC253" i="4"/>
  <c r="S253" i="4"/>
  <c r="AG253" i="4" s="1"/>
  <c r="T253" i="4"/>
  <c r="U253" i="4"/>
  <c r="P253" i="4"/>
  <c r="O253" i="4"/>
  <c r="AC252" i="4"/>
  <c r="U252" i="4"/>
  <c r="T252" i="4"/>
  <c r="S252" i="4"/>
  <c r="AG252" i="4" s="1"/>
  <c r="O252" i="4"/>
  <c r="P252" i="4"/>
  <c r="AC251" i="4"/>
  <c r="U251" i="4"/>
  <c r="S251" i="4"/>
  <c r="AG251" i="4" s="1"/>
  <c r="T251" i="4"/>
  <c r="P251" i="4"/>
  <c r="O251" i="4"/>
  <c r="AC250" i="4"/>
  <c r="U250" i="4"/>
  <c r="S250" i="4"/>
  <c r="AG250" i="4" s="1"/>
  <c r="T250" i="4"/>
  <c r="P250" i="4"/>
  <c r="O250" i="4"/>
  <c r="AO249" i="4"/>
  <c r="AN249" i="4"/>
  <c r="AM249" i="4"/>
  <c r="S249" i="4"/>
  <c r="AG249" i="4" s="1"/>
  <c r="T249" i="4"/>
  <c r="U249" i="4"/>
  <c r="P249" i="4"/>
  <c r="O249" i="4"/>
  <c r="AC248" i="4"/>
  <c r="T248" i="4"/>
  <c r="S248" i="4"/>
  <c r="AG248" i="4" s="1"/>
  <c r="U248" i="4"/>
  <c r="O248" i="4"/>
  <c r="P248" i="4"/>
  <c r="AC247" i="4"/>
  <c r="T247" i="4"/>
  <c r="U247" i="4"/>
  <c r="S247" i="4"/>
  <c r="AG247" i="4" s="1"/>
  <c r="O247" i="4"/>
  <c r="P247" i="4"/>
  <c r="AC246" i="4"/>
  <c r="T246" i="4"/>
  <c r="S246" i="4"/>
  <c r="AG246" i="4" s="1"/>
  <c r="U246" i="4"/>
  <c r="P246" i="4"/>
  <c r="O246" i="4"/>
  <c r="AC245" i="4"/>
  <c r="S245" i="4"/>
  <c r="AG245" i="4" s="1"/>
  <c r="T245" i="4"/>
  <c r="U245" i="4"/>
  <c r="O245" i="4"/>
  <c r="P245" i="4"/>
  <c r="AC244" i="4"/>
  <c r="S244" i="4"/>
  <c r="AG244" i="4" s="1"/>
  <c r="T244" i="4"/>
  <c r="U244" i="4"/>
  <c r="O244" i="4"/>
  <c r="P244" i="4"/>
  <c r="AC243" i="4"/>
  <c r="S243" i="4"/>
  <c r="AG243" i="4" s="1"/>
  <c r="T243" i="4"/>
  <c r="U243" i="4"/>
  <c r="P243" i="4"/>
  <c r="O243" i="4"/>
  <c r="AC242" i="4"/>
  <c r="S242" i="4"/>
  <c r="AG242" i="4" s="1"/>
  <c r="U242" i="4"/>
  <c r="T242" i="4"/>
  <c r="P242" i="4"/>
  <c r="O242" i="4"/>
  <c r="AC241" i="4"/>
  <c r="S241" i="4"/>
  <c r="AG241" i="4" s="1"/>
  <c r="T241" i="4"/>
  <c r="U241" i="4"/>
  <c r="P241" i="4"/>
  <c r="O241" i="4"/>
  <c r="AC240" i="4"/>
  <c r="S240" i="4"/>
  <c r="AG240" i="4" s="1"/>
  <c r="T240" i="4"/>
  <c r="U240" i="4"/>
  <c r="P240" i="4"/>
  <c r="O240" i="4"/>
  <c r="AC239" i="4"/>
  <c r="T239" i="4"/>
  <c r="U239" i="4"/>
  <c r="S239" i="4"/>
  <c r="AG239" i="4" s="1"/>
  <c r="O239" i="4"/>
  <c r="P239" i="4"/>
  <c r="AC238" i="4"/>
  <c r="T238" i="4"/>
  <c r="U238" i="4"/>
  <c r="S238" i="4"/>
  <c r="AG238" i="4" s="1"/>
  <c r="P238" i="4"/>
  <c r="O238" i="4"/>
  <c r="AC237" i="4"/>
  <c r="T237" i="4"/>
  <c r="S237" i="4"/>
  <c r="AG237" i="4" s="1"/>
  <c r="U237" i="4"/>
  <c r="O237" i="4"/>
  <c r="P237" i="4"/>
  <c r="AC236" i="4"/>
  <c r="S236" i="4"/>
  <c r="AG236" i="4" s="1"/>
  <c r="U236" i="4"/>
  <c r="T236" i="4"/>
  <c r="P236" i="4"/>
  <c r="O236" i="4"/>
  <c r="AC235" i="4"/>
  <c r="U235" i="4"/>
  <c r="S235" i="4"/>
  <c r="AG235" i="4" s="1"/>
  <c r="T235" i="4"/>
  <c r="P235" i="4"/>
  <c r="O235" i="4"/>
  <c r="AC234" i="4"/>
  <c r="U234" i="4"/>
  <c r="S234" i="4"/>
  <c r="AG234" i="4" s="1"/>
  <c r="T234" i="4"/>
  <c r="O234" i="4"/>
  <c r="P234" i="4"/>
  <c r="AC233" i="4"/>
  <c r="T233" i="4"/>
  <c r="S233" i="4"/>
  <c r="AG233" i="4" s="1"/>
  <c r="U233" i="4"/>
  <c r="P233" i="4"/>
  <c r="O233" i="4"/>
  <c r="AC232" i="4"/>
  <c r="U232" i="4"/>
  <c r="T232" i="4"/>
  <c r="S232" i="4"/>
  <c r="AG232" i="4" s="1"/>
  <c r="P232" i="4"/>
  <c r="O232" i="4"/>
  <c r="AC231" i="4"/>
  <c r="U231" i="4"/>
  <c r="S231" i="4"/>
  <c r="AG231" i="4" s="1"/>
  <c r="T231" i="4"/>
  <c r="P231" i="4"/>
  <c r="O231" i="4"/>
  <c r="AC230" i="4"/>
  <c r="U230" i="4"/>
  <c r="T230" i="4"/>
  <c r="S230" i="4"/>
  <c r="AG230" i="4" s="1"/>
  <c r="O230" i="4"/>
  <c r="P230" i="4"/>
  <c r="AC229" i="4"/>
  <c r="U229" i="4"/>
  <c r="T229" i="4"/>
  <c r="S229" i="4"/>
  <c r="AG229" i="4" s="1"/>
  <c r="P229" i="4"/>
  <c r="O229" i="4"/>
  <c r="AC228" i="4"/>
  <c r="S228" i="4"/>
  <c r="AG228" i="4" s="1"/>
  <c r="T228" i="4"/>
  <c r="U228" i="4"/>
  <c r="P228" i="4"/>
  <c r="O228" i="4"/>
  <c r="AC227" i="4"/>
  <c r="S227" i="4"/>
  <c r="AG227" i="4" s="1"/>
  <c r="T227" i="4"/>
  <c r="U227" i="4"/>
  <c r="P227" i="4"/>
  <c r="O227" i="4"/>
  <c r="AC226" i="4"/>
  <c r="S226" i="4"/>
  <c r="AG226" i="4" s="1"/>
  <c r="T226" i="4"/>
  <c r="U226" i="4"/>
  <c r="O226" i="4"/>
  <c r="P226" i="4"/>
  <c r="AC225" i="4"/>
  <c r="S225" i="4"/>
  <c r="AG225" i="4" s="1"/>
  <c r="T225" i="4"/>
  <c r="U225" i="4"/>
  <c r="O225" i="4"/>
  <c r="P225" i="4"/>
  <c r="AC224" i="4"/>
  <c r="S224" i="4"/>
  <c r="AG224" i="4" s="1"/>
  <c r="T224" i="4"/>
  <c r="U224" i="4"/>
  <c r="O224" i="4"/>
  <c r="P224" i="4"/>
  <c r="AC223" i="4"/>
  <c r="S223" i="4"/>
  <c r="AG223" i="4" s="1"/>
  <c r="T223" i="4"/>
  <c r="U223" i="4"/>
  <c r="O223" i="4"/>
  <c r="P223" i="4"/>
  <c r="AC222" i="4"/>
  <c r="S222" i="4"/>
  <c r="AG222" i="4" s="1"/>
  <c r="T222" i="4"/>
  <c r="U222" i="4"/>
  <c r="O222" i="4"/>
  <c r="P222" i="4"/>
  <c r="AC221" i="4"/>
  <c r="S221" i="4"/>
  <c r="AG221" i="4" s="1"/>
  <c r="T221" i="4"/>
  <c r="U221" i="4"/>
  <c r="P221" i="4"/>
  <c r="O221" i="4"/>
  <c r="AC220" i="4"/>
  <c r="S220" i="4"/>
  <c r="AG220" i="4" s="1"/>
  <c r="T220" i="4"/>
  <c r="U220" i="4"/>
  <c r="O220" i="4"/>
  <c r="P220" i="4"/>
  <c r="AC219" i="4"/>
  <c r="S219" i="4"/>
  <c r="AG219" i="4" s="1"/>
  <c r="T219" i="4"/>
  <c r="U219" i="4"/>
  <c r="P219" i="4"/>
  <c r="O219" i="4"/>
  <c r="AC218" i="4"/>
  <c r="S218" i="4"/>
  <c r="AG218" i="4" s="1"/>
  <c r="T218" i="4"/>
  <c r="U218" i="4"/>
  <c r="P218" i="4"/>
  <c r="O218" i="4"/>
  <c r="AC217" i="4"/>
  <c r="S217" i="4"/>
  <c r="AG217" i="4" s="1"/>
  <c r="T217" i="4"/>
  <c r="U217" i="4"/>
  <c r="O217" i="4"/>
  <c r="P217" i="4"/>
  <c r="AC216" i="4"/>
  <c r="S216" i="4"/>
  <c r="AG216" i="4" s="1"/>
  <c r="T216" i="4"/>
  <c r="U216" i="4"/>
  <c r="P216" i="4"/>
  <c r="O216" i="4"/>
  <c r="AC215" i="4"/>
  <c r="S215" i="4"/>
  <c r="AG215" i="4" s="1"/>
  <c r="T215" i="4"/>
  <c r="U215" i="4"/>
  <c r="P215" i="4"/>
  <c r="O215" i="4"/>
  <c r="AC214" i="4"/>
  <c r="S214" i="4"/>
  <c r="AG214" i="4" s="1"/>
  <c r="T214" i="4"/>
  <c r="U214" i="4"/>
  <c r="P214" i="4"/>
  <c r="O214" i="4"/>
  <c r="AC213" i="4"/>
  <c r="S213" i="4"/>
  <c r="AG213" i="4" s="1"/>
  <c r="T213" i="4"/>
  <c r="U213" i="4"/>
  <c r="P213" i="4"/>
  <c r="O213" i="4"/>
  <c r="AC212" i="4"/>
  <c r="T212" i="4"/>
  <c r="U212" i="4"/>
  <c r="S212" i="4"/>
  <c r="AG212" i="4" s="1"/>
  <c r="P212" i="4"/>
  <c r="O212" i="4"/>
  <c r="AC211" i="4"/>
  <c r="T211" i="4"/>
  <c r="S211" i="4"/>
  <c r="AG211" i="4" s="1"/>
  <c r="U211" i="4"/>
  <c r="O211" i="4"/>
  <c r="P211" i="4"/>
  <c r="AC210" i="4"/>
  <c r="T210" i="4"/>
  <c r="S210" i="4"/>
  <c r="AG210" i="4" s="1"/>
  <c r="U210" i="4"/>
  <c r="O210" i="4"/>
  <c r="P210" i="4"/>
  <c r="AC209" i="4"/>
  <c r="U209" i="4"/>
  <c r="T209" i="4"/>
  <c r="S209" i="4"/>
  <c r="AG209" i="4" s="1"/>
  <c r="O209" i="4"/>
  <c r="P209" i="4"/>
  <c r="AC208" i="4"/>
  <c r="S208" i="4"/>
  <c r="AG208" i="4" s="1"/>
  <c r="T208" i="4"/>
  <c r="U208" i="4"/>
  <c r="P208" i="4"/>
  <c r="O208" i="4"/>
  <c r="AO207" i="4"/>
  <c r="AM207" i="4"/>
  <c r="AN207" i="4"/>
  <c r="T207" i="4"/>
  <c r="U207" i="4"/>
  <c r="S207" i="4"/>
  <c r="AG207" i="4" s="1"/>
  <c r="O207" i="4"/>
  <c r="P207" i="4"/>
  <c r="AC206" i="4"/>
  <c r="T206" i="4"/>
  <c r="U206" i="4"/>
  <c r="S206" i="4"/>
  <c r="AG206" i="4" s="1"/>
  <c r="P206" i="4"/>
  <c r="O206" i="4"/>
  <c r="AC205" i="4"/>
  <c r="S205" i="4"/>
  <c r="AG205" i="4" s="1"/>
  <c r="T205" i="4"/>
  <c r="U205" i="4"/>
  <c r="O205" i="4"/>
  <c r="P205" i="4"/>
  <c r="AC204" i="4"/>
  <c r="S204" i="4"/>
  <c r="AG204" i="4" s="1"/>
  <c r="U204" i="4"/>
  <c r="T204" i="4"/>
  <c r="P204" i="4"/>
  <c r="O204" i="4"/>
  <c r="AC203" i="4"/>
  <c r="U203" i="4"/>
  <c r="S203" i="4"/>
  <c r="AG203" i="4" s="1"/>
  <c r="T203" i="4"/>
  <c r="P203" i="4"/>
  <c r="O203" i="4"/>
  <c r="AC202" i="4"/>
  <c r="S202" i="4"/>
  <c r="AG202" i="4" s="1"/>
  <c r="T202" i="4"/>
  <c r="U202" i="4"/>
  <c r="P202" i="4"/>
  <c r="O202" i="4"/>
  <c r="AC201" i="4"/>
  <c r="U201" i="4"/>
  <c r="S201" i="4"/>
  <c r="AG201" i="4" s="1"/>
  <c r="T201" i="4"/>
  <c r="P201" i="4"/>
  <c r="O201" i="4"/>
  <c r="AC200" i="4"/>
  <c r="S200" i="4"/>
  <c r="AG200" i="4" s="1"/>
  <c r="T200" i="4"/>
  <c r="U200" i="4"/>
  <c r="P200" i="4"/>
  <c r="O200" i="4"/>
  <c r="AC199" i="4"/>
  <c r="T199" i="4"/>
  <c r="U199" i="4"/>
  <c r="S199" i="4"/>
  <c r="AG199" i="4" s="1"/>
  <c r="O199" i="4"/>
  <c r="P199" i="4"/>
  <c r="AC198" i="4"/>
  <c r="S198" i="4"/>
  <c r="AG198" i="4" s="1"/>
  <c r="U198" i="4"/>
  <c r="T198" i="4"/>
  <c r="O198" i="4"/>
  <c r="P198" i="4"/>
  <c r="AC197" i="4"/>
  <c r="T197" i="4"/>
  <c r="S197" i="4"/>
  <c r="AG197" i="4" s="1"/>
  <c r="U197" i="4"/>
  <c r="O197" i="4"/>
  <c r="P197" i="4"/>
  <c r="AC196" i="4"/>
  <c r="U196" i="4"/>
  <c r="T196" i="4"/>
  <c r="S196" i="4"/>
  <c r="AG196" i="4" s="1"/>
  <c r="O196" i="4"/>
  <c r="P196" i="4"/>
  <c r="AC195" i="4"/>
  <c r="U195" i="4"/>
  <c r="T195" i="4"/>
  <c r="S195" i="4"/>
  <c r="AG195" i="4" s="1"/>
  <c r="O195" i="4"/>
  <c r="P195" i="4"/>
  <c r="AC194" i="4"/>
  <c r="S194" i="4"/>
  <c r="AG194" i="4" s="1"/>
  <c r="T194" i="4"/>
  <c r="U194" i="4"/>
  <c r="P194" i="4"/>
  <c r="O194" i="4"/>
  <c r="AC193" i="4"/>
  <c r="U193" i="4"/>
  <c r="T193" i="4"/>
  <c r="S193" i="4"/>
  <c r="AG193" i="4" s="1"/>
  <c r="O193" i="4"/>
  <c r="P193" i="4"/>
  <c r="AC192" i="4"/>
  <c r="U192" i="4"/>
  <c r="T192" i="4"/>
  <c r="S192" i="4"/>
  <c r="AG192" i="4" s="1"/>
  <c r="O192" i="4"/>
  <c r="P192" i="4"/>
  <c r="AC191" i="4"/>
  <c r="S191" i="4"/>
  <c r="AG191" i="4" s="1"/>
  <c r="T191" i="4"/>
  <c r="U191" i="4"/>
  <c r="P191" i="4"/>
  <c r="O191" i="4"/>
  <c r="AC190" i="4"/>
  <c r="S190" i="4"/>
  <c r="AG190" i="4" s="1"/>
  <c r="T190" i="4"/>
  <c r="U190" i="4"/>
  <c r="P190" i="4"/>
  <c r="O190" i="4"/>
  <c r="AC189" i="4"/>
  <c r="U189" i="4"/>
  <c r="S189" i="4"/>
  <c r="AG189" i="4" s="1"/>
  <c r="T189" i="4"/>
  <c r="O189" i="4"/>
  <c r="P189" i="4"/>
  <c r="AC188" i="4"/>
  <c r="S188" i="4"/>
  <c r="AG188" i="4" s="1"/>
  <c r="U188" i="4"/>
  <c r="T188" i="4"/>
  <c r="P188" i="4"/>
  <c r="O188" i="4"/>
  <c r="AC187" i="4"/>
  <c r="S187" i="4"/>
  <c r="AG187" i="4" s="1"/>
  <c r="T187" i="4"/>
  <c r="U187" i="4"/>
  <c r="P187" i="4"/>
  <c r="O187" i="4"/>
  <c r="AC186" i="4"/>
  <c r="U186" i="4"/>
  <c r="S186" i="4"/>
  <c r="AG186" i="4" s="1"/>
  <c r="T186" i="4"/>
  <c r="O186" i="4"/>
  <c r="P186" i="4"/>
  <c r="AC185" i="4"/>
  <c r="U185" i="4"/>
  <c r="T185" i="4"/>
  <c r="S185" i="4"/>
  <c r="AG185" i="4" s="1"/>
  <c r="O185" i="4"/>
  <c r="P185" i="4"/>
  <c r="AC184" i="4"/>
  <c r="T184" i="4"/>
  <c r="U184" i="4"/>
  <c r="S184" i="4"/>
  <c r="AG184" i="4" s="1"/>
  <c r="O184" i="4"/>
  <c r="P184" i="4"/>
  <c r="AC183" i="4"/>
  <c r="T183" i="4"/>
  <c r="U183" i="4"/>
  <c r="S183" i="4"/>
  <c r="AG183" i="4" s="1"/>
  <c r="P183" i="4"/>
  <c r="O183" i="4"/>
  <c r="AC182" i="4"/>
  <c r="S182" i="4"/>
  <c r="AG182" i="4" s="1"/>
  <c r="T182" i="4"/>
  <c r="U182" i="4"/>
  <c r="O182" i="4"/>
  <c r="P182" i="4"/>
  <c r="AC181" i="4"/>
  <c r="S181" i="4"/>
  <c r="AG181" i="4" s="1"/>
  <c r="U181" i="4"/>
  <c r="T181" i="4"/>
  <c r="P181" i="4"/>
  <c r="O181" i="4"/>
  <c r="AC180" i="4"/>
  <c r="T180" i="4"/>
  <c r="U180" i="4"/>
  <c r="S180" i="4"/>
  <c r="AG180" i="4" s="1"/>
  <c r="P180" i="4"/>
  <c r="O180" i="4"/>
  <c r="AC179" i="4"/>
  <c r="S179" i="4"/>
  <c r="AG179" i="4" s="1"/>
  <c r="U179" i="4"/>
  <c r="T179" i="4"/>
  <c r="P179" i="4"/>
  <c r="O179" i="4"/>
  <c r="AC178" i="4"/>
  <c r="T178" i="4"/>
  <c r="U178" i="4"/>
  <c r="S178" i="4"/>
  <c r="AG178" i="4" s="1"/>
  <c r="P178" i="4"/>
  <c r="O178" i="4"/>
  <c r="AC177" i="4"/>
  <c r="T177" i="4"/>
  <c r="U177" i="4"/>
  <c r="S177" i="4"/>
  <c r="AG177" i="4" s="1"/>
  <c r="O177" i="4"/>
  <c r="P177" i="4"/>
  <c r="AC176" i="4"/>
  <c r="T176" i="4"/>
  <c r="S176" i="4"/>
  <c r="AG176" i="4" s="1"/>
  <c r="U176" i="4"/>
  <c r="P176" i="4"/>
  <c r="O176" i="4"/>
  <c r="AC175" i="4"/>
  <c r="T175" i="4"/>
  <c r="U175" i="4"/>
  <c r="S175" i="4"/>
  <c r="AG175" i="4" s="1"/>
  <c r="O175" i="4"/>
  <c r="P175" i="4"/>
  <c r="AC174" i="4"/>
  <c r="T174" i="4"/>
  <c r="S174" i="4"/>
  <c r="AG174" i="4" s="1"/>
  <c r="U174" i="4"/>
  <c r="O174" i="4"/>
  <c r="P174" i="4"/>
  <c r="AC173" i="4"/>
  <c r="S173" i="4"/>
  <c r="AG173" i="4" s="1"/>
  <c r="T173" i="4"/>
  <c r="U173" i="4"/>
  <c r="O173" i="4"/>
  <c r="P173" i="4"/>
  <c r="AC172" i="4"/>
  <c r="U172" i="4"/>
  <c r="T172" i="4"/>
  <c r="S172" i="4"/>
  <c r="AG172" i="4" s="1"/>
  <c r="P172" i="4"/>
  <c r="O172" i="4"/>
  <c r="AC171" i="4"/>
  <c r="T171" i="4"/>
  <c r="S171" i="4"/>
  <c r="AG171" i="4" s="1"/>
  <c r="U171" i="4"/>
  <c r="P171" i="4"/>
  <c r="O171" i="4"/>
  <c r="AC170" i="4"/>
  <c r="U170" i="4"/>
  <c r="T170" i="4"/>
  <c r="S170" i="4"/>
  <c r="AG170" i="4" s="1"/>
  <c r="P170" i="4"/>
  <c r="O170" i="4"/>
  <c r="AC169" i="4"/>
  <c r="T169" i="4"/>
  <c r="S169" i="4"/>
  <c r="AG169" i="4" s="1"/>
  <c r="U169" i="4"/>
  <c r="P169" i="4"/>
  <c r="O169" i="4"/>
  <c r="AC168" i="4"/>
  <c r="S168" i="4"/>
  <c r="AG168" i="4" s="1"/>
  <c r="T168" i="4"/>
  <c r="U168" i="4"/>
  <c r="P168" i="4"/>
  <c r="O168" i="4"/>
  <c r="AC167" i="4"/>
  <c r="S167" i="4"/>
  <c r="AG167" i="4" s="1"/>
  <c r="U167" i="4"/>
  <c r="T167" i="4"/>
  <c r="P167" i="4"/>
  <c r="O167" i="4"/>
  <c r="AC166" i="4"/>
  <c r="S166" i="4"/>
  <c r="AG166" i="4" s="1"/>
  <c r="U166" i="4"/>
  <c r="T166" i="4"/>
  <c r="O166" i="4"/>
  <c r="P166" i="4"/>
  <c r="AC165" i="4"/>
  <c r="T165" i="4"/>
  <c r="S165" i="4"/>
  <c r="AG165" i="4" s="1"/>
  <c r="U165" i="4"/>
  <c r="P165" i="4"/>
  <c r="O165" i="4"/>
  <c r="AC164" i="4"/>
  <c r="U164" i="4"/>
  <c r="T164" i="4"/>
  <c r="S164" i="4"/>
  <c r="AG164" i="4" s="1"/>
  <c r="O164" i="4"/>
  <c r="P164" i="4"/>
  <c r="AC163" i="4"/>
  <c r="S163" i="4"/>
  <c r="AG163" i="4" s="1"/>
  <c r="U163" i="4"/>
  <c r="T163" i="4"/>
  <c r="O163" i="4"/>
  <c r="P163" i="4"/>
  <c r="AC162" i="4"/>
  <c r="S162" i="4"/>
  <c r="AG162" i="4" s="1"/>
  <c r="U162" i="4"/>
  <c r="T162" i="4"/>
  <c r="O162" i="4"/>
  <c r="P162" i="4"/>
  <c r="AC161" i="4"/>
  <c r="S161" i="4"/>
  <c r="AG161" i="4" s="1"/>
  <c r="T161" i="4"/>
  <c r="U161" i="4"/>
  <c r="O161" i="4"/>
  <c r="P161" i="4"/>
  <c r="AC160" i="4"/>
  <c r="T160" i="4"/>
  <c r="U160" i="4"/>
  <c r="S160" i="4"/>
  <c r="AG160" i="4" s="1"/>
  <c r="O160" i="4"/>
  <c r="P160" i="4"/>
  <c r="AC159" i="4"/>
  <c r="S159" i="4"/>
  <c r="AG159" i="4" s="1"/>
  <c r="U159" i="4"/>
  <c r="T159" i="4"/>
  <c r="P159" i="4"/>
  <c r="O159" i="4"/>
  <c r="AC158" i="4"/>
  <c r="U158" i="4"/>
  <c r="S158" i="4"/>
  <c r="AG158" i="4" s="1"/>
  <c r="T158" i="4"/>
  <c r="P158" i="4"/>
  <c r="O158" i="4"/>
  <c r="AC157" i="4"/>
  <c r="T157" i="4"/>
  <c r="U157" i="4"/>
  <c r="S157" i="4"/>
  <c r="AG157" i="4" s="1"/>
  <c r="O157" i="4"/>
  <c r="P157" i="4"/>
  <c r="AC156" i="4"/>
  <c r="U156" i="4"/>
  <c r="T156" i="4"/>
  <c r="S156" i="4"/>
  <c r="AG156" i="4" s="1"/>
  <c r="P156" i="4"/>
  <c r="O156" i="4"/>
  <c r="AC155" i="4"/>
  <c r="T155" i="4"/>
  <c r="U155" i="4"/>
  <c r="S155" i="4"/>
  <c r="AG155" i="4" s="1"/>
  <c r="O155" i="4"/>
  <c r="P155" i="4"/>
  <c r="AC154" i="4"/>
  <c r="T154" i="4"/>
  <c r="S154" i="4"/>
  <c r="AG154" i="4" s="1"/>
  <c r="U154" i="4"/>
  <c r="P154" i="4"/>
  <c r="O154" i="4"/>
  <c r="AC153" i="4"/>
  <c r="U153" i="4"/>
  <c r="T153" i="4"/>
  <c r="S153" i="4"/>
  <c r="AG153" i="4" s="1"/>
  <c r="P153" i="4"/>
  <c r="O153" i="4"/>
  <c r="AC152" i="4"/>
  <c r="U152" i="4"/>
  <c r="S152" i="4"/>
  <c r="AG152" i="4" s="1"/>
  <c r="T152" i="4"/>
  <c r="O152" i="4"/>
  <c r="P152" i="4"/>
  <c r="AC151" i="4"/>
  <c r="S151" i="4"/>
  <c r="AG151" i="4" s="1"/>
  <c r="U151" i="4"/>
  <c r="T151" i="4"/>
  <c r="P151" i="4"/>
  <c r="O151" i="4"/>
  <c r="AC150" i="4"/>
  <c r="S150" i="4"/>
  <c r="AG150" i="4" s="1"/>
  <c r="T150" i="4"/>
  <c r="U150" i="4"/>
  <c r="O150" i="4"/>
  <c r="P150" i="4"/>
  <c r="AC149" i="4"/>
  <c r="S149" i="4"/>
  <c r="AG149" i="4" s="1"/>
  <c r="U149" i="4"/>
  <c r="T149" i="4"/>
  <c r="P149" i="4"/>
  <c r="O149" i="4"/>
  <c r="AC148" i="4"/>
  <c r="U148" i="4"/>
  <c r="T148" i="4"/>
  <c r="S148" i="4"/>
  <c r="AG148" i="4" s="1"/>
  <c r="O148" i="4"/>
  <c r="P148" i="4"/>
  <c r="AC147" i="4"/>
  <c r="U147" i="4"/>
  <c r="T147" i="4"/>
  <c r="S147" i="4"/>
  <c r="AG147" i="4" s="1"/>
  <c r="O147" i="4"/>
  <c r="P147" i="4"/>
  <c r="AC146" i="4"/>
  <c r="S146" i="4"/>
  <c r="AG146" i="4" s="1"/>
  <c r="U146" i="4"/>
  <c r="T146" i="4"/>
  <c r="O146" i="4"/>
  <c r="P146" i="4"/>
  <c r="AC145" i="4"/>
  <c r="T145" i="4"/>
  <c r="S145" i="4"/>
  <c r="AG145" i="4" s="1"/>
  <c r="U145" i="4"/>
  <c r="P145" i="4"/>
  <c r="O145" i="4"/>
  <c r="AC144" i="4"/>
  <c r="S144" i="4"/>
  <c r="AG144" i="4" s="1"/>
  <c r="U144" i="4"/>
  <c r="T144" i="4"/>
  <c r="P144" i="4"/>
  <c r="O144" i="4"/>
  <c r="AC143" i="4"/>
  <c r="S143" i="4"/>
  <c r="AG143" i="4" s="1"/>
  <c r="T143" i="4"/>
  <c r="U143" i="4"/>
  <c r="O143" i="4"/>
  <c r="P143" i="4"/>
  <c r="AC142" i="4"/>
  <c r="S142" i="4"/>
  <c r="AG142" i="4" s="1"/>
  <c r="T142" i="4"/>
  <c r="U142" i="4"/>
  <c r="P142" i="4"/>
  <c r="O142" i="4"/>
  <c r="AC141" i="4"/>
  <c r="S141" i="4"/>
  <c r="AG141" i="4" s="1"/>
  <c r="U141" i="4"/>
  <c r="T141" i="4"/>
  <c r="O141" i="4"/>
  <c r="P141" i="4"/>
  <c r="AC140" i="4"/>
  <c r="S140" i="4"/>
  <c r="AG140" i="4" s="1"/>
  <c r="U140" i="4"/>
  <c r="T140" i="4"/>
  <c r="O140" i="4"/>
  <c r="P140" i="4"/>
  <c r="AC139" i="4"/>
  <c r="S139" i="4"/>
  <c r="AG139" i="4" s="1"/>
  <c r="U139" i="4"/>
  <c r="T139" i="4"/>
  <c r="O139" i="4"/>
  <c r="P139" i="4"/>
  <c r="AC138" i="4"/>
  <c r="U138" i="4"/>
  <c r="T138" i="4"/>
  <c r="S138" i="4"/>
  <c r="AG138" i="4" s="1"/>
  <c r="O138" i="4"/>
  <c r="P138" i="4"/>
  <c r="AC137" i="4"/>
  <c r="T137" i="4"/>
  <c r="S137" i="4"/>
  <c r="AG137" i="4" s="1"/>
  <c r="U137" i="4"/>
  <c r="P137" i="4"/>
  <c r="O137" i="4"/>
  <c r="AC136" i="4"/>
  <c r="U136" i="4"/>
  <c r="T136" i="4"/>
  <c r="S136" i="4"/>
  <c r="AG136" i="4" s="1"/>
  <c r="P136" i="4"/>
  <c r="O136" i="4"/>
  <c r="AC135" i="4"/>
  <c r="T135" i="4"/>
  <c r="S135" i="4"/>
  <c r="AG135" i="4" s="1"/>
  <c r="U135" i="4"/>
  <c r="P135" i="4"/>
  <c r="O135" i="4"/>
  <c r="AC134" i="4"/>
  <c r="S134" i="4"/>
  <c r="AG134" i="4" s="1"/>
  <c r="T134" i="4"/>
  <c r="U134" i="4"/>
  <c r="P134" i="4"/>
  <c r="O134" i="4"/>
  <c r="AC133" i="4"/>
  <c r="S133" i="4"/>
  <c r="AG133" i="4" s="1"/>
  <c r="T133" i="4"/>
  <c r="U133" i="4"/>
  <c r="P133" i="4"/>
  <c r="O133" i="4"/>
  <c r="AC132" i="4"/>
  <c r="S132" i="4"/>
  <c r="AG132" i="4" s="1"/>
  <c r="T132" i="4"/>
  <c r="U132" i="4"/>
  <c r="O132" i="4"/>
  <c r="P132" i="4"/>
  <c r="AC131" i="4"/>
  <c r="S131" i="4"/>
  <c r="AG131" i="4" s="1"/>
  <c r="T131" i="4"/>
  <c r="U131" i="4"/>
  <c r="P131" i="4"/>
  <c r="O131" i="4"/>
  <c r="AC130" i="4"/>
  <c r="S130" i="4"/>
  <c r="AG130" i="4" s="1"/>
  <c r="T130" i="4"/>
  <c r="U130" i="4"/>
  <c r="P130" i="4"/>
  <c r="O130" i="4"/>
  <c r="AC129" i="4"/>
  <c r="S129" i="4"/>
  <c r="AG129" i="4" s="1"/>
  <c r="T129" i="4"/>
  <c r="U129" i="4"/>
  <c r="P129" i="4"/>
  <c r="O129" i="4"/>
  <c r="AC128" i="4"/>
  <c r="S128" i="4"/>
  <c r="AG128" i="4" s="1"/>
  <c r="T128" i="4"/>
  <c r="U128" i="4"/>
  <c r="P128" i="4"/>
  <c r="O128" i="4"/>
  <c r="AC127" i="4"/>
  <c r="S127" i="4"/>
  <c r="AG127" i="4" s="1"/>
  <c r="T127" i="4"/>
  <c r="U127" i="4"/>
  <c r="P127" i="4"/>
  <c r="O127" i="4"/>
  <c r="AC126" i="4"/>
  <c r="S126" i="4"/>
  <c r="AG126" i="4" s="1"/>
  <c r="T126" i="4"/>
  <c r="U126" i="4"/>
  <c r="P126" i="4"/>
  <c r="O126" i="4"/>
  <c r="AC125" i="4"/>
  <c r="S125" i="4"/>
  <c r="AG125" i="4" s="1"/>
  <c r="T125" i="4"/>
  <c r="U125" i="4"/>
  <c r="P125" i="4"/>
  <c r="O125" i="4"/>
  <c r="AC124" i="4"/>
  <c r="S124" i="4"/>
  <c r="AG124" i="4" s="1"/>
  <c r="T124" i="4"/>
  <c r="U124" i="4"/>
  <c r="P124" i="4"/>
  <c r="O124" i="4"/>
  <c r="AC123" i="4"/>
  <c r="S123" i="4"/>
  <c r="AG123" i="4" s="1"/>
  <c r="T123" i="4"/>
  <c r="U123" i="4"/>
  <c r="P123" i="4"/>
  <c r="O123" i="4"/>
  <c r="AC122" i="4"/>
  <c r="S122" i="4"/>
  <c r="AG122" i="4" s="1"/>
  <c r="T122" i="4"/>
  <c r="U122" i="4"/>
  <c r="P122" i="4"/>
  <c r="O122" i="4"/>
  <c r="AC121" i="4"/>
  <c r="S121" i="4"/>
  <c r="AG121" i="4" s="1"/>
  <c r="T121" i="4"/>
  <c r="U121" i="4"/>
  <c r="P121" i="4"/>
  <c r="O121" i="4"/>
  <c r="AC120" i="4"/>
  <c r="S120" i="4"/>
  <c r="AG120" i="4" s="1"/>
  <c r="T120" i="4"/>
  <c r="U120" i="4"/>
  <c r="O120" i="4"/>
  <c r="P120" i="4"/>
  <c r="AC119" i="4"/>
  <c r="S119" i="4"/>
  <c r="AG119" i="4" s="1"/>
  <c r="T119" i="4"/>
  <c r="U119" i="4"/>
  <c r="O119" i="4"/>
  <c r="P119" i="4"/>
  <c r="AC118" i="4"/>
  <c r="S118" i="4"/>
  <c r="AG118" i="4" s="1"/>
  <c r="T118" i="4"/>
  <c r="U118" i="4"/>
  <c r="P118" i="4"/>
  <c r="O118" i="4"/>
  <c r="AC117" i="4"/>
  <c r="S117" i="4"/>
  <c r="AG117" i="4" s="1"/>
  <c r="T117" i="4"/>
  <c r="U117" i="4"/>
  <c r="P117" i="4"/>
  <c r="O117" i="4"/>
  <c r="AC116" i="4"/>
  <c r="S116" i="4"/>
  <c r="AG116" i="4" s="1"/>
  <c r="T116" i="4"/>
  <c r="U116" i="4"/>
  <c r="P116" i="4"/>
  <c r="O116" i="4"/>
  <c r="AC115" i="4"/>
  <c r="S115" i="4"/>
  <c r="AG115" i="4" s="1"/>
  <c r="T115" i="4"/>
  <c r="U115" i="4"/>
  <c r="P115" i="4"/>
  <c r="O115" i="4"/>
  <c r="AC114" i="4"/>
  <c r="S114" i="4"/>
  <c r="AG114" i="4" s="1"/>
  <c r="T114" i="4"/>
  <c r="U114" i="4"/>
  <c r="O114" i="4"/>
  <c r="P114" i="4"/>
  <c r="AC113" i="4"/>
  <c r="S113" i="4"/>
  <c r="AG113" i="4" s="1"/>
  <c r="T113" i="4"/>
  <c r="U113" i="4"/>
  <c r="P113" i="4"/>
  <c r="O113" i="4"/>
  <c r="AC112" i="4"/>
  <c r="S112" i="4"/>
  <c r="AG112" i="4" s="1"/>
  <c r="T112" i="4"/>
  <c r="U112" i="4"/>
  <c r="O112" i="4"/>
  <c r="P112" i="4"/>
  <c r="AC111" i="4"/>
  <c r="S111" i="4"/>
  <c r="AG111" i="4" s="1"/>
  <c r="T111" i="4"/>
  <c r="U111" i="4"/>
  <c r="O111" i="4"/>
  <c r="P111" i="4"/>
  <c r="AC110" i="4"/>
  <c r="S110" i="4"/>
  <c r="AG110" i="4" s="1"/>
  <c r="T110" i="4"/>
  <c r="U110" i="4"/>
  <c r="P110" i="4"/>
  <c r="O110" i="4"/>
  <c r="AC109" i="4"/>
  <c r="S109" i="4"/>
  <c r="AG109" i="4" s="1"/>
  <c r="T109" i="4"/>
  <c r="U109" i="4"/>
  <c r="P109" i="4"/>
  <c r="O109" i="4"/>
  <c r="AC108" i="4"/>
  <c r="S108" i="4"/>
  <c r="AG108" i="4" s="1"/>
  <c r="T108" i="4"/>
  <c r="U108" i="4"/>
  <c r="O108" i="4"/>
  <c r="P108" i="4"/>
  <c r="AC107" i="4"/>
  <c r="S107" i="4"/>
  <c r="AG107" i="4" s="1"/>
  <c r="T107" i="4"/>
  <c r="U107" i="4"/>
  <c r="P107" i="4"/>
  <c r="O107" i="4"/>
  <c r="AC106" i="4"/>
  <c r="S106" i="4"/>
  <c r="AG106" i="4" s="1"/>
  <c r="T106" i="4"/>
  <c r="U106" i="4"/>
  <c r="P106" i="4"/>
  <c r="O106" i="4"/>
  <c r="AC105" i="4"/>
  <c r="S105" i="4"/>
  <c r="AG105" i="4" s="1"/>
  <c r="T105" i="4"/>
  <c r="U105" i="4"/>
  <c r="P105" i="4"/>
  <c r="O105" i="4"/>
  <c r="AC104" i="4"/>
  <c r="S104" i="4"/>
  <c r="AG104" i="4" s="1"/>
  <c r="T104" i="4"/>
  <c r="U104" i="4"/>
  <c r="O104" i="4"/>
  <c r="P104" i="4"/>
  <c r="AC103" i="4"/>
  <c r="S103" i="4"/>
  <c r="AG103" i="4" s="1"/>
  <c r="T103" i="4"/>
  <c r="U103" i="4"/>
  <c r="O103" i="4"/>
  <c r="P103" i="4"/>
  <c r="AC102" i="4"/>
  <c r="S102" i="4"/>
  <c r="AG102" i="4" s="1"/>
  <c r="T102" i="4"/>
  <c r="U102" i="4"/>
  <c r="O102" i="4"/>
  <c r="P102" i="4"/>
  <c r="AC101" i="4"/>
  <c r="S101" i="4"/>
  <c r="AG101" i="4" s="1"/>
  <c r="T101" i="4"/>
  <c r="U101" i="4"/>
  <c r="O101" i="4"/>
  <c r="P101" i="4"/>
  <c r="AC100" i="4"/>
  <c r="S100" i="4"/>
  <c r="AG100" i="4" s="1"/>
  <c r="T100" i="4"/>
  <c r="U100" i="4"/>
  <c r="O100" i="4"/>
  <c r="P100" i="4"/>
  <c r="AC99" i="4"/>
  <c r="S99" i="4"/>
  <c r="AG99" i="4" s="1"/>
  <c r="T99" i="4"/>
  <c r="U99" i="4"/>
  <c r="O99" i="4"/>
  <c r="P99" i="4"/>
  <c r="AC98" i="4"/>
  <c r="S98" i="4"/>
  <c r="AG98" i="4" s="1"/>
  <c r="T98" i="4"/>
  <c r="U98" i="4"/>
  <c r="O98" i="4"/>
  <c r="P98" i="4"/>
  <c r="AC97" i="4"/>
  <c r="S97" i="4"/>
  <c r="AG97" i="4" s="1"/>
  <c r="T97" i="4"/>
  <c r="U97" i="4"/>
  <c r="O97" i="4"/>
  <c r="P97" i="4"/>
  <c r="AC96" i="4"/>
  <c r="S96" i="4"/>
  <c r="AG96" i="4" s="1"/>
  <c r="T96" i="4"/>
  <c r="U96" i="4"/>
  <c r="P96" i="4"/>
  <c r="O96" i="4"/>
  <c r="AC95" i="4"/>
  <c r="S95" i="4"/>
  <c r="AG95" i="4" s="1"/>
  <c r="T95" i="4"/>
  <c r="U95" i="4"/>
  <c r="O95" i="4"/>
  <c r="P95" i="4"/>
  <c r="AC94" i="4"/>
  <c r="S94" i="4"/>
  <c r="AG94" i="4" s="1"/>
  <c r="T94" i="4"/>
  <c r="U94" i="4"/>
  <c r="P94" i="4"/>
  <c r="O94" i="4"/>
  <c r="AC93" i="4"/>
  <c r="S93" i="4"/>
  <c r="AG93" i="4" s="1"/>
  <c r="T93" i="4"/>
  <c r="U93" i="4"/>
  <c r="O93" i="4"/>
  <c r="P93" i="4"/>
  <c r="AC92" i="4"/>
  <c r="S92" i="4"/>
  <c r="AG92" i="4" s="1"/>
  <c r="T92" i="4"/>
  <c r="U92" i="4"/>
  <c r="O92" i="4"/>
  <c r="P92" i="4"/>
  <c r="AC91" i="4"/>
  <c r="S91" i="4"/>
  <c r="AG91" i="4" s="1"/>
  <c r="T91" i="4"/>
  <c r="U91" i="4"/>
  <c r="O91" i="4"/>
  <c r="P91" i="4"/>
  <c r="AC90" i="4"/>
  <c r="S90" i="4"/>
  <c r="AG90" i="4" s="1"/>
  <c r="T90" i="4"/>
  <c r="U90" i="4"/>
  <c r="O90" i="4"/>
  <c r="P90" i="4"/>
  <c r="AC89" i="4"/>
  <c r="S89" i="4"/>
  <c r="AG89" i="4" s="1"/>
  <c r="T89" i="4"/>
  <c r="U89" i="4"/>
  <c r="P89" i="4"/>
  <c r="O89" i="4"/>
  <c r="AC88" i="4"/>
  <c r="S88" i="4"/>
  <c r="AG88" i="4" s="1"/>
  <c r="T88" i="4"/>
  <c r="U88" i="4"/>
  <c r="P88" i="4"/>
  <c r="O88" i="4"/>
  <c r="AC87" i="4"/>
  <c r="S87" i="4"/>
  <c r="AG87" i="4" s="1"/>
  <c r="T87" i="4"/>
  <c r="U87" i="4"/>
  <c r="O87" i="4"/>
  <c r="P87" i="4"/>
  <c r="AC86" i="4"/>
  <c r="S86" i="4"/>
  <c r="AG86" i="4" s="1"/>
  <c r="T86" i="4"/>
  <c r="U86" i="4"/>
  <c r="P86" i="4"/>
  <c r="O86" i="4"/>
  <c r="AC85" i="4"/>
  <c r="S85" i="4"/>
  <c r="AG85" i="4" s="1"/>
  <c r="T85" i="4"/>
  <c r="U85" i="4"/>
  <c r="P85" i="4"/>
  <c r="O85" i="4"/>
  <c r="AC84" i="4"/>
  <c r="S84" i="4"/>
  <c r="AG84" i="4" s="1"/>
  <c r="T84" i="4"/>
  <c r="U84" i="4"/>
  <c r="P84" i="4"/>
  <c r="O84" i="4"/>
  <c r="AC83" i="4"/>
  <c r="S83" i="4"/>
  <c r="AG83" i="4" s="1"/>
  <c r="T83" i="4"/>
  <c r="U83" i="4"/>
  <c r="P83" i="4"/>
  <c r="O83" i="4"/>
  <c r="AC82" i="4"/>
  <c r="S82" i="4"/>
  <c r="AG82" i="4" s="1"/>
  <c r="T82" i="4"/>
  <c r="U82" i="4"/>
  <c r="O82" i="4"/>
  <c r="P82" i="4"/>
  <c r="AC81" i="4"/>
  <c r="S81" i="4"/>
  <c r="AG81" i="4" s="1"/>
  <c r="T81" i="4"/>
  <c r="U81" i="4"/>
  <c r="O81" i="4"/>
  <c r="P81" i="4"/>
  <c r="AC80" i="4"/>
  <c r="S80" i="4"/>
  <c r="AG80" i="4" s="1"/>
  <c r="T80" i="4"/>
  <c r="U80" i="4"/>
  <c r="P80" i="4"/>
  <c r="O80" i="4"/>
  <c r="AC79" i="4"/>
  <c r="S79" i="4"/>
  <c r="AG79" i="4" s="1"/>
  <c r="T79" i="4"/>
  <c r="U79" i="4"/>
  <c r="P79" i="4"/>
  <c r="O79" i="4"/>
  <c r="AC78" i="4"/>
  <c r="S78" i="4"/>
  <c r="AG78" i="4" s="1"/>
  <c r="T78" i="4"/>
  <c r="U78" i="4"/>
  <c r="P78" i="4"/>
  <c r="O78" i="4"/>
  <c r="AC77" i="4"/>
  <c r="S77" i="4"/>
  <c r="AG77" i="4" s="1"/>
  <c r="T77" i="4"/>
  <c r="U77" i="4"/>
  <c r="P77" i="4"/>
  <c r="O77" i="4"/>
  <c r="AC76" i="4"/>
  <c r="S76" i="4"/>
  <c r="AG76" i="4" s="1"/>
  <c r="T76" i="4"/>
  <c r="U76" i="4"/>
  <c r="P76" i="4"/>
  <c r="O76" i="4"/>
  <c r="AC75" i="4"/>
  <c r="S75" i="4"/>
  <c r="AG75" i="4" s="1"/>
  <c r="T75" i="4"/>
  <c r="U75" i="4"/>
  <c r="O75" i="4"/>
  <c r="P75" i="4"/>
  <c r="AC74" i="4"/>
  <c r="S74" i="4"/>
  <c r="AG74" i="4" s="1"/>
  <c r="T74" i="4"/>
  <c r="U74" i="4"/>
  <c r="O74" i="4"/>
  <c r="P74" i="4"/>
  <c r="AC73" i="4"/>
  <c r="S73" i="4"/>
  <c r="AG73" i="4" s="1"/>
  <c r="T73" i="4"/>
  <c r="U73" i="4"/>
  <c r="P73" i="4"/>
  <c r="O73" i="4"/>
  <c r="AC72" i="4"/>
  <c r="S72" i="4"/>
  <c r="AG72" i="4" s="1"/>
  <c r="T72" i="4"/>
  <c r="U72" i="4"/>
  <c r="P72" i="4"/>
  <c r="O72" i="4"/>
  <c r="AC71" i="4"/>
  <c r="S71" i="4"/>
  <c r="AG71" i="4" s="1"/>
  <c r="T71" i="4"/>
  <c r="U71" i="4"/>
  <c r="P71" i="4"/>
  <c r="O71" i="4"/>
  <c r="AC70" i="4"/>
  <c r="S70" i="4"/>
  <c r="AG70" i="4" s="1"/>
  <c r="T70" i="4"/>
  <c r="U70" i="4"/>
  <c r="O70" i="4"/>
  <c r="P70" i="4"/>
  <c r="AC69" i="4"/>
  <c r="S69" i="4"/>
  <c r="AG69" i="4" s="1"/>
  <c r="T69" i="4"/>
  <c r="U69" i="4"/>
  <c r="O69" i="4"/>
  <c r="P69" i="4"/>
  <c r="AC68" i="4"/>
  <c r="S68" i="4"/>
  <c r="AG68" i="4" s="1"/>
  <c r="T68" i="4"/>
  <c r="U68" i="4"/>
  <c r="O68" i="4"/>
  <c r="P68" i="4"/>
  <c r="AC67" i="4"/>
  <c r="S67" i="4"/>
  <c r="AG67" i="4" s="1"/>
  <c r="T67" i="4"/>
  <c r="U67" i="4"/>
  <c r="P67" i="4"/>
  <c r="O67" i="4"/>
  <c r="AC66" i="4"/>
  <c r="S66" i="4"/>
  <c r="AG66" i="4" s="1"/>
  <c r="T66" i="4"/>
  <c r="U66" i="4"/>
  <c r="O66" i="4"/>
  <c r="P66" i="4"/>
  <c r="AC65" i="4"/>
  <c r="S65" i="4"/>
  <c r="AG65" i="4" s="1"/>
  <c r="T65" i="4"/>
  <c r="U65" i="4"/>
  <c r="O65" i="4"/>
  <c r="P65" i="4"/>
  <c r="AC64" i="4"/>
  <c r="S64" i="4"/>
  <c r="AG64" i="4" s="1"/>
  <c r="T64" i="4"/>
  <c r="U64" i="4"/>
  <c r="O64" i="4"/>
  <c r="P64" i="4"/>
  <c r="AC63" i="4"/>
  <c r="S63" i="4"/>
  <c r="AG63" i="4" s="1"/>
  <c r="T63" i="4"/>
  <c r="U63" i="4"/>
  <c r="O63" i="4"/>
  <c r="P63" i="4"/>
  <c r="AC62" i="4"/>
  <c r="S62" i="4"/>
  <c r="AG62" i="4" s="1"/>
  <c r="T62" i="4"/>
  <c r="U62" i="4"/>
  <c r="O62" i="4"/>
  <c r="P62" i="4"/>
  <c r="AC61" i="4"/>
  <c r="S61" i="4"/>
  <c r="AG61" i="4" s="1"/>
  <c r="T61" i="4"/>
  <c r="U61" i="4"/>
  <c r="O61" i="4"/>
  <c r="P61" i="4"/>
  <c r="AC60" i="4"/>
  <c r="S60" i="4"/>
  <c r="AG60" i="4" s="1"/>
  <c r="T60" i="4"/>
  <c r="U60" i="4"/>
  <c r="O60" i="4"/>
  <c r="P60" i="4"/>
  <c r="AC59" i="4"/>
  <c r="S59" i="4"/>
  <c r="AG59" i="4" s="1"/>
  <c r="T59" i="4"/>
  <c r="U59" i="4"/>
  <c r="O59" i="4"/>
  <c r="P59" i="4"/>
  <c r="AC58" i="4"/>
  <c r="S58" i="4"/>
  <c r="AG58" i="4" s="1"/>
  <c r="T58" i="4"/>
  <c r="U58" i="4"/>
  <c r="P58" i="4"/>
  <c r="O58" i="4"/>
  <c r="AC57" i="4"/>
  <c r="S57" i="4"/>
  <c r="AG57" i="4" s="1"/>
  <c r="T57" i="4"/>
  <c r="U57" i="4"/>
  <c r="O57" i="4"/>
  <c r="P57" i="4"/>
  <c r="AC56" i="4"/>
  <c r="S56" i="4"/>
  <c r="AG56" i="4" s="1"/>
  <c r="T56" i="4"/>
  <c r="U56" i="4"/>
  <c r="O56" i="4"/>
  <c r="P56" i="4"/>
  <c r="AC55" i="4"/>
  <c r="S55" i="4"/>
  <c r="AG55" i="4" s="1"/>
  <c r="T55" i="4"/>
  <c r="U55" i="4"/>
  <c r="P55" i="4"/>
  <c r="O55" i="4"/>
  <c r="AC54" i="4"/>
  <c r="S54" i="4"/>
  <c r="AG54" i="4" s="1"/>
  <c r="T54" i="4"/>
  <c r="U54" i="4"/>
  <c r="O54" i="4"/>
  <c r="P54" i="4"/>
  <c r="AC53" i="4"/>
  <c r="S53" i="4"/>
  <c r="AG53" i="4" s="1"/>
  <c r="T53" i="4"/>
  <c r="U53" i="4"/>
  <c r="O53" i="4"/>
  <c r="P53" i="4"/>
  <c r="AC52" i="4"/>
  <c r="S52" i="4"/>
  <c r="AG52" i="4" s="1"/>
  <c r="T52" i="4"/>
  <c r="U52" i="4"/>
  <c r="O52" i="4"/>
  <c r="P52" i="4"/>
  <c r="AC51" i="4"/>
  <c r="S51" i="4"/>
  <c r="AG51" i="4" s="1"/>
  <c r="T51" i="4"/>
  <c r="U51" i="4"/>
  <c r="P51" i="4"/>
  <c r="O51" i="4"/>
  <c r="AC50" i="4"/>
  <c r="S50" i="4"/>
  <c r="AG50" i="4" s="1"/>
  <c r="T50" i="4"/>
  <c r="U50" i="4"/>
  <c r="P50" i="4"/>
  <c r="O50" i="4"/>
  <c r="AC49" i="4"/>
  <c r="S49" i="4"/>
  <c r="AG49" i="4" s="1"/>
  <c r="T49" i="4"/>
  <c r="U49" i="4"/>
  <c r="O49" i="4"/>
  <c r="P49" i="4"/>
  <c r="AC48" i="4"/>
  <c r="S48" i="4"/>
  <c r="AG48" i="4" s="1"/>
  <c r="T48" i="4"/>
  <c r="U48" i="4"/>
  <c r="O48" i="4"/>
  <c r="P48" i="4"/>
  <c r="AC47" i="4"/>
  <c r="S47" i="4"/>
  <c r="AG47" i="4" s="1"/>
  <c r="T47" i="4"/>
  <c r="U47" i="4"/>
  <c r="O47" i="4"/>
  <c r="P47" i="4"/>
  <c r="AC46" i="4"/>
  <c r="S46" i="4"/>
  <c r="AG46" i="4" s="1"/>
  <c r="T46" i="4"/>
  <c r="U46" i="4"/>
  <c r="P46" i="4"/>
  <c r="O46" i="4"/>
  <c r="AC45" i="4"/>
  <c r="S45" i="4"/>
  <c r="AG45" i="4" s="1"/>
  <c r="T45" i="4"/>
  <c r="U45" i="4"/>
  <c r="O45" i="4"/>
  <c r="P45" i="4"/>
  <c r="AC44" i="4"/>
  <c r="S44" i="4"/>
  <c r="AG44" i="4" s="1"/>
  <c r="T44" i="4"/>
  <c r="U44" i="4"/>
  <c r="O44" i="4"/>
  <c r="P44" i="4"/>
  <c r="AC43" i="4"/>
  <c r="S43" i="4"/>
  <c r="AG43" i="4" s="1"/>
  <c r="T43" i="4"/>
  <c r="U43" i="4"/>
  <c r="O43" i="4"/>
  <c r="P43" i="4"/>
  <c r="AC42" i="4"/>
  <c r="S42" i="4"/>
  <c r="AG42" i="4" s="1"/>
  <c r="T42" i="4"/>
  <c r="U42" i="4"/>
  <c r="P42" i="4"/>
  <c r="O42" i="4"/>
  <c r="AC41" i="4"/>
  <c r="S41" i="4"/>
  <c r="AG41" i="4" s="1"/>
  <c r="T41" i="4"/>
  <c r="U41" i="4"/>
  <c r="P41" i="4"/>
  <c r="O41" i="4"/>
  <c r="AC40" i="4"/>
  <c r="S40" i="4"/>
  <c r="AG40" i="4" s="1"/>
  <c r="T40" i="4"/>
  <c r="U40" i="4"/>
  <c r="O40" i="4"/>
  <c r="P40" i="4"/>
  <c r="AC39" i="4"/>
  <c r="S39" i="4"/>
  <c r="AG39" i="4" s="1"/>
  <c r="T39" i="4"/>
  <c r="U39" i="4"/>
  <c r="O39" i="4"/>
  <c r="P39" i="4"/>
  <c r="AC38" i="4"/>
  <c r="S38" i="4"/>
  <c r="AG38" i="4" s="1"/>
  <c r="T38" i="4"/>
  <c r="U38" i="4"/>
  <c r="O38" i="4"/>
  <c r="P38" i="4"/>
  <c r="AC37" i="4"/>
  <c r="S37" i="4"/>
  <c r="AG37" i="4" s="1"/>
  <c r="T37" i="4"/>
  <c r="U37" i="4"/>
  <c r="P37" i="4"/>
  <c r="O37" i="4"/>
  <c r="AC36" i="4"/>
  <c r="S36" i="4"/>
  <c r="AG36" i="4" s="1"/>
  <c r="T36" i="4"/>
  <c r="U36" i="4"/>
  <c r="O36" i="4"/>
  <c r="P36" i="4"/>
  <c r="AC35" i="4"/>
  <c r="S35" i="4"/>
  <c r="AG35" i="4" s="1"/>
  <c r="T35" i="4"/>
  <c r="U35" i="4"/>
  <c r="O35" i="4"/>
  <c r="P35" i="4"/>
  <c r="AC34" i="4"/>
  <c r="S34" i="4"/>
  <c r="AG34" i="4" s="1"/>
  <c r="T34" i="4"/>
  <c r="U34" i="4"/>
  <c r="O34" i="4"/>
  <c r="P34" i="4"/>
  <c r="AC33" i="4"/>
  <c r="S33" i="4"/>
  <c r="AG33" i="4" s="1"/>
  <c r="T33" i="4"/>
  <c r="U33" i="4"/>
  <c r="O33" i="4"/>
  <c r="P33" i="4"/>
  <c r="AC32" i="4"/>
  <c r="S32" i="4"/>
  <c r="AG32" i="4" s="1"/>
  <c r="T32" i="4"/>
  <c r="U32" i="4"/>
  <c r="O32" i="4"/>
  <c r="P32" i="4"/>
  <c r="AC31" i="4"/>
  <c r="S31" i="4"/>
  <c r="AG31" i="4" s="1"/>
  <c r="T31" i="4"/>
  <c r="U31" i="4"/>
  <c r="P31" i="4"/>
  <c r="O31" i="4"/>
  <c r="AC30" i="4"/>
  <c r="S30" i="4"/>
  <c r="AG30" i="4" s="1"/>
  <c r="T30" i="4"/>
  <c r="U30" i="4"/>
  <c r="P30" i="4"/>
  <c r="O30" i="4"/>
  <c r="AC29" i="4"/>
  <c r="S29" i="4"/>
  <c r="AG29" i="4" s="1"/>
  <c r="T29" i="4"/>
  <c r="U29" i="4"/>
  <c r="O29" i="4"/>
  <c r="P29" i="4"/>
  <c r="AC28" i="4"/>
  <c r="S28" i="4"/>
  <c r="AG28" i="4" s="1"/>
  <c r="T28" i="4"/>
  <c r="U28" i="4"/>
  <c r="P28" i="4"/>
  <c r="O28" i="4"/>
  <c r="AC27" i="4"/>
  <c r="S27" i="4"/>
  <c r="AG27" i="4" s="1"/>
  <c r="T27" i="4"/>
  <c r="U27" i="4"/>
  <c r="P27" i="4"/>
  <c r="O27" i="4"/>
  <c r="AC26" i="4"/>
  <c r="S26" i="4"/>
  <c r="AG26" i="4" s="1"/>
  <c r="T26" i="4"/>
  <c r="U26" i="4"/>
  <c r="P26" i="4"/>
  <c r="O26" i="4"/>
  <c r="AC25" i="4"/>
  <c r="S25" i="4"/>
  <c r="AG25" i="4" s="1"/>
  <c r="T25" i="4"/>
  <c r="U25" i="4"/>
  <c r="O25" i="4"/>
  <c r="P25" i="4"/>
  <c r="AC24" i="4"/>
  <c r="S24" i="4"/>
  <c r="AG24" i="4" s="1"/>
  <c r="T24" i="4"/>
  <c r="U24" i="4"/>
  <c r="O24" i="4"/>
  <c r="P24" i="4"/>
  <c r="AC23" i="4"/>
  <c r="S23" i="4"/>
  <c r="AG23" i="4" s="1"/>
  <c r="T23" i="4"/>
  <c r="U23" i="4"/>
  <c r="O23" i="4"/>
  <c r="P23" i="4"/>
  <c r="AC22" i="4"/>
  <c r="S22" i="4"/>
  <c r="AG22" i="4" s="1"/>
  <c r="T22" i="4"/>
  <c r="U22" i="4"/>
  <c r="P22" i="4"/>
  <c r="O22" i="4"/>
  <c r="AC21" i="4"/>
  <c r="S21" i="4"/>
  <c r="AG21" i="4" s="1"/>
  <c r="T21" i="4"/>
  <c r="U21" i="4"/>
  <c r="O21" i="4"/>
  <c r="P21" i="4"/>
  <c r="AC20" i="4"/>
  <c r="S20" i="4"/>
  <c r="AG20" i="4" s="1"/>
  <c r="T20" i="4"/>
  <c r="U20" i="4"/>
  <c r="O20" i="4"/>
  <c r="P20" i="4"/>
  <c r="AC19" i="4"/>
  <c r="S19" i="4"/>
  <c r="AG19" i="4" s="1"/>
  <c r="T19" i="4"/>
  <c r="U19" i="4"/>
  <c r="O19" i="4"/>
  <c r="P19" i="4"/>
  <c r="AC18" i="4"/>
  <c r="S18" i="4"/>
  <c r="AG18" i="4" s="1"/>
  <c r="T18" i="4"/>
  <c r="U18" i="4"/>
  <c r="P18" i="4"/>
  <c r="O18" i="4"/>
  <c r="AC17" i="4"/>
  <c r="S17" i="4"/>
  <c r="AG17" i="4" s="1"/>
  <c r="T17" i="4"/>
  <c r="U17" i="4"/>
  <c r="P17" i="4"/>
  <c r="O17" i="4"/>
  <c r="AC16" i="4"/>
  <c r="S16" i="4"/>
  <c r="AG16" i="4" s="1"/>
  <c r="T16" i="4"/>
  <c r="U16" i="4"/>
  <c r="O16" i="4"/>
  <c r="P16" i="4"/>
  <c r="AC15" i="4"/>
  <c r="S15" i="4"/>
  <c r="AG15" i="4" s="1"/>
  <c r="T15" i="4"/>
  <c r="U15" i="4"/>
  <c r="P15" i="4"/>
  <c r="O15" i="4"/>
  <c r="AC14" i="4"/>
  <c r="S14" i="4"/>
  <c r="AG14" i="4" s="1"/>
  <c r="T14" i="4"/>
  <c r="U14" i="4"/>
  <c r="O14" i="4"/>
  <c r="P14" i="4"/>
  <c r="AC13" i="4"/>
  <c r="S13" i="4"/>
  <c r="AG13" i="4" s="1"/>
  <c r="T13" i="4"/>
  <c r="U13" i="4"/>
  <c r="O13" i="4"/>
  <c r="P13" i="4"/>
  <c r="AC12" i="4"/>
  <c r="S12" i="4"/>
  <c r="AG12" i="4" s="1"/>
  <c r="T12" i="4"/>
  <c r="U12" i="4"/>
  <c r="O12" i="4"/>
  <c r="P12" i="4"/>
  <c r="AC11" i="4"/>
  <c r="S11" i="4"/>
  <c r="AG11" i="4" s="1"/>
  <c r="T11" i="4"/>
  <c r="U11" i="4"/>
  <c r="P11" i="4"/>
  <c r="O11" i="4"/>
  <c r="AC10" i="4"/>
  <c r="S10" i="4"/>
  <c r="AG10" i="4" s="1"/>
  <c r="T10" i="4"/>
  <c r="U10" i="4"/>
  <c r="P10" i="4"/>
  <c r="O10" i="4"/>
  <c r="AC9" i="4"/>
  <c r="S9" i="4"/>
  <c r="AG9" i="4" s="1"/>
  <c r="T9" i="4"/>
  <c r="U9" i="4"/>
  <c r="O9" i="4"/>
  <c r="P9" i="4"/>
  <c r="AC8" i="4"/>
  <c r="S8" i="4"/>
  <c r="AG8" i="4" s="1"/>
  <c r="T8" i="4"/>
  <c r="U8" i="4"/>
  <c r="O8" i="4"/>
  <c r="P8" i="4"/>
  <c r="AC7" i="4"/>
  <c r="S7" i="4"/>
  <c r="AG7" i="4" s="1"/>
  <c r="T7" i="4"/>
  <c r="U7" i="4"/>
  <c r="O7" i="4"/>
  <c r="P7" i="4"/>
  <c r="AC6" i="4"/>
  <c r="S6" i="4"/>
  <c r="AG6" i="4" s="1"/>
  <c r="T6" i="4"/>
  <c r="U6" i="4"/>
  <c r="P6" i="4"/>
  <c r="O6" i="4"/>
  <c r="AC5" i="4"/>
  <c r="S5" i="4"/>
  <c r="AG5" i="4" s="1"/>
  <c r="T5" i="4"/>
  <c r="U5" i="4"/>
  <c r="O5" i="4"/>
  <c r="P5" i="4"/>
  <c r="AC4" i="4"/>
  <c r="S4" i="4"/>
  <c r="AG4" i="4" s="1"/>
  <c r="T4" i="4"/>
  <c r="U4" i="4"/>
  <c r="P4" i="4"/>
  <c r="O4" i="4"/>
  <c r="AC3" i="4"/>
  <c r="S3" i="4"/>
  <c r="AG3" i="4" s="1"/>
  <c r="T3" i="4"/>
  <c r="U3" i="4"/>
  <c r="P3" i="4"/>
  <c r="O3" i="4"/>
  <c r="AC2" i="4"/>
  <c r="S2" i="4"/>
  <c r="AG2" i="4" s="1"/>
  <c r="T2" i="4"/>
  <c r="U2" i="4"/>
  <c r="P2" i="4"/>
  <c r="O2" i="4"/>
  <c r="K17" i="5"/>
  <c r="J17" i="5"/>
  <c r="M17" i="5"/>
  <c r="N17" i="5" s="1"/>
  <c r="L17" i="5"/>
  <c r="K12" i="5"/>
  <c r="M12" i="5"/>
  <c r="N12" i="5" s="1"/>
  <c r="J12" i="5"/>
  <c r="L12" i="5"/>
  <c r="AJ503" i="4" l="1"/>
  <c r="AJ502" i="4"/>
  <c r="AJ500" i="4"/>
  <c r="AJ497" i="4"/>
  <c r="AJ485" i="4"/>
  <c r="AJ465" i="4"/>
  <c r="AJ463" i="4"/>
  <c r="AJ460" i="4"/>
  <c r="AJ459" i="4"/>
  <c r="AJ458" i="4"/>
  <c r="AJ453" i="4"/>
  <c r="AJ452" i="4"/>
  <c r="AJ451" i="4"/>
  <c r="AJ450" i="4"/>
  <c r="AJ449" i="4"/>
  <c r="AJ447" i="4"/>
  <c r="AJ446" i="4"/>
  <c r="AJ445" i="4"/>
  <c r="AJ444" i="4"/>
  <c r="AJ433" i="4"/>
  <c r="AJ432" i="4"/>
  <c r="AJ429" i="4"/>
  <c r="AJ425" i="4"/>
  <c r="AJ424" i="4"/>
  <c r="AJ423" i="4"/>
  <c r="AJ419" i="4"/>
  <c r="AJ416" i="4"/>
  <c r="AJ411" i="4"/>
  <c r="AJ408" i="4"/>
  <c r="AJ405" i="4"/>
  <c r="AJ404" i="4"/>
  <c r="AJ398" i="4"/>
  <c r="AJ397" i="4"/>
  <c r="AJ388" i="4"/>
  <c r="AJ387" i="4"/>
  <c r="AJ384" i="4"/>
  <c r="AJ374" i="4"/>
  <c r="AJ309" i="4"/>
  <c r="AJ306" i="4"/>
  <c r="AJ302" i="4"/>
  <c r="AJ299" i="4"/>
  <c r="AJ294" i="4"/>
  <c r="AJ287" i="4"/>
  <c r="AJ281" i="4"/>
  <c r="AJ280" i="4"/>
  <c r="AJ277" i="4"/>
  <c r="AJ271" i="4"/>
  <c r="AJ266" i="4"/>
  <c r="AJ263" i="4"/>
  <c r="AJ255" i="4"/>
  <c r="AJ250" i="4"/>
  <c r="AJ246" i="4"/>
  <c r="AJ242" i="4"/>
  <c r="AJ130" i="4"/>
  <c r="AJ121" i="4"/>
  <c r="AJ117" i="4"/>
  <c r="AJ115" i="4"/>
  <c r="AJ113" i="4"/>
  <c r="AJ337" i="4"/>
  <c r="AJ336" i="4"/>
  <c r="AJ335" i="4"/>
  <c r="AJ334" i="4"/>
  <c r="AJ333" i="4"/>
  <c r="AJ332" i="4"/>
  <c r="AJ331" i="4"/>
  <c r="AJ330" i="4"/>
  <c r="AJ329" i="4"/>
  <c r="AJ328" i="4"/>
  <c r="AJ327" i="4"/>
  <c r="AJ326" i="4"/>
  <c r="AJ325" i="4"/>
  <c r="AJ324" i="4"/>
  <c r="AJ323" i="4"/>
  <c r="AJ322" i="4"/>
  <c r="AJ321" i="4"/>
  <c r="AJ319" i="4"/>
  <c r="AJ318" i="4"/>
  <c r="AJ317" i="4"/>
  <c r="AJ316" i="4"/>
  <c r="AJ315" i="4"/>
  <c r="AJ314" i="4"/>
  <c r="AJ313" i="4"/>
  <c r="AJ303" i="4"/>
  <c r="AJ300" i="4"/>
  <c r="AJ295" i="4"/>
  <c r="AJ290" i="4"/>
  <c r="AJ279" i="4"/>
  <c r="AJ270" i="4"/>
  <c r="AJ267" i="4"/>
  <c r="AJ265" i="4"/>
  <c r="AJ260" i="4"/>
  <c r="AJ257" i="4"/>
  <c r="AJ256" i="4"/>
  <c r="AJ252" i="4"/>
  <c r="AJ249" i="4"/>
  <c r="AJ248" i="4"/>
  <c r="AJ137" i="4"/>
  <c r="AJ131" i="4"/>
  <c r="AJ124" i="4"/>
  <c r="AJ116" i="4"/>
  <c r="AJ110" i="4"/>
  <c r="AJ186" i="4"/>
  <c r="AJ185" i="4"/>
  <c r="AJ184" i="4"/>
  <c r="AJ183" i="4"/>
  <c r="AJ182" i="4"/>
  <c r="AJ181" i="4"/>
  <c r="AJ180" i="4"/>
  <c r="AJ179" i="4"/>
  <c r="AJ178" i="4"/>
  <c r="AJ177" i="4"/>
  <c r="AJ176" i="4"/>
  <c r="AJ175" i="4"/>
  <c r="AJ174" i="4"/>
  <c r="AJ173" i="4"/>
  <c r="AJ172" i="4"/>
  <c r="AJ171" i="4"/>
  <c r="AJ170" i="4"/>
  <c r="AJ169" i="4"/>
  <c r="AJ168" i="4"/>
  <c r="AJ167" i="4"/>
  <c r="AJ166" i="4"/>
  <c r="AJ165" i="4"/>
  <c r="AJ164" i="4"/>
  <c r="AJ163" i="4"/>
  <c r="AJ162" i="4"/>
  <c r="AJ161" i="4"/>
  <c r="AJ160" i="4"/>
  <c r="AJ159" i="4"/>
  <c r="AJ158" i="4"/>
  <c r="AJ157" i="4"/>
  <c r="AJ156" i="4"/>
  <c r="AJ155" i="4"/>
  <c r="AJ154" i="4"/>
  <c r="AJ153" i="4"/>
  <c r="AJ152" i="4"/>
  <c r="AJ151" i="4"/>
  <c r="AJ150" i="4"/>
  <c r="AJ149" i="4"/>
  <c r="AJ148" i="4"/>
  <c r="AJ147" i="4"/>
  <c r="AJ146" i="4"/>
  <c r="AJ145" i="4"/>
  <c r="AJ144" i="4"/>
  <c r="AJ143" i="4"/>
  <c r="AJ142" i="4"/>
  <c r="AJ141" i="4"/>
  <c r="AJ140" i="4"/>
  <c r="AJ139" i="4"/>
  <c r="AJ138" i="4"/>
  <c r="AJ135" i="4"/>
  <c r="AJ133" i="4"/>
  <c r="AJ129" i="4"/>
  <c r="AJ127" i="4"/>
  <c r="AJ125" i="4"/>
  <c r="AJ123" i="4"/>
  <c r="AJ118" i="4"/>
  <c r="AJ39" i="4"/>
  <c r="AJ38" i="4"/>
  <c r="AJ37" i="4"/>
  <c r="AJ36" i="4"/>
  <c r="AJ35" i="4"/>
  <c r="AJ34" i="4"/>
  <c r="AJ33" i="4"/>
  <c r="AJ32" i="4"/>
  <c r="AJ31" i="4"/>
  <c r="AJ30" i="4"/>
  <c r="AJ29" i="4"/>
  <c r="AJ28" i="4"/>
  <c r="AJ27" i="4"/>
  <c r="AJ26" i="4"/>
  <c r="AJ25" i="4"/>
  <c r="AJ24" i="4"/>
  <c r="AJ23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AJ2" i="4"/>
  <c r="AJ501" i="4"/>
  <c r="AJ496" i="4"/>
  <c r="AJ492" i="4"/>
  <c r="AJ491" i="4"/>
  <c r="AJ484" i="4"/>
  <c r="AJ483" i="4"/>
  <c r="AJ482" i="4"/>
  <c r="AJ479" i="4"/>
  <c r="AJ478" i="4"/>
  <c r="AJ477" i="4"/>
  <c r="AJ476" i="4"/>
  <c r="AJ475" i="4"/>
  <c r="AJ474" i="4"/>
  <c r="AJ468" i="4"/>
  <c r="AJ467" i="4"/>
  <c r="AJ466" i="4"/>
  <c r="AJ462" i="4"/>
  <c r="AJ461" i="4"/>
  <c r="AJ457" i="4"/>
  <c r="AJ456" i="4"/>
  <c r="AJ455" i="4"/>
  <c r="AJ454" i="4"/>
  <c r="AJ448" i="4"/>
  <c r="AJ441" i="4"/>
  <c r="AJ438" i="4"/>
  <c r="AJ437" i="4"/>
  <c r="AJ436" i="4"/>
  <c r="AJ435" i="4"/>
  <c r="AJ434" i="4"/>
  <c r="AJ431" i="4"/>
  <c r="AJ430" i="4"/>
  <c r="AJ426" i="4"/>
  <c r="AJ410" i="4"/>
  <c r="AJ407" i="4"/>
  <c r="AJ396" i="4"/>
  <c r="AJ393" i="4"/>
  <c r="AJ390" i="4"/>
  <c r="AJ379" i="4"/>
  <c r="AJ378" i="4"/>
  <c r="AJ376" i="4"/>
  <c r="AJ375" i="4"/>
  <c r="AJ312" i="4"/>
  <c r="AJ307" i="4"/>
  <c r="AJ304" i="4"/>
  <c r="AJ297" i="4"/>
  <c r="AJ291" i="4"/>
  <c r="AJ286" i="4"/>
  <c r="AJ285" i="4"/>
  <c r="AJ278" i="4"/>
  <c r="AJ275" i="4"/>
  <c r="AJ272" i="4"/>
  <c r="AJ268" i="4"/>
  <c r="AJ262" i="4"/>
  <c r="AJ261" i="4"/>
  <c r="AJ258" i="4"/>
  <c r="AJ254" i="4"/>
  <c r="AJ251" i="4"/>
  <c r="AJ245" i="4"/>
  <c r="AJ243" i="4"/>
  <c r="AJ128" i="4"/>
  <c r="AJ114" i="4"/>
  <c r="AJ499" i="4"/>
  <c r="AJ495" i="4"/>
  <c r="AJ480" i="4"/>
  <c r="AJ473" i="4"/>
  <c r="AJ470" i="4"/>
  <c r="AJ469" i="4"/>
  <c r="AJ443" i="4"/>
  <c r="AJ440" i="4"/>
  <c r="AJ418" i="4"/>
  <c r="AJ417" i="4"/>
  <c r="AJ415" i="4"/>
  <c r="AJ414" i="4"/>
  <c r="AJ412" i="4"/>
  <c r="AJ409" i="4"/>
  <c r="AJ406" i="4"/>
  <c r="AJ399" i="4"/>
  <c r="AJ391" i="4"/>
  <c r="AJ383" i="4"/>
  <c r="AJ382" i="4"/>
  <c r="AJ381" i="4"/>
  <c r="AJ311" i="4"/>
  <c r="AJ308" i="4"/>
  <c r="AJ301" i="4"/>
  <c r="AJ298" i="4"/>
  <c r="AJ293" i="4"/>
  <c r="AJ289" i="4"/>
  <c r="AJ284" i="4"/>
  <c r="AJ282" i="4"/>
  <c r="AJ276" i="4"/>
  <c r="AJ273" i="4"/>
  <c r="AJ269" i="4"/>
  <c r="AJ259" i="4"/>
  <c r="AJ247" i="4"/>
  <c r="AJ136" i="4"/>
  <c r="AJ134" i="4"/>
  <c r="AJ122" i="4"/>
  <c r="AJ119" i="4"/>
  <c r="AJ112" i="4"/>
  <c r="AJ498" i="4"/>
  <c r="AJ494" i="4"/>
  <c r="AJ493" i="4"/>
  <c r="AJ490" i="4"/>
  <c r="AJ489" i="4"/>
  <c r="AJ488" i="4"/>
  <c r="AJ487" i="4"/>
  <c r="AJ486" i="4"/>
  <c r="AJ481" i="4"/>
  <c r="AJ472" i="4"/>
  <c r="AJ471" i="4"/>
  <c r="AJ464" i="4"/>
  <c r="AJ442" i="4"/>
  <c r="AJ439" i="4"/>
  <c r="AJ428" i="4"/>
  <c r="AJ427" i="4"/>
  <c r="AJ422" i="4"/>
  <c r="AJ413" i="4"/>
  <c r="AJ403" i="4"/>
  <c r="AJ402" i="4"/>
  <c r="AJ389" i="4"/>
  <c r="AJ386" i="4"/>
  <c r="AJ380" i="4"/>
  <c r="AJ377" i="4"/>
  <c r="AJ310" i="4"/>
  <c r="AJ305" i="4"/>
  <c r="AJ296" i="4"/>
  <c r="AJ292" i="4"/>
  <c r="AJ288" i="4"/>
  <c r="AJ283" i="4"/>
  <c r="AJ274" i="4"/>
  <c r="AJ264" i="4"/>
  <c r="AJ253" i="4"/>
  <c r="AJ244" i="4"/>
  <c r="AJ132" i="4"/>
  <c r="AJ126" i="4"/>
  <c r="AJ120" i="4"/>
  <c r="AJ111" i="4"/>
  <c r="V503" i="4"/>
  <c r="X503" i="4" s="1"/>
  <c r="W503" i="4"/>
  <c r="V502" i="4"/>
  <c r="X502" i="4" s="1"/>
  <c r="W502" i="4"/>
  <c r="W501" i="4"/>
  <c r="V501" i="4"/>
  <c r="X501" i="4" s="1"/>
  <c r="V500" i="4"/>
  <c r="W500" i="4"/>
  <c r="V499" i="4"/>
  <c r="W499" i="4"/>
  <c r="V498" i="4"/>
  <c r="W498" i="4"/>
  <c r="W497" i="4"/>
  <c r="V497" i="4"/>
  <c r="X497" i="4" s="1"/>
  <c r="W496" i="4"/>
  <c r="V496" i="4"/>
  <c r="X496" i="4" s="1"/>
  <c r="W495" i="4"/>
  <c r="V495" i="4"/>
  <c r="X495" i="4" s="1"/>
  <c r="V494" i="4"/>
  <c r="W494" i="4"/>
  <c r="W493" i="4"/>
  <c r="V493" i="4"/>
  <c r="X493" i="4" s="1"/>
  <c r="V492" i="4"/>
  <c r="W492" i="4"/>
  <c r="W491" i="4"/>
  <c r="V491" i="4"/>
  <c r="X491" i="4" s="1"/>
  <c r="V490" i="4"/>
  <c r="W490" i="4"/>
  <c r="V489" i="4"/>
  <c r="W489" i="4"/>
  <c r="V488" i="4"/>
  <c r="W488" i="4"/>
  <c r="W487" i="4"/>
  <c r="V487" i="4"/>
  <c r="X487" i="4" s="1"/>
  <c r="V486" i="4"/>
  <c r="W486" i="4"/>
  <c r="V485" i="4"/>
  <c r="W485" i="4"/>
  <c r="W484" i="4"/>
  <c r="V484" i="4"/>
  <c r="X484" i="4" s="1"/>
  <c r="W483" i="4"/>
  <c r="V483" i="4"/>
  <c r="X483" i="4" s="1"/>
  <c r="V482" i="4"/>
  <c r="W482" i="4"/>
  <c r="AM481" i="4"/>
  <c r="AO481" i="4"/>
  <c r="AN481" i="4"/>
  <c r="W481" i="4"/>
  <c r="V481" i="4"/>
  <c r="X481" i="4" s="1"/>
  <c r="AN480" i="4"/>
  <c r="AM480" i="4"/>
  <c r="AO480" i="4"/>
  <c r="W480" i="4"/>
  <c r="V480" i="4"/>
  <c r="X480" i="4" s="1"/>
  <c r="AM479" i="4"/>
  <c r="AN479" i="4"/>
  <c r="AO479" i="4"/>
  <c r="V479" i="4"/>
  <c r="W479" i="4"/>
  <c r="AN478" i="4"/>
  <c r="AM478" i="4"/>
  <c r="AO478" i="4"/>
  <c r="W478" i="4"/>
  <c r="V478" i="4"/>
  <c r="X478" i="4" s="1"/>
  <c r="AN477" i="4"/>
  <c r="AM477" i="4"/>
  <c r="AO477" i="4"/>
  <c r="V477" i="4"/>
  <c r="W477" i="4"/>
  <c r="AM476" i="4"/>
  <c r="AO476" i="4"/>
  <c r="AN476" i="4"/>
  <c r="W476" i="4"/>
  <c r="V476" i="4"/>
  <c r="X476" i="4" s="1"/>
  <c r="AM475" i="4"/>
  <c r="AO475" i="4"/>
  <c r="AN475" i="4"/>
  <c r="W475" i="4"/>
  <c r="V475" i="4"/>
  <c r="X475" i="4" s="1"/>
  <c r="AM474" i="4"/>
  <c r="AO474" i="4"/>
  <c r="AN474" i="4"/>
  <c r="V474" i="4"/>
  <c r="W474" i="4"/>
  <c r="AM473" i="4"/>
  <c r="AN473" i="4"/>
  <c r="AO473" i="4"/>
  <c r="W473" i="4"/>
  <c r="V473" i="4"/>
  <c r="X473" i="4" s="1"/>
  <c r="AN472" i="4"/>
  <c r="AM472" i="4"/>
  <c r="AO472" i="4"/>
  <c r="V472" i="4"/>
  <c r="W472" i="4"/>
  <c r="AN471" i="4"/>
  <c r="AO471" i="4"/>
  <c r="AM471" i="4"/>
  <c r="W471" i="4"/>
  <c r="V471" i="4"/>
  <c r="X471" i="4" s="1"/>
  <c r="AN470" i="4"/>
  <c r="AO470" i="4"/>
  <c r="AM470" i="4"/>
  <c r="W470" i="4"/>
  <c r="V470" i="4"/>
  <c r="X470" i="4" s="1"/>
  <c r="AM469" i="4"/>
  <c r="AO469" i="4"/>
  <c r="AN469" i="4"/>
  <c r="W469" i="4"/>
  <c r="V469" i="4"/>
  <c r="X469" i="4" s="1"/>
  <c r="AM468" i="4"/>
  <c r="AO468" i="4"/>
  <c r="AN468" i="4"/>
  <c r="W468" i="4"/>
  <c r="V468" i="4"/>
  <c r="X468" i="4" s="1"/>
  <c r="AN467" i="4"/>
  <c r="AM467" i="4"/>
  <c r="AO467" i="4"/>
  <c r="V467" i="4"/>
  <c r="X467" i="4" s="1"/>
  <c r="W467" i="4"/>
  <c r="AN466" i="4"/>
  <c r="AM466" i="4"/>
  <c r="AO466" i="4"/>
  <c r="V466" i="4"/>
  <c r="W466" i="4"/>
  <c r="AM465" i="4"/>
  <c r="AN465" i="4"/>
  <c r="AO465" i="4"/>
  <c r="W465" i="4"/>
  <c r="V465" i="4"/>
  <c r="AN464" i="4"/>
  <c r="AO464" i="4"/>
  <c r="AM464" i="4"/>
  <c r="W464" i="4"/>
  <c r="V464" i="4"/>
  <c r="X464" i="4" s="1"/>
  <c r="AN463" i="4"/>
  <c r="AM463" i="4"/>
  <c r="AO463" i="4"/>
  <c r="W463" i="4"/>
  <c r="V463" i="4"/>
  <c r="X463" i="4" s="1"/>
  <c r="AM462" i="4"/>
  <c r="AN462" i="4"/>
  <c r="AO462" i="4"/>
  <c r="W462" i="4"/>
  <c r="V462" i="4"/>
  <c r="X462" i="4" s="1"/>
  <c r="AM461" i="4"/>
  <c r="AN461" i="4"/>
  <c r="AO461" i="4"/>
  <c r="V461" i="4"/>
  <c r="W461" i="4"/>
  <c r="AM460" i="4"/>
  <c r="AN460" i="4"/>
  <c r="AO460" i="4"/>
  <c r="V460" i="4"/>
  <c r="W460" i="4"/>
  <c r="AM459" i="4"/>
  <c r="AN459" i="4"/>
  <c r="AO459" i="4"/>
  <c r="W459" i="4"/>
  <c r="V459" i="4"/>
  <c r="X459" i="4" s="1"/>
  <c r="AN458" i="4"/>
  <c r="AM458" i="4"/>
  <c r="AO458" i="4"/>
  <c r="V458" i="4"/>
  <c r="W458" i="4"/>
  <c r="AN457" i="4"/>
  <c r="AM457" i="4"/>
  <c r="AO457" i="4"/>
  <c r="V457" i="4"/>
  <c r="W457" i="4"/>
  <c r="AO456" i="4"/>
  <c r="AM456" i="4"/>
  <c r="AN456" i="4"/>
  <c r="W456" i="4"/>
  <c r="V456" i="4"/>
  <c r="X456" i="4" s="1"/>
  <c r="AM455" i="4"/>
  <c r="AN455" i="4"/>
  <c r="AO455" i="4"/>
  <c r="V455" i="4"/>
  <c r="W455" i="4"/>
  <c r="AN454" i="4"/>
  <c r="AO454" i="4"/>
  <c r="AM454" i="4"/>
  <c r="V454" i="4"/>
  <c r="W454" i="4"/>
  <c r="AN453" i="4"/>
  <c r="AM453" i="4"/>
  <c r="AO453" i="4"/>
  <c r="W453" i="4"/>
  <c r="V453" i="4"/>
  <c r="X453" i="4" s="1"/>
  <c r="AN452" i="4"/>
  <c r="AM452" i="4"/>
  <c r="AO452" i="4"/>
  <c r="W452" i="4"/>
  <c r="V452" i="4"/>
  <c r="X452" i="4" s="1"/>
  <c r="AN451" i="4"/>
  <c r="AM451" i="4"/>
  <c r="AO451" i="4"/>
  <c r="V451" i="4"/>
  <c r="W451" i="4"/>
  <c r="AM450" i="4"/>
  <c r="AO450" i="4"/>
  <c r="AN450" i="4"/>
  <c r="V450" i="4"/>
  <c r="W450" i="4"/>
  <c r="AM449" i="4"/>
  <c r="AN449" i="4"/>
  <c r="AO449" i="4"/>
  <c r="W449" i="4"/>
  <c r="V449" i="4"/>
  <c r="X449" i="4" s="1"/>
  <c r="W448" i="4"/>
  <c r="V448" i="4"/>
  <c r="X448" i="4" s="1"/>
  <c r="AN447" i="4"/>
  <c r="AO447" i="4"/>
  <c r="AM447" i="4"/>
  <c r="V447" i="4"/>
  <c r="W447" i="4"/>
  <c r="AN446" i="4"/>
  <c r="AM446" i="4"/>
  <c r="AO446" i="4"/>
  <c r="V446" i="4"/>
  <c r="W446" i="4"/>
  <c r="AN445" i="4"/>
  <c r="AM445" i="4"/>
  <c r="AO445" i="4"/>
  <c r="V445" i="4"/>
  <c r="W445" i="4"/>
  <c r="AM444" i="4"/>
  <c r="AN444" i="4"/>
  <c r="AO444" i="4"/>
  <c r="W444" i="4"/>
  <c r="V444" i="4"/>
  <c r="X444" i="4" s="1"/>
  <c r="AN443" i="4"/>
  <c r="AM443" i="4"/>
  <c r="AO443" i="4"/>
  <c r="W443" i="4"/>
  <c r="V443" i="4"/>
  <c r="X443" i="4" s="1"/>
  <c r="AM442" i="4"/>
  <c r="AO442" i="4"/>
  <c r="AN442" i="4"/>
  <c r="V442" i="4"/>
  <c r="W442" i="4"/>
  <c r="AN441" i="4"/>
  <c r="AM441" i="4"/>
  <c r="AO441" i="4"/>
  <c r="V441" i="4"/>
  <c r="X441" i="4" s="1"/>
  <c r="W441" i="4"/>
  <c r="AN440" i="4"/>
  <c r="AM440" i="4"/>
  <c r="AO440" i="4"/>
  <c r="V440" i="4"/>
  <c r="W440" i="4"/>
  <c r="AM439" i="4"/>
  <c r="AN439" i="4"/>
  <c r="AO439" i="4"/>
  <c r="V439" i="4"/>
  <c r="X439" i="4" s="1"/>
  <c r="W439" i="4"/>
  <c r="AN438" i="4"/>
  <c r="AM438" i="4"/>
  <c r="AO438" i="4"/>
  <c r="V438" i="4"/>
  <c r="W438" i="4"/>
  <c r="AN437" i="4"/>
  <c r="AM437" i="4"/>
  <c r="AO437" i="4"/>
  <c r="W437" i="4"/>
  <c r="V437" i="4"/>
  <c r="X437" i="4" s="1"/>
  <c r="AN436" i="4"/>
  <c r="AO436" i="4"/>
  <c r="AM436" i="4"/>
  <c r="W436" i="4"/>
  <c r="V436" i="4"/>
  <c r="AN435" i="4"/>
  <c r="AM435" i="4"/>
  <c r="AO435" i="4"/>
  <c r="V435" i="4"/>
  <c r="W435" i="4"/>
  <c r="AM434" i="4"/>
  <c r="AO434" i="4"/>
  <c r="AN434" i="4"/>
  <c r="V434" i="4"/>
  <c r="W434" i="4"/>
  <c r="AN433" i="4"/>
  <c r="AM433" i="4"/>
  <c r="AO433" i="4"/>
  <c r="V433" i="4"/>
  <c r="X433" i="4" s="1"/>
  <c r="W433" i="4"/>
  <c r="AN432" i="4"/>
  <c r="AM432" i="4"/>
  <c r="AO432" i="4"/>
  <c r="V432" i="4"/>
  <c r="X432" i="4" s="1"/>
  <c r="W432" i="4"/>
  <c r="AN431" i="4"/>
  <c r="AM431" i="4"/>
  <c r="AO431" i="4"/>
  <c r="W431" i="4"/>
  <c r="V431" i="4"/>
  <c r="X431" i="4" s="1"/>
  <c r="AN430" i="4"/>
  <c r="AO430" i="4"/>
  <c r="AM430" i="4"/>
  <c r="W430" i="4"/>
  <c r="V430" i="4"/>
  <c r="X430" i="4" s="1"/>
  <c r="AN429" i="4"/>
  <c r="AM429" i="4"/>
  <c r="AO429" i="4"/>
  <c r="W429" i="4"/>
  <c r="V429" i="4"/>
  <c r="X429" i="4" s="1"/>
  <c r="AM428" i="4"/>
  <c r="AO428" i="4"/>
  <c r="AN428" i="4"/>
  <c r="W428" i="4"/>
  <c r="V428" i="4"/>
  <c r="X428" i="4" s="1"/>
  <c r="AM427" i="4"/>
  <c r="AN427" i="4"/>
  <c r="AO427" i="4"/>
  <c r="W427" i="4"/>
  <c r="V427" i="4"/>
  <c r="X427" i="4" s="1"/>
  <c r="AM426" i="4"/>
  <c r="AN426" i="4"/>
  <c r="AO426" i="4"/>
  <c r="W426" i="4"/>
  <c r="V426" i="4"/>
  <c r="X426" i="4" s="1"/>
  <c r="AM425" i="4"/>
  <c r="AO425" i="4"/>
  <c r="AN425" i="4"/>
  <c r="V425" i="4"/>
  <c r="X425" i="4" s="1"/>
  <c r="W425" i="4"/>
  <c r="AM424" i="4"/>
  <c r="AO424" i="4"/>
  <c r="AN424" i="4"/>
  <c r="V424" i="4"/>
  <c r="W424" i="4"/>
  <c r="AM423" i="4"/>
  <c r="AN423" i="4"/>
  <c r="AO423" i="4"/>
  <c r="V423" i="4"/>
  <c r="W423" i="4"/>
  <c r="AM422" i="4"/>
  <c r="AO422" i="4"/>
  <c r="AN422" i="4"/>
  <c r="W422" i="4"/>
  <c r="V422" i="4"/>
  <c r="X422" i="4" s="1"/>
  <c r="AM421" i="4"/>
  <c r="AO421" i="4"/>
  <c r="AN421" i="4"/>
  <c r="V421" i="4"/>
  <c r="X421" i="4" s="1"/>
  <c r="W421" i="4"/>
  <c r="AM420" i="4"/>
  <c r="AN420" i="4"/>
  <c r="AO420" i="4"/>
  <c r="V420" i="4"/>
  <c r="W420" i="4"/>
  <c r="AM419" i="4"/>
  <c r="AO419" i="4"/>
  <c r="AN419" i="4"/>
  <c r="V419" i="4"/>
  <c r="W419" i="4"/>
  <c r="AM418" i="4"/>
  <c r="AO418" i="4"/>
  <c r="AN418" i="4"/>
  <c r="V418" i="4"/>
  <c r="W418" i="4"/>
  <c r="AN417" i="4"/>
  <c r="AM417" i="4"/>
  <c r="AO417" i="4"/>
  <c r="V417" i="4"/>
  <c r="W417" i="4"/>
  <c r="AM416" i="4"/>
  <c r="AN416" i="4"/>
  <c r="AO416" i="4"/>
  <c r="V416" i="4"/>
  <c r="X416" i="4" s="1"/>
  <c r="W416" i="4"/>
  <c r="AM415" i="4"/>
  <c r="AO415" i="4"/>
  <c r="AN415" i="4"/>
  <c r="W415" i="4"/>
  <c r="V415" i="4"/>
  <c r="X415" i="4" s="1"/>
  <c r="AN414" i="4"/>
  <c r="AM414" i="4"/>
  <c r="AO414" i="4"/>
  <c r="V414" i="4"/>
  <c r="W414" i="4"/>
  <c r="AM413" i="4"/>
  <c r="AN413" i="4"/>
  <c r="AO413" i="4"/>
  <c r="V413" i="4"/>
  <c r="W413" i="4"/>
  <c r="AM412" i="4"/>
  <c r="AN412" i="4"/>
  <c r="AO412" i="4"/>
  <c r="V412" i="4"/>
  <c r="W412" i="4"/>
  <c r="AM411" i="4"/>
  <c r="AN411" i="4"/>
  <c r="AO411" i="4"/>
  <c r="V411" i="4"/>
  <c r="W411" i="4"/>
  <c r="AM410" i="4"/>
  <c r="AN410" i="4"/>
  <c r="AO410" i="4"/>
  <c r="V410" i="4"/>
  <c r="W410" i="4"/>
  <c r="AM409" i="4"/>
  <c r="AN409" i="4"/>
  <c r="AO409" i="4"/>
  <c r="W409" i="4"/>
  <c r="V409" i="4"/>
  <c r="X409" i="4" s="1"/>
  <c r="AN408" i="4"/>
  <c r="AM408" i="4"/>
  <c r="AO408" i="4"/>
  <c r="W408" i="4"/>
  <c r="V408" i="4"/>
  <c r="X408" i="4" s="1"/>
  <c r="AN407" i="4"/>
  <c r="AM407" i="4"/>
  <c r="AO407" i="4"/>
  <c r="W407" i="4"/>
  <c r="V407" i="4"/>
  <c r="X407" i="4" s="1"/>
  <c r="AM406" i="4"/>
  <c r="AO406" i="4"/>
  <c r="AN406" i="4"/>
  <c r="W406" i="4"/>
  <c r="V406" i="4"/>
  <c r="X406" i="4" s="1"/>
  <c r="AN405" i="4"/>
  <c r="AM405" i="4"/>
  <c r="AO405" i="4"/>
  <c r="V405" i="4"/>
  <c r="W405" i="4"/>
  <c r="AM404" i="4"/>
  <c r="AN404" i="4"/>
  <c r="AO404" i="4"/>
  <c r="W404" i="4"/>
  <c r="V404" i="4"/>
  <c r="X404" i="4" s="1"/>
  <c r="AN403" i="4"/>
  <c r="AM403" i="4"/>
  <c r="AO403" i="4"/>
  <c r="V403" i="4"/>
  <c r="W403" i="4"/>
  <c r="AM402" i="4"/>
  <c r="AN402" i="4"/>
  <c r="AO402" i="4"/>
  <c r="V402" i="4"/>
  <c r="W402" i="4"/>
  <c r="AN401" i="4"/>
  <c r="AM401" i="4"/>
  <c r="AO401" i="4"/>
  <c r="V401" i="4"/>
  <c r="X401" i="4" s="1"/>
  <c r="W401" i="4"/>
  <c r="AM400" i="4"/>
  <c r="AO400" i="4"/>
  <c r="AN400" i="4"/>
  <c r="W400" i="4"/>
  <c r="V400" i="4"/>
  <c r="X400" i="4" s="1"/>
  <c r="V399" i="4"/>
  <c r="W399" i="4"/>
  <c r="AN398" i="4"/>
  <c r="AM398" i="4"/>
  <c r="AO398" i="4"/>
  <c r="V398" i="4"/>
  <c r="W398" i="4"/>
  <c r="AM397" i="4"/>
  <c r="AN397" i="4"/>
  <c r="AO397" i="4"/>
  <c r="W397" i="4"/>
  <c r="V397" i="4"/>
  <c r="X397" i="4" s="1"/>
  <c r="AM396" i="4"/>
  <c r="AO396" i="4"/>
  <c r="AN396" i="4"/>
  <c r="V396" i="4"/>
  <c r="W396" i="4"/>
  <c r="AN395" i="4"/>
  <c r="AO395" i="4"/>
  <c r="AM395" i="4"/>
  <c r="V395" i="4"/>
  <c r="W395" i="4"/>
  <c r="AM394" i="4"/>
  <c r="AN394" i="4"/>
  <c r="AO394" i="4"/>
  <c r="V394" i="4"/>
  <c r="X394" i="4" s="1"/>
  <c r="W394" i="4"/>
  <c r="AM393" i="4"/>
  <c r="AN393" i="4"/>
  <c r="AO393" i="4"/>
  <c r="W393" i="4"/>
  <c r="V393" i="4"/>
  <c r="X393" i="4" s="1"/>
  <c r="V392" i="4"/>
  <c r="W392" i="4"/>
  <c r="AN391" i="4"/>
  <c r="AM391" i="4"/>
  <c r="AO391" i="4"/>
  <c r="W391" i="4"/>
  <c r="V391" i="4"/>
  <c r="X391" i="4" s="1"/>
  <c r="AM390" i="4"/>
  <c r="AO390" i="4"/>
  <c r="AN390" i="4"/>
  <c r="W390" i="4"/>
  <c r="V390" i="4"/>
  <c r="X390" i="4" s="1"/>
  <c r="AM389" i="4"/>
  <c r="AN389" i="4"/>
  <c r="AO389" i="4"/>
  <c r="V389" i="4"/>
  <c r="X389" i="4" s="1"/>
  <c r="W389" i="4"/>
  <c r="AM388" i="4"/>
  <c r="AO388" i="4"/>
  <c r="AN388" i="4"/>
  <c r="W388" i="4"/>
  <c r="V388" i="4"/>
  <c r="X388" i="4" s="1"/>
  <c r="AN387" i="4"/>
  <c r="AM387" i="4"/>
  <c r="AO387" i="4"/>
  <c r="V387" i="4"/>
  <c r="W387" i="4"/>
  <c r="AO386" i="4"/>
  <c r="AM386" i="4"/>
  <c r="AN386" i="4"/>
  <c r="W386" i="4"/>
  <c r="V386" i="4"/>
  <c r="X386" i="4" s="1"/>
  <c r="AM385" i="4"/>
  <c r="AO385" i="4"/>
  <c r="AN385" i="4"/>
  <c r="W385" i="4"/>
  <c r="V385" i="4"/>
  <c r="X385" i="4" s="1"/>
  <c r="AN384" i="4"/>
  <c r="AM384" i="4"/>
  <c r="AO384" i="4"/>
  <c r="V384" i="4"/>
  <c r="W384" i="4"/>
  <c r="AN383" i="4"/>
  <c r="AO383" i="4"/>
  <c r="AM383" i="4"/>
  <c r="V383" i="4"/>
  <c r="W383" i="4"/>
  <c r="AN382" i="4"/>
  <c r="AM382" i="4"/>
  <c r="AO382" i="4"/>
  <c r="W382" i="4"/>
  <c r="V382" i="4"/>
  <c r="X382" i="4" s="1"/>
  <c r="AM381" i="4"/>
  <c r="AO381" i="4"/>
  <c r="AN381" i="4"/>
  <c r="W381" i="4"/>
  <c r="V381" i="4"/>
  <c r="X381" i="4" s="1"/>
  <c r="W380" i="4"/>
  <c r="V380" i="4"/>
  <c r="X380" i="4" s="1"/>
  <c r="AM379" i="4"/>
  <c r="AO379" i="4"/>
  <c r="AN379" i="4"/>
  <c r="V379" i="4"/>
  <c r="X379" i="4" s="1"/>
  <c r="W379" i="4"/>
  <c r="AM378" i="4"/>
  <c r="AN378" i="4"/>
  <c r="AO378" i="4"/>
  <c r="V378" i="4"/>
  <c r="W378" i="4"/>
  <c r="AN377" i="4"/>
  <c r="AO377" i="4"/>
  <c r="AM377" i="4"/>
  <c r="V377" i="4"/>
  <c r="W377" i="4"/>
  <c r="AM376" i="4"/>
  <c r="AN376" i="4"/>
  <c r="AO376" i="4"/>
  <c r="V376" i="4"/>
  <c r="W376" i="4"/>
  <c r="AM375" i="4"/>
  <c r="AN375" i="4"/>
  <c r="AO375" i="4"/>
  <c r="V375" i="4"/>
  <c r="W375" i="4"/>
  <c r="AN374" i="4"/>
  <c r="AM374" i="4"/>
  <c r="AO374" i="4"/>
  <c r="W374" i="4"/>
  <c r="V374" i="4"/>
  <c r="X374" i="4" s="1"/>
  <c r="AM373" i="4"/>
  <c r="AO373" i="4"/>
  <c r="AN373" i="4"/>
  <c r="V373" i="4"/>
  <c r="X373" i="4" s="1"/>
  <c r="W373" i="4"/>
  <c r="AM372" i="4"/>
  <c r="AN372" i="4"/>
  <c r="AO372" i="4"/>
  <c r="V372" i="4"/>
  <c r="W372" i="4"/>
  <c r="AM371" i="4"/>
  <c r="AN371" i="4"/>
  <c r="AO371" i="4"/>
  <c r="W371" i="4"/>
  <c r="V371" i="4"/>
  <c r="X371" i="4" s="1"/>
  <c r="AO370" i="4"/>
  <c r="AM370" i="4"/>
  <c r="AN370" i="4"/>
  <c r="V370" i="4"/>
  <c r="W370" i="4"/>
  <c r="AM369" i="4"/>
  <c r="AN369" i="4"/>
  <c r="AO369" i="4"/>
  <c r="V369" i="4"/>
  <c r="W369" i="4"/>
  <c r="AN368" i="4"/>
  <c r="AO368" i="4"/>
  <c r="AM368" i="4"/>
  <c r="W368" i="4"/>
  <c r="V368" i="4"/>
  <c r="AN367" i="4"/>
  <c r="AO367" i="4"/>
  <c r="AM367" i="4"/>
  <c r="W367" i="4"/>
  <c r="V367" i="4"/>
  <c r="X367" i="4" s="1"/>
  <c r="AM366" i="4"/>
  <c r="AN366" i="4"/>
  <c r="AO366" i="4"/>
  <c r="V366" i="4"/>
  <c r="W366" i="4"/>
  <c r="AM365" i="4"/>
  <c r="AN365" i="4"/>
  <c r="AO365" i="4"/>
  <c r="V365" i="4"/>
  <c r="W365" i="4"/>
  <c r="AM364" i="4"/>
  <c r="AN364" i="4"/>
  <c r="AO364" i="4"/>
  <c r="W364" i="4"/>
  <c r="V364" i="4"/>
  <c r="AN363" i="4"/>
  <c r="AO363" i="4"/>
  <c r="AM363" i="4"/>
  <c r="W363" i="4"/>
  <c r="V363" i="4"/>
  <c r="X363" i="4" s="1"/>
  <c r="AN362" i="4"/>
  <c r="AM362" i="4"/>
  <c r="AO362" i="4"/>
  <c r="W362" i="4"/>
  <c r="V362" i="4"/>
  <c r="X362" i="4" s="1"/>
  <c r="AO361" i="4"/>
  <c r="AM361" i="4"/>
  <c r="AN361" i="4"/>
  <c r="W361" i="4"/>
  <c r="V361" i="4"/>
  <c r="X361" i="4" s="1"/>
  <c r="AN360" i="4"/>
  <c r="AM360" i="4"/>
  <c r="AO360" i="4"/>
  <c r="V360" i="4"/>
  <c r="W360" i="4"/>
  <c r="AM359" i="4"/>
  <c r="AO359" i="4"/>
  <c r="AN359" i="4"/>
  <c r="V359" i="4"/>
  <c r="X359" i="4" s="1"/>
  <c r="W359" i="4"/>
  <c r="AM358" i="4"/>
  <c r="AO358" i="4"/>
  <c r="AN358" i="4"/>
  <c r="W358" i="4"/>
  <c r="V358" i="4"/>
  <c r="X358" i="4" s="1"/>
  <c r="AM357" i="4"/>
  <c r="AN357" i="4"/>
  <c r="AO357" i="4"/>
  <c r="V357" i="4"/>
  <c r="W357" i="4"/>
  <c r="AN356" i="4"/>
  <c r="AM356" i="4"/>
  <c r="AO356" i="4"/>
  <c r="W356" i="4"/>
  <c r="V356" i="4"/>
  <c r="AN355" i="4"/>
  <c r="AM355" i="4"/>
  <c r="AO355" i="4"/>
  <c r="W355" i="4"/>
  <c r="V355" i="4"/>
  <c r="X355" i="4" s="1"/>
  <c r="AM354" i="4"/>
  <c r="AO354" i="4"/>
  <c r="AN354" i="4"/>
  <c r="W354" i="4"/>
  <c r="V354" i="4"/>
  <c r="X354" i="4" s="1"/>
  <c r="AN353" i="4"/>
  <c r="AM353" i="4"/>
  <c r="AO353" i="4"/>
  <c r="W353" i="4"/>
  <c r="V353" i="4"/>
  <c r="X353" i="4" s="1"/>
  <c r="AN352" i="4"/>
  <c r="AO352" i="4"/>
  <c r="AM352" i="4"/>
  <c r="V352" i="4"/>
  <c r="W352" i="4"/>
  <c r="AN351" i="4"/>
  <c r="AM351" i="4"/>
  <c r="AO351" i="4"/>
  <c r="W351" i="4"/>
  <c r="V351" i="4"/>
  <c r="X351" i="4" s="1"/>
  <c r="AM350" i="4"/>
  <c r="AO350" i="4"/>
  <c r="AN350" i="4"/>
  <c r="V350" i="4"/>
  <c r="W350" i="4"/>
  <c r="AM349" i="4"/>
  <c r="AO349" i="4"/>
  <c r="AN349" i="4"/>
  <c r="W349" i="4"/>
  <c r="V349" i="4"/>
  <c r="AM348" i="4"/>
  <c r="AO348" i="4"/>
  <c r="AN348" i="4"/>
  <c r="W348" i="4"/>
  <c r="V348" i="4"/>
  <c r="X348" i="4" s="1"/>
  <c r="AN347" i="4"/>
  <c r="AM347" i="4"/>
  <c r="AO347" i="4"/>
  <c r="V347" i="4"/>
  <c r="W347" i="4"/>
  <c r="AO346" i="4"/>
  <c r="AM346" i="4"/>
  <c r="AN346" i="4"/>
  <c r="W346" i="4"/>
  <c r="V346" i="4"/>
  <c r="X346" i="4" s="1"/>
  <c r="AM345" i="4"/>
  <c r="AN345" i="4"/>
  <c r="AO345" i="4"/>
  <c r="V345" i="4"/>
  <c r="X345" i="4" s="1"/>
  <c r="W345" i="4"/>
  <c r="AM344" i="4"/>
  <c r="AO344" i="4"/>
  <c r="AN344" i="4"/>
  <c r="V344" i="4"/>
  <c r="W344" i="4"/>
  <c r="AM343" i="4"/>
  <c r="AO343" i="4"/>
  <c r="AN343" i="4"/>
  <c r="W343" i="4"/>
  <c r="V343" i="4"/>
  <c r="X343" i="4" s="1"/>
  <c r="AN342" i="4"/>
  <c r="AM342" i="4"/>
  <c r="AO342" i="4"/>
  <c r="W342" i="4"/>
  <c r="V342" i="4"/>
  <c r="X342" i="4" s="1"/>
  <c r="AM341" i="4"/>
  <c r="AN341" i="4"/>
  <c r="AO341" i="4"/>
  <c r="W341" i="4"/>
  <c r="V341" i="4"/>
  <c r="AN340" i="4"/>
  <c r="AM340" i="4"/>
  <c r="AO340" i="4"/>
  <c r="W340" i="4"/>
  <c r="V340" i="4"/>
  <c r="X340" i="4" s="1"/>
  <c r="AM339" i="4"/>
  <c r="AO339" i="4"/>
  <c r="AN339" i="4"/>
  <c r="V339" i="4"/>
  <c r="W339" i="4"/>
  <c r="AN338" i="4"/>
  <c r="AM338" i="4"/>
  <c r="AO338" i="4"/>
  <c r="W338" i="4"/>
  <c r="V338" i="4"/>
  <c r="X338" i="4" s="1"/>
  <c r="AM337" i="4"/>
  <c r="AO337" i="4"/>
  <c r="AN337" i="4"/>
  <c r="V337" i="4"/>
  <c r="W337" i="4"/>
  <c r="AM336" i="4"/>
  <c r="AN336" i="4"/>
  <c r="AO336" i="4"/>
  <c r="V336" i="4"/>
  <c r="W336" i="4"/>
  <c r="AM335" i="4"/>
  <c r="AN335" i="4"/>
  <c r="AO335" i="4"/>
  <c r="W335" i="4"/>
  <c r="V335" i="4"/>
  <c r="X335" i="4" s="1"/>
  <c r="AM334" i="4"/>
  <c r="AO334" i="4"/>
  <c r="AN334" i="4"/>
  <c r="W334" i="4"/>
  <c r="V334" i="4"/>
  <c r="X334" i="4" s="1"/>
  <c r="AN333" i="4"/>
  <c r="AM333" i="4"/>
  <c r="AO333" i="4"/>
  <c r="W333" i="4"/>
  <c r="V333" i="4"/>
  <c r="AN332" i="4"/>
  <c r="AM332" i="4"/>
  <c r="AO332" i="4"/>
  <c r="V332" i="4"/>
  <c r="W332" i="4"/>
  <c r="AN331" i="4"/>
  <c r="AM331" i="4"/>
  <c r="AO331" i="4"/>
  <c r="W331" i="4"/>
  <c r="V331" i="4"/>
  <c r="X331" i="4" s="1"/>
  <c r="AN330" i="4"/>
  <c r="AM330" i="4"/>
  <c r="AO330" i="4"/>
  <c r="V330" i="4"/>
  <c r="W330" i="4"/>
  <c r="AM329" i="4"/>
  <c r="AN329" i="4"/>
  <c r="AO329" i="4"/>
  <c r="V329" i="4"/>
  <c r="X329" i="4" s="1"/>
  <c r="W329" i="4"/>
  <c r="AO328" i="4"/>
  <c r="AM328" i="4"/>
  <c r="AN328" i="4"/>
  <c r="W328" i="4"/>
  <c r="V328" i="4"/>
  <c r="X328" i="4" s="1"/>
  <c r="AM327" i="4"/>
  <c r="AN327" i="4"/>
  <c r="AO327" i="4"/>
  <c r="V327" i="4"/>
  <c r="W327" i="4"/>
  <c r="W326" i="4"/>
  <c r="V326" i="4"/>
  <c r="X326" i="4" s="1"/>
  <c r="AN325" i="4"/>
  <c r="AM325" i="4"/>
  <c r="AO325" i="4"/>
  <c r="V325" i="4"/>
  <c r="W325" i="4"/>
  <c r="AM324" i="4"/>
  <c r="AN324" i="4"/>
  <c r="AO324" i="4"/>
  <c r="W324" i="4"/>
  <c r="V324" i="4"/>
  <c r="X324" i="4" s="1"/>
  <c r="AM323" i="4"/>
  <c r="AO323" i="4"/>
  <c r="AN323" i="4"/>
  <c r="V323" i="4"/>
  <c r="W323" i="4"/>
  <c r="AN322" i="4"/>
  <c r="AM322" i="4"/>
  <c r="AO322" i="4"/>
  <c r="W322" i="4"/>
  <c r="V322" i="4"/>
  <c r="X322" i="4" s="1"/>
  <c r="AN321" i="4"/>
  <c r="AO321" i="4"/>
  <c r="AM321" i="4"/>
  <c r="V321" i="4"/>
  <c r="X321" i="4" s="1"/>
  <c r="W321" i="4"/>
  <c r="V320" i="4"/>
  <c r="W320" i="4"/>
  <c r="AM319" i="4"/>
  <c r="AN319" i="4"/>
  <c r="AO319" i="4"/>
  <c r="V319" i="4"/>
  <c r="W319" i="4"/>
  <c r="AM318" i="4"/>
  <c r="AN318" i="4"/>
  <c r="AO318" i="4"/>
  <c r="V318" i="4"/>
  <c r="W318" i="4"/>
  <c r="AM317" i="4"/>
  <c r="AN317" i="4"/>
  <c r="AO317" i="4"/>
  <c r="V317" i="4"/>
  <c r="W317" i="4"/>
  <c r="AM316" i="4"/>
  <c r="AN316" i="4"/>
  <c r="AO316" i="4"/>
  <c r="V316" i="4"/>
  <c r="X316" i="4" s="1"/>
  <c r="W316" i="4"/>
  <c r="AM315" i="4"/>
  <c r="AN315" i="4"/>
  <c r="AO315" i="4"/>
  <c r="V315" i="4"/>
  <c r="W315" i="4"/>
  <c r="AM314" i="4"/>
  <c r="AN314" i="4"/>
  <c r="AO314" i="4"/>
  <c r="V314" i="4"/>
  <c r="W314" i="4"/>
  <c r="AM313" i="4"/>
  <c r="AN313" i="4"/>
  <c r="AO313" i="4"/>
  <c r="V313" i="4"/>
  <c r="W313" i="4"/>
  <c r="AM312" i="4"/>
  <c r="AN312" i="4"/>
  <c r="AO312" i="4"/>
  <c r="V312" i="4"/>
  <c r="W312" i="4"/>
  <c r="AM311" i="4"/>
  <c r="AN311" i="4"/>
  <c r="AO311" i="4"/>
  <c r="V311" i="4"/>
  <c r="W311" i="4"/>
  <c r="AM310" i="4"/>
  <c r="AN310" i="4"/>
  <c r="AO310" i="4"/>
  <c r="V310" i="4"/>
  <c r="W310" i="4"/>
  <c r="AM309" i="4"/>
  <c r="AN309" i="4"/>
  <c r="AO309" i="4"/>
  <c r="V309" i="4"/>
  <c r="W309" i="4"/>
  <c r="AM308" i="4"/>
  <c r="AN308" i="4"/>
  <c r="AO308" i="4"/>
  <c r="V308" i="4"/>
  <c r="W308" i="4"/>
  <c r="AM307" i="4"/>
  <c r="AN307" i="4"/>
  <c r="AO307" i="4"/>
  <c r="V307" i="4"/>
  <c r="X307" i="4" s="1"/>
  <c r="W307" i="4"/>
  <c r="AM306" i="4"/>
  <c r="AN306" i="4"/>
  <c r="AO306" i="4"/>
  <c r="V306" i="4"/>
  <c r="W306" i="4"/>
  <c r="AM305" i="4"/>
  <c r="AN305" i="4"/>
  <c r="AO305" i="4"/>
  <c r="V305" i="4"/>
  <c r="W305" i="4"/>
  <c r="AM304" i="4"/>
  <c r="AN304" i="4"/>
  <c r="AO304" i="4"/>
  <c r="V304" i="4"/>
  <c r="W304" i="4"/>
  <c r="AM303" i="4"/>
  <c r="AN303" i="4"/>
  <c r="AO303" i="4"/>
  <c r="V303" i="4"/>
  <c r="W303" i="4"/>
  <c r="AM302" i="4"/>
  <c r="AN302" i="4"/>
  <c r="AO302" i="4"/>
  <c r="V302" i="4"/>
  <c r="W302" i="4"/>
  <c r="AM301" i="4"/>
  <c r="AN301" i="4"/>
  <c r="AO301" i="4"/>
  <c r="V301" i="4"/>
  <c r="W301" i="4"/>
  <c r="AM300" i="4"/>
  <c r="AN300" i="4"/>
  <c r="AO300" i="4"/>
  <c r="V300" i="4"/>
  <c r="W300" i="4"/>
  <c r="AM299" i="4"/>
  <c r="AN299" i="4"/>
  <c r="AO299" i="4"/>
  <c r="V299" i="4"/>
  <c r="W299" i="4"/>
  <c r="AM298" i="4"/>
  <c r="AN298" i="4"/>
  <c r="AO298" i="4"/>
  <c r="V298" i="4"/>
  <c r="W298" i="4"/>
  <c r="AM297" i="4"/>
  <c r="AN297" i="4"/>
  <c r="AO297" i="4"/>
  <c r="V297" i="4"/>
  <c r="W297" i="4"/>
  <c r="AO296" i="4"/>
  <c r="AM296" i="4"/>
  <c r="AN296" i="4"/>
  <c r="V296" i="4"/>
  <c r="W296" i="4"/>
  <c r="AN295" i="4"/>
  <c r="AM295" i="4"/>
  <c r="AO295" i="4"/>
  <c r="W295" i="4"/>
  <c r="V295" i="4"/>
  <c r="X295" i="4" s="1"/>
  <c r="AM294" i="4"/>
  <c r="AO294" i="4"/>
  <c r="AN294" i="4"/>
  <c r="W294" i="4"/>
  <c r="V294" i="4"/>
  <c r="X294" i="4" s="1"/>
  <c r="AN293" i="4"/>
  <c r="AO293" i="4"/>
  <c r="AM293" i="4"/>
  <c r="W293" i="4"/>
  <c r="V293" i="4"/>
  <c r="X293" i="4" s="1"/>
  <c r="AM292" i="4"/>
  <c r="AN292" i="4"/>
  <c r="AO292" i="4"/>
  <c r="W292" i="4"/>
  <c r="V292" i="4"/>
  <c r="X292" i="4" s="1"/>
  <c r="AM291" i="4"/>
  <c r="AN291" i="4"/>
  <c r="AO291" i="4"/>
  <c r="W291" i="4"/>
  <c r="V291" i="4"/>
  <c r="X291" i="4" s="1"/>
  <c r="AN290" i="4"/>
  <c r="AO290" i="4"/>
  <c r="AM290" i="4"/>
  <c r="W290" i="4"/>
  <c r="V290" i="4"/>
  <c r="AN289" i="4"/>
  <c r="AO289" i="4"/>
  <c r="AM289" i="4"/>
  <c r="W289" i="4"/>
  <c r="V289" i="4"/>
  <c r="X289" i="4" s="1"/>
  <c r="AM288" i="4"/>
  <c r="AN288" i="4"/>
  <c r="AO288" i="4"/>
  <c r="W288" i="4"/>
  <c r="V288" i="4"/>
  <c r="X288" i="4" s="1"/>
  <c r="AN287" i="4"/>
  <c r="AM287" i="4"/>
  <c r="AO287" i="4"/>
  <c r="W287" i="4"/>
  <c r="V287" i="4"/>
  <c r="X287" i="4" s="1"/>
  <c r="AM286" i="4"/>
  <c r="AN286" i="4"/>
  <c r="AO286" i="4"/>
  <c r="W286" i="4"/>
  <c r="V286" i="4"/>
  <c r="X286" i="4" s="1"/>
  <c r="AN285" i="4"/>
  <c r="AO285" i="4"/>
  <c r="AM285" i="4"/>
  <c r="W285" i="4"/>
  <c r="V285" i="4"/>
  <c r="X285" i="4" s="1"/>
  <c r="AM284" i="4"/>
  <c r="AO284" i="4"/>
  <c r="AN284" i="4"/>
  <c r="W284" i="4"/>
  <c r="V284" i="4"/>
  <c r="X284" i="4" s="1"/>
  <c r="AM283" i="4"/>
  <c r="AO283" i="4"/>
  <c r="AN283" i="4"/>
  <c r="W283" i="4"/>
  <c r="V283" i="4"/>
  <c r="X283" i="4" s="1"/>
  <c r="AN282" i="4"/>
  <c r="AM282" i="4"/>
  <c r="AO282" i="4"/>
  <c r="V282" i="4"/>
  <c r="W282" i="4"/>
  <c r="AO281" i="4"/>
  <c r="AM281" i="4"/>
  <c r="AN281" i="4"/>
  <c r="W281" i="4"/>
  <c r="V281" i="4"/>
  <c r="AN280" i="4"/>
  <c r="AM280" i="4"/>
  <c r="AO280" i="4"/>
  <c r="W280" i="4"/>
  <c r="V280" i="4"/>
  <c r="X280" i="4" s="1"/>
  <c r="AM279" i="4"/>
  <c r="AN279" i="4"/>
  <c r="AO279" i="4"/>
  <c r="W279" i="4"/>
  <c r="V279" i="4"/>
  <c r="AN278" i="4"/>
  <c r="AM278" i="4"/>
  <c r="AO278" i="4"/>
  <c r="V278" i="4"/>
  <c r="W278" i="4"/>
  <c r="AM277" i="4"/>
  <c r="AO277" i="4"/>
  <c r="AN277" i="4"/>
  <c r="V277" i="4"/>
  <c r="W277" i="4"/>
  <c r="AM276" i="4"/>
  <c r="AN276" i="4"/>
  <c r="AO276" i="4"/>
  <c r="W276" i="4"/>
  <c r="V276" i="4"/>
  <c r="X276" i="4" s="1"/>
  <c r="AN275" i="4"/>
  <c r="AM275" i="4"/>
  <c r="AO275" i="4"/>
  <c r="W275" i="4"/>
  <c r="V275" i="4"/>
  <c r="X275" i="4" s="1"/>
  <c r="AM274" i="4"/>
  <c r="AN274" i="4"/>
  <c r="AO274" i="4"/>
  <c r="W274" i="4"/>
  <c r="V274" i="4"/>
  <c r="X274" i="4" s="1"/>
  <c r="AN273" i="4"/>
  <c r="AM273" i="4"/>
  <c r="AO273" i="4"/>
  <c r="V273" i="4"/>
  <c r="W273" i="4"/>
  <c r="AM272" i="4"/>
  <c r="AN272" i="4"/>
  <c r="AO272" i="4"/>
  <c r="W272" i="4"/>
  <c r="V272" i="4"/>
  <c r="X272" i="4" s="1"/>
  <c r="AM271" i="4"/>
  <c r="AO271" i="4"/>
  <c r="AN271" i="4"/>
  <c r="W271" i="4"/>
  <c r="V271" i="4"/>
  <c r="X271" i="4" s="1"/>
  <c r="AN270" i="4"/>
  <c r="AM270" i="4"/>
  <c r="AO270" i="4"/>
  <c r="W270" i="4"/>
  <c r="V270" i="4"/>
  <c r="X270" i="4" s="1"/>
  <c r="AO269" i="4"/>
  <c r="AM269" i="4"/>
  <c r="AN269" i="4"/>
  <c r="V269" i="4"/>
  <c r="W269" i="4"/>
  <c r="AN268" i="4"/>
  <c r="AM268" i="4"/>
  <c r="AO268" i="4"/>
  <c r="W268" i="4"/>
  <c r="V268" i="4"/>
  <c r="X268" i="4" s="1"/>
  <c r="AM267" i="4"/>
  <c r="AO267" i="4"/>
  <c r="AN267" i="4"/>
  <c r="W267" i="4"/>
  <c r="V267" i="4"/>
  <c r="X267" i="4" s="1"/>
  <c r="AN266" i="4"/>
  <c r="AM266" i="4"/>
  <c r="AO266" i="4"/>
  <c r="V266" i="4"/>
  <c r="X266" i="4" s="1"/>
  <c r="W266" i="4"/>
  <c r="AM265" i="4"/>
  <c r="AO265" i="4"/>
  <c r="AN265" i="4"/>
  <c r="W265" i="4"/>
  <c r="V265" i="4"/>
  <c r="X265" i="4" s="1"/>
  <c r="AN264" i="4"/>
  <c r="AO264" i="4"/>
  <c r="AM264" i="4"/>
  <c r="W264" i="4"/>
  <c r="V264" i="4"/>
  <c r="X264" i="4" s="1"/>
  <c r="AM263" i="4"/>
  <c r="AO263" i="4"/>
  <c r="AN263" i="4"/>
  <c r="V263" i="4"/>
  <c r="X263" i="4" s="1"/>
  <c r="W263" i="4"/>
  <c r="AM262" i="4"/>
  <c r="AO262" i="4"/>
  <c r="AN262" i="4"/>
  <c r="W262" i="4"/>
  <c r="V262" i="4"/>
  <c r="X262" i="4" s="1"/>
  <c r="AM261" i="4"/>
  <c r="AO261" i="4"/>
  <c r="AN261" i="4"/>
  <c r="W261" i="4"/>
  <c r="V261" i="4"/>
  <c r="X261" i="4" s="1"/>
  <c r="AM260" i="4"/>
  <c r="AO260" i="4"/>
  <c r="AN260" i="4"/>
  <c r="V260" i="4"/>
  <c r="W260" i="4"/>
  <c r="AO259" i="4"/>
  <c r="AM259" i="4"/>
  <c r="AN259" i="4"/>
  <c r="W259" i="4"/>
  <c r="V259" i="4"/>
  <c r="X259" i="4" s="1"/>
  <c r="AN258" i="4"/>
  <c r="AM258" i="4"/>
  <c r="AO258" i="4"/>
  <c r="V258" i="4"/>
  <c r="W258" i="4"/>
  <c r="AO257" i="4"/>
  <c r="AN257" i="4"/>
  <c r="AM257" i="4"/>
  <c r="W257" i="4"/>
  <c r="V257" i="4"/>
  <c r="X257" i="4" s="1"/>
  <c r="AM256" i="4"/>
  <c r="AO256" i="4"/>
  <c r="AN256" i="4"/>
  <c r="W256" i="4"/>
  <c r="V256" i="4"/>
  <c r="X256" i="4" s="1"/>
  <c r="AN255" i="4"/>
  <c r="AO255" i="4"/>
  <c r="AM255" i="4"/>
  <c r="W255" i="4"/>
  <c r="V255" i="4"/>
  <c r="X255" i="4" s="1"/>
  <c r="AM254" i="4"/>
  <c r="AO254" i="4"/>
  <c r="AN254" i="4"/>
  <c r="W254" i="4"/>
  <c r="V254" i="4"/>
  <c r="X254" i="4" s="1"/>
  <c r="AM253" i="4"/>
  <c r="AO253" i="4"/>
  <c r="AN253" i="4"/>
  <c r="V253" i="4"/>
  <c r="X253" i="4" s="1"/>
  <c r="W253" i="4"/>
  <c r="AM252" i="4"/>
  <c r="AN252" i="4"/>
  <c r="AO252" i="4"/>
  <c r="W252" i="4"/>
  <c r="V252" i="4"/>
  <c r="X252" i="4" s="1"/>
  <c r="AM251" i="4"/>
  <c r="AN251" i="4"/>
  <c r="AO251" i="4"/>
  <c r="W251" i="4"/>
  <c r="V251" i="4"/>
  <c r="X251" i="4" s="1"/>
  <c r="AM250" i="4"/>
  <c r="AO250" i="4"/>
  <c r="AN250" i="4"/>
  <c r="W250" i="4"/>
  <c r="V250" i="4"/>
  <c r="X250" i="4" s="1"/>
  <c r="V249" i="4"/>
  <c r="W249" i="4"/>
  <c r="AN248" i="4"/>
  <c r="AM248" i="4"/>
  <c r="AO248" i="4"/>
  <c r="V248" i="4"/>
  <c r="W248" i="4"/>
  <c r="AO247" i="4"/>
  <c r="AM247" i="4"/>
  <c r="AN247" i="4"/>
  <c r="V247" i="4"/>
  <c r="X247" i="4" s="1"/>
  <c r="W247" i="4"/>
  <c r="AM246" i="4"/>
  <c r="AN246" i="4"/>
  <c r="AO246" i="4"/>
  <c r="V246" i="4"/>
  <c r="W246" i="4"/>
  <c r="AO245" i="4"/>
  <c r="AN245" i="4"/>
  <c r="AM245" i="4"/>
  <c r="V245" i="4"/>
  <c r="W245" i="4"/>
  <c r="AM244" i="4"/>
  <c r="AO244" i="4"/>
  <c r="AN244" i="4"/>
  <c r="V244" i="4"/>
  <c r="X244" i="4" s="1"/>
  <c r="W244" i="4"/>
  <c r="AN243" i="4"/>
  <c r="AM243" i="4"/>
  <c r="AO243" i="4"/>
  <c r="V243" i="4"/>
  <c r="W243" i="4"/>
  <c r="AN242" i="4"/>
  <c r="AM242" i="4"/>
  <c r="AO242" i="4"/>
  <c r="W242" i="4"/>
  <c r="V242" i="4"/>
  <c r="X242" i="4" s="1"/>
  <c r="AM241" i="4"/>
  <c r="AN241" i="4"/>
  <c r="AO241" i="4"/>
  <c r="V241" i="4"/>
  <c r="W241" i="4"/>
  <c r="AM240" i="4"/>
  <c r="AN240" i="4"/>
  <c r="AO240" i="4"/>
  <c r="V240" i="4"/>
  <c r="W240" i="4"/>
  <c r="AO239" i="4"/>
  <c r="AM239" i="4"/>
  <c r="AN239" i="4"/>
  <c r="V239" i="4"/>
  <c r="W239" i="4"/>
  <c r="AM238" i="4"/>
  <c r="AO238" i="4"/>
  <c r="AN238" i="4"/>
  <c r="V238" i="4"/>
  <c r="W238" i="4"/>
  <c r="AN237" i="4"/>
  <c r="AM237" i="4"/>
  <c r="AO237" i="4"/>
  <c r="V237" i="4"/>
  <c r="W237" i="4"/>
  <c r="AO236" i="4"/>
  <c r="AN236" i="4"/>
  <c r="AM236" i="4"/>
  <c r="W236" i="4"/>
  <c r="V236" i="4"/>
  <c r="X236" i="4" s="1"/>
  <c r="AM235" i="4"/>
  <c r="AO235" i="4"/>
  <c r="AN235" i="4"/>
  <c r="W235" i="4"/>
  <c r="V235" i="4"/>
  <c r="X235" i="4" s="1"/>
  <c r="AM234" i="4"/>
  <c r="AO234" i="4"/>
  <c r="AN234" i="4"/>
  <c r="W234" i="4"/>
  <c r="V234" i="4"/>
  <c r="X234" i="4" s="1"/>
  <c r="AO233" i="4"/>
  <c r="AM233" i="4"/>
  <c r="AN233" i="4"/>
  <c r="V233" i="4"/>
  <c r="W233" i="4"/>
  <c r="AN232" i="4"/>
  <c r="AM232" i="4"/>
  <c r="AO232" i="4"/>
  <c r="W232" i="4"/>
  <c r="V232" i="4"/>
  <c r="X232" i="4" s="1"/>
  <c r="AN231" i="4"/>
  <c r="AO231" i="4"/>
  <c r="AM231" i="4"/>
  <c r="W231" i="4"/>
  <c r="V231" i="4"/>
  <c r="X231" i="4" s="1"/>
  <c r="AN230" i="4"/>
  <c r="AM230" i="4"/>
  <c r="AO230" i="4"/>
  <c r="W230" i="4"/>
  <c r="V230" i="4"/>
  <c r="X230" i="4" s="1"/>
  <c r="AN229" i="4"/>
  <c r="AM229" i="4"/>
  <c r="AO229" i="4"/>
  <c r="W229" i="4"/>
  <c r="V229" i="4"/>
  <c r="X229" i="4" s="1"/>
  <c r="AN228" i="4"/>
  <c r="AM228" i="4"/>
  <c r="AO228" i="4"/>
  <c r="V228" i="4"/>
  <c r="W228" i="4"/>
  <c r="AM227" i="4"/>
  <c r="AO227" i="4"/>
  <c r="AN227" i="4"/>
  <c r="V227" i="4"/>
  <c r="W227" i="4"/>
  <c r="AM226" i="4"/>
  <c r="AN226" i="4"/>
  <c r="AO226" i="4"/>
  <c r="V226" i="4"/>
  <c r="W226" i="4"/>
  <c r="AM225" i="4"/>
  <c r="AN225" i="4"/>
  <c r="AO225" i="4"/>
  <c r="V225" i="4"/>
  <c r="W225" i="4"/>
  <c r="AM224" i="4"/>
  <c r="AN224" i="4"/>
  <c r="AO224" i="4"/>
  <c r="V224" i="4"/>
  <c r="W224" i="4"/>
  <c r="AM223" i="4"/>
  <c r="AN223" i="4"/>
  <c r="AO223" i="4"/>
  <c r="V223" i="4"/>
  <c r="W223" i="4"/>
  <c r="AM222" i="4"/>
  <c r="AN222" i="4"/>
  <c r="AO222" i="4"/>
  <c r="V222" i="4"/>
  <c r="W222" i="4"/>
  <c r="AM221" i="4"/>
  <c r="AN221" i="4"/>
  <c r="AO221" i="4"/>
  <c r="V221" i="4"/>
  <c r="W221" i="4"/>
  <c r="AM220" i="4"/>
  <c r="AN220" i="4"/>
  <c r="AO220" i="4"/>
  <c r="V220" i="4"/>
  <c r="W220" i="4"/>
  <c r="AM219" i="4"/>
  <c r="AN219" i="4"/>
  <c r="AO219" i="4"/>
  <c r="V219" i="4"/>
  <c r="W219" i="4"/>
  <c r="AM218" i="4"/>
  <c r="AN218" i="4"/>
  <c r="AO218" i="4"/>
  <c r="V218" i="4"/>
  <c r="W218" i="4"/>
  <c r="AM217" i="4"/>
  <c r="AN217" i="4"/>
  <c r="AO217" i="4"/>
  <c r="V217" i="4"/>
  <c r="W217" i="4"/>
  <c r="AM216" i="4"/>
  <c r="AN216" i="4"/>
  <c r="AO216" i="4"/>
  <c r="V216" i="4"/>
  <c r="W216" i="4"/>
  <c r="AM215" i="4"/>
  <c r="AN215" i="4"/>
  <c r="AO215" i="4"/>
  <c r="V215" i="4"/>
  <c r="W215" i="4"/>
  <c r="AM214" i="4"/>
  <c r="AN214" i="4"/>
  <c r="AO214" i="4"/>
  <c r="V214" i="4"/>
  <c r="W214" i="4"/>
  <c r="AM213" i="4"/>
  <c r="AN213" i="4"/>
  <c r="AO213" i="4"/>
  <c r="V213" i="4"/>
  <c r="W213" i="4"/>
  <c r="AO212" i="4"/>
  <c r="AM212" i="4"/>
  <c r="AN212" i="4"/>
  <c r="V212" i="4"/>
  <c r="W212" i="4"/>
  <c r="AN211" i="4"/>
  <c r="AM211" i="4"/>
  <c r="AO211" i="4"/>
  <c r="V211" i="4"/>
  <c r="W211" i="4"/>
  <c r="AN210" i="4"/>
  <c r="AM210" i="4"/>
  <c r="AO210" i="4"/>
  <c r="V210" i="4"/>
  <c r="W210" i="4"/>
  <c r="AM209" i="4"/>
  <c r="AO209" i="4"/>
  <c r="AN209" i="4"/>
  <c r="W209" i="4"/>
  <c r="V209" i="4"/>
  <c r="X209" i="4" s="1"/>
  <c r="AM208" i="4"/>
  <c r="AO208" i="4"/>
  <c r="AN208" i="4"/>
  <c r="V208" i="4"/>
  <c r="W208" i="4"/>
  <c r="V207" i="4"/>
  <c r="W207" i="4"/>
  <c r="AN206" i="4"/>
  <c r="AO206" i="4"/>
  <c r="AM206" i="4"/>
  <c r="V206" i="4"/>
  <c r="W206" i="4"/>
  <c r="AN205" i="4"/>
  <c r="AM205" i="4"/>
  <c r="AO205" i="4"/>
  <c r="V205" i="4"/>
  <c r="W205" i="4"/>
  <c r="AM204" i="4"/>
  <c r="AN204" i="4"/>
  <c r="AO204" i="4"/>
  <c r="W204" i="4"/>
  <c r="V204" i="4"/>
  <c r="X204" i="4" s="1"/>
  <c r="AM203" i="4"/>
  <c r="AO203" i="4"/>
  <c r="AN203" i="4"/>
  <c r="W203" i="4"/>
  <c r="V203" i="4"/>
  <c r="X203" i="4" s="1"/>
  <c r="AM202" i="4"/>
  <c r="AO202" i="4"/>
  <c r="AN202" i="4"/>
  <c r="V202" i="4"/>
  <c r="X202" i="4" s="1"/>
  <c r="W202" i="4"/>
  <c r="AN201" i="4"/>
  <c r="AM201" i="4"/>
  <c r="AO201" i="4"/>
  <c r="W201" i="4"/>
  <c r="V201" i="4"/>
  <c r="X201" i="4" s="1"/>
  <c r="AO200" i="4"/>
  <c r="AM200" i="4"/>
  <c r="AN200" i="4"/>
  <c r="V200" i="4"/>
  <c r="W200" i="4"/>
  <c r="AO199" i="4"/>
  <c r="AM199" i="4"/>
  <c r="AN199" i="4"/>
  <c r="V199" i="4"/>
  <c r="W199" i="4"/>
  <c r="AM198" i="4"/>
  <c r="AO198" i="4"/>
  <c r="AN198" i="4"/>
  <c r="W198" i="4"/>
  <c r="V198" i="4"/>
  <c r="X198" i="4" s="1"/>
  <c r="AN197" i="4"/>
  <c r="AO197" i="4"/>
  <c r="AM197" i="4"/>
  <c r="V197" i="4"/>
  <c r="W197" i="4"/>
  <c r="AM196" i="4"/>
  <c r="AO196" i="4"/>
  <c r="AN196" i="4"/>
  <c r="W196" i="4"/>
  <c r="V196" i="4"/>
  <c r="X196" i="4" s="1"/>
  <c r="AN195" i="4"/>
  <c r="AM195" i="4"/>
  <c r="AO195" i="4"/>
  <c r="W195" i="4"/>
  <c r="V195" i="4"/>
  <c r="X195" i="4" s="1"/>
  <c r="AO194" i="4"/>
  <c r="AN194" i="4"/>
  <c r="AM194" i="4"/>
  <c r="V194" i="4"/>
  <c r="W194" i="4"/>
  <c r="AM193" i="4"/>
  <c r="AO193" i="4"/>
  <c r="AN193" i="4"/>
  <c r="W193" i="4"/>
  <c r="V193" i="4"/>
  <c r="AO192" i="4"/>
  <c r="AM192" i="4"/>
  <c r="AN192" i="4"/>
  <c r="W192" i="4"/>
  <c r="V192" i="4"/>
  <c r="X192" i="4" s="1"/>
  <c r="AM191" i="4"/>
  <c r="AO191" i="4"/>
  <c r="AN191" i="4"/>
  <c r="V191" i="4"/>
  <c r="W191" i="4"/>
  <c r="AN190" i="4"/>
  <c r="AM190" i="4"/>
  <c r="AO190" i="4"/>
  <c r="V190" i="4"/>
  <c r="W190" i="4"/>
  <c r="AM189" i="4"/>
  <c r="AO189" i="4"/>
  <c r="AN189" i="4"/>
  <c r="W189" i="4"/>
  <c r="V189" i="4"/>
  <c r="X189" i="4" s="1"/>
  <c r="AM188" i="4"/>
  <c r="AO188" i="4"/>
  <c r="AN188" i="4"/>
  <c r="W188" i="4"/>
  <c r="V188" i="4"/>
  <c r="X188" i="4" s="1"/>
  <c r="AN187" i="4"/>
  <c r="AM187" i="4"/>
  <c r="AO187" i="4"/>
  <c r="V187" i="4"/>
  <c r="X187" i="4" s="1"/>
  <c r="W187" i="4"/>
  <c r="AN186" i="4"/>
  <c r="AM186" i="4"/>
  <c r="AO186" i="4"/>
  <c r="W186" i="4"/>
  <c r="V186" i="4"/>
  <c r="X186" i="4" s="1"/>
  <c r="AN185" i="4"/>
  <c r="AO185" i="4"/>
  <c r="AM185" i="4"/>
  <c r="W185" i="4"/>
  <c r="V185" i="4"/>
  <c r="X185" i="4" s="1"/>
  <c r="AO184" i="4"/>
  <c r="AM184" i="4"/>
  <c r="AN184" i="4"/>
  <c r="V184" i="4"/>
  <c r="X184" i="4" s="1"/>
  <c r="W184" i="4"/>
  <c r="AM183" i="4"/>
  <c r="AO183" i="4"/>
  <c r="AN183" i="4"/>
  <c r="V183" i="4"/>
  <c r="W183" i="4"/>
  <c r="AN182" i="4"/>
  <c r="AM182" i="4"/>
  <c r="AO182" i="4"/>
  <c r="V182" i="4"/>
  <c r="X182" i="4" s="1"/>
  <c r="W182" i="4"/>
  <c r="AO181" i="4"/>
  <c r="AM181" i="4"/>
  <c r="AN181" i="4"/>
  <c r="W181" i="4"/>
  <c r="V181" i="4"/>
  <c r="X181" i="4" s="1"/>
  <c r="AN180" i="4"/>
  <c r="AM180" i="4"/>
  <c r="AO180" i="4"/>
  <c r="V180" i="4"/>
  <c r="X180" i="4" s="1"/>
  <c r="W180" i="4"/>
  <c r="AM179" i="4"/>
  <c r="AO179" i="4"/>
  <c r="AN179" i="4"/>
  <c r="W179" i="4"/>
  <c r="V179" i="4"/>
  <c r="X179" i="4" s="1"/>
  <c r="AO178" i="4"/>
  <c r="AN178" i="4"/>
  <c r="AM178" i="4"/>
  <c r="V178" i="4"/>
  <c r="W178" i="4"/>
  <c r="AN177" i="4"/>
  <c r="AM177" i="4"/>
  <c r="AO177" i="4"/>
  <c r="V177" i="4"/>
  <c r="W177" i="4"/>
  <c r="AN176" i="4"/>
  <c r="AO176" i="4"/>
  <c r="AM176" i="4"/>
  <c r="V176" i="4"/>
  <c r="X176" i="4" s="1"/>
  <c r="W176" i="4"/>
  <c r="AN175" i="4"/>
  <c r="AM175" i="4"/>
  <c r="AO175" i="4"/>
  <c r="V175" i="4"/>
  <c r="W175" i="4"/>
  <c r="AO174" i="4"/>
  <c r="AM174" i="4"/>
  <c r="AN174" i="4"/>
  <c r="V174" i="4"/>
  <c r="W174" i="4"/>
  <c r="AO173" i="4"/>
  <c r="AM173" i="4"/>
  <c r="AN173" i="4"/>
  <c r="V173" i="4"/>
  <c r="W173" i="4"/>
  <c r="AM172" i="4"/>
  <c r="AN172" i="4"/>
  <c r="AO172" i="4"/>
  <c r="W172" i="4"/>
  <c r="V172" i="4"/>
  <c r="X172" i="4" s="1"/>
  <c r="AM171" i="4"/>
  <c r="AO171" i="4"/>
  <c r="AN171" i="4"/>
  <c r="V171" i="4"/>
  <c r="X171" i="4" s="1"/>
  <c r="W171" i="4"/>
  <c r="AM170" i="4"/>
  <c r="AO170" i="4"/>
  <c r="AN170" i="4"/>
  <c r="W170" i="4"/>
  <c r="V170" i="4"/>
  <c r="X170" i="4" s="1"/>
  <c r="AN169" i="4"/>
  <c r="AO169" i="4"/>
  <c r="AM169" i="4"/>
  <c r="V169" i="4"/>
  <c r="W169" i="4"/>
  <c r="AO168" i="4"/>
  <c r="AM168" i="4"/>
  <c r="AN168" i="4"/>
  <c r="V168" i="4"/>
  <c r="W168" i="4"/>
  <c r="AO167" i="4"/>
  <c r="AM167" i="4"/>
  <c r="AN167" i="4"/>
  <c r="W167" i="4"/>
  <c r="V167" i="4"/>
  <c r="X167" i="4" s="1"/>
  <c r="AM166" i="4"/>
  <c r="AO166" i="4"/>
  <c r="AN166" i="4"/>
  <c r="W166" i="4"/>
  <c r="V166" i="4"/>
  <c r="X166" i="4" s="1"/>
  <c r="AN165" i="4"/>
  <c r="AO165" i="4"/>
  <c r="AM165" i="4"/>
  <c r="V165" i="4"/>
  <c r="X165" i="4" s="1"/>
  <c r="W165" i="4"/>
  <c r="AM164" i="4"/>
  <c r="AO164" i="4"/>
  <c r="AN164" i="4"/>
  <c r="W164" i="4"/>
  <c r="V164" i="4"/>
  <c r="X164" i="4" s="1"/>
  <c r="AM163" i="4"/>
  <c r="AN163" i="4"/>
  <c r="AO163" i="4"/>
  <c r="W163" i="4"/>
  <c r="V163" i="4"/>
  <c r="X163" i="4" s="1"/>
  <c r="AN162" i="4"/>
  <c r="AO162" i="4"/>
  <c r="AM162" i="4"/>
  <c r="W162" i="4"/>
  <c r="V162" i="4"/>
  <c r="X162" i="4" s="1"/>
  <c r="AM161" i="4"/>
  <c r="AO161" i="4"/>
  <c r="AN161" i="4"/>
  <c r="V161" i="4"/>
  <c r="W161" i="4"/>
  <c r="AN160" i="4"/>
  <c r="AO160" i="4"/>
  <c r="AM160" i="4"/>
  <c r="V160" i="4"/>
  <c r="X160" i="4" s="1"/>
  <c r="W160" i="4"/>
  <c r="AM159" i="4"/>
  <c r="AN159" i="4"/>
  <c r="AO159" i="4"/>
  <c r="W159" i="4"/>
  <c r="V159" i="4"/>
  <c r="X159" i="4" s="1"/>
  <c r="AN158" i="4"/>
  <c r="AM158" i="4"/>
  <c r="AO158" i="4"/>
  <c r="W158" i="4"/>
  <c r="V158" i="4"/>
  <c r="X158" i="4" s="1"/>
  <c r="AO157" i="4"/>
  <c r="AM157" i="4"/>
  <c r="AN157" i="4"/>
  <c r="V157" i="4"/>
  <c r="W157" i="4"/>
  <c r="AO156" i="4"/>
  <c r="AM156" i="4"/>
  <c r="AN156" i="4"/>
  <c r="W156" i="4"/>
  <c r="V156" i="4"/>
  <c r="X156" i="4" s="1"/>
  <c r="AM155" i="4"/>
  <c r="AN155" i="4"/>
  <c r="AO155" i="4"/>
  <c r="V155" i="4"/>
  <c r="W155" i="4"/>
  <c r="AO154" i="4"/>
  <c r="AN154" i="4"/>
  <c r="AM154" i="4"/>
  <c r="V154" i="4"/>
  <c r="W154" i="4"/>
  <c r="AN153" i="4"/>
  <c r="AO153" i="4"/>
  <c r="AM153" i="4"/>
  <c r="W153" i="4"/>
  <c r="V153" i="4"/>
  <c r="X153" i="4" s="1"/>
  <c r="AM152" i="4"/>
  <c r="AN152" i="4"/>
  <c r="AO152" i="4"/>
  <c r="W152" i="4"/>
  <c r="V152" i="4"/>
  <c r="X152" i="4" s="1"/>
  <c r="AM151" i="4"/>
  <c r="AO151" i="4"/>
  <c r="AN151" i="4"/>
  <c r="W151" i="4"/>
  <c r="V151" i="4"/>
  <c r="AN150" i="4"/>
  <c r="AO150" i="4"/>
  <c r="AM150" i="4"/>
  <c r="V150" i="4"/>
  <c r="X150" i="4" s="1"/>
  <c r="W150" i="4"/>
  <c r="AO149" i="4"/>
  <c r="AM149" i="4"/>
  <c r="AN149" i="4"/>
  <c r="W149" i="4"/>
  <c r="V149" i="4"/>
  <c r="X149" i="4" s="1"/>
  <c r="AM148" i="4"/>
  <c r="AN148" i="4"/>
  <c r="AO148" i="4"/>
  <c r="W148" i="4"/>
  <c r="V148" i="4"/>
  <c r="X148" i="4" s="1"/>
  <c r="AN147" i="4"/>
  <c r="AO147" i="4"/>
  <c r="AM147" i="4"/>
  <c r="W147" i="4"/>
  <c r="V147" i="4"/>
  <c r="X147" i="4" s="1"/>
  <c r="AO146" i="4"/>
  <c r="AM146" i="4"/>
  <c r="AN146" i="4"/>
  <c r="W146" i="4"/>
  <c r="V146" i="4"/>
  <c r="X146" i="4" s="1"/>
  <c r="AN145" i="4"/>
  <c r="AM145" i="4"/>
  <c r="AO145" i="4"/>
  <c r="V145" i="4"/>
  <c r="W145" i="4"/>
  <c r="AN144" i="4"/>
  <c r="AO144" i="4"/>
  <c r="AM144" i="4"/>
  <c r="W144" i="4"/>
  <c r="V144" i="4"/>
  <c r="X144" i="4" s="1"/>
  <c r="AN143" i="4"/>
  <c r="AO143" i="4"/>
  <c r="AM143" i="4"/>
  <c r="V143" i="4"/>
  <c r="W143" i="4"/>
  <c r="AM142" i="4"/>
  <c r="AN142" i="4"/>
  <c r="AO142" i="4"/>
  <c r="V142" i="4"/>
  <c r="W142" i="4"/>
  <c r="AN141" i="4"/>
  <c r="AM141" i="4"/>
  <c r="AO141" i="4"/>
  <c r="W141" i="4"/>
  <c r="V141" i="4"/>
  <c r="X141" i="4" s="1"/>
  <c r="AM140" i="4"/>
  <c r="AO140" i="4"/>
  <c r="AN140" i="4"/>
  <c r="W140" i="4"/>
  <c r="V140" i="4"/>
  <c r="X140" i="4" s="1"/>
  <c r="AO139" i="4"/>
  <c r="AM139" i="4"/>
  <c r="AN139" i="4"/>
  <c r="W139" i="4"/>
  <c r="V139" i="4"/>
  <c r="X139" i="4" s="1"/>
  <c r="AM138" i="4"/>
  <c r="AO138" i="4"/>
  <c r="AN138" i="4"/>
  <c r="W138" i="4"/>
  <c r="V138" i="4"/>
  <c r="X138" i="4" s="1"/>
  <c r="AN137" i="4"/>
  <c r="AM137" i="4"/>
  <c r="AO137" i="4"/>
  <c r="V137" i="4"/>
  <c r="X137" i="4" s="1"/>
  <c r="W137" i="4"/>
  <c r="AN136" i="4"/>
  <c r="AO136" i="4"/>
  <c r="AM136" i="4"/>
  <c r="W136" i="4"/>
  <c r="V136" i="4"/>
  <c r="AM135" i="4"/>
  <c r="AO135" i="4"/>
  <c r="AN135" i="4"/>
  <c r="V135" i="4"/>
  <c r="W135" i="4"/>
  <c r="AM134" i="4"/>
  <c r="AN134" i="4"/>
  <c r="AO134" i="4"/>
  <c r="V134" i="4"/>
  <c r="X134" i="4" s="1"/>
  <c r="W134" i="4"/>
  <c r="AM133" i="4"/>
  <c r="AN133" i="4"/>
  <c r="AO133" i="4"/>
  <c r="V133" i="4"/>
  <c r="W133" i="4"/>
  <c r="AM132" i="4"/>
  <c r="AN132" i="4"/>
  <c r="AO132" i="4"/>
  <c r="V132" i="4"/>
  <c r="W132" i="4"/>
  <c r="AM131" i="4"/>
  <c r="AN131" i="4"/>
  <c r="AO131" i="4"/>
  <c r="V131" i="4"/>
  <c r="W131" i="4"/>
  <c r="AM130" i="4"/>
  <c r="AN130" i="4"/>
  <c r="AO130" i="4"/>
  <c r="V130" i="4"/>
  <c r="X130" i="4" s="1"/>
  <c r="W130" i="4"/>
  <c r="AM129" i="4"/>
  <c r="AN129" i="4"/>
  <c r="AO129" i="4"/>
  <c r="V129" i="4"/>
  <c r="W129" i="4"/>
  <c r="AM128" i="4"/>
  <c r="AN128" i="4"/>
  <c r="AO128" i="4"/>
  <c r="V128" i="4"/>
  <c r="W128" i="4"/>
  <c r="AM127" i="4"/>
  <c r="AN127" i="4"/>
  <c r="AO127" i="4"/>
  <c r="V127" i="4"/>
  <c r="W127" i="4"/>
  <c r="AM126" i="4"/>
  <c r="AN126" i="4"/>
  <c r="AO126" i="4"/>
  <c r="V126" i="4"/>
  <c r="X126" i="4" s="1"/>
  <c r="W126" i="4"/>
  <c r="AM125" i="4"/>
  <c r="AN125" i="4"/>
  <c r="AO125" i="4"/>
  <c r="V125" i="4"/>
  <c r="W125" i="4"/>
  <c r="AM124" i="4"/>
  <c r="AN124" i="4"/>
  <c r="AO124" i="4"/>
  <c r="V124" i="4"/>
  <c r="X124" i="4" s="1"/>
  <c r="W124" i="4"/>
  <c r="AM123" i="4"/>
  <c r="AN123" i="4"/>
  <c r="AO123" i="4"/>
  <c r="V123" i="4"/>
  <c r="W123" i="4"/>
  <c r="AM122" i="4"/>
  <c r="AN122" i="4"/>
  <c r="AO122" i="4"/>
  <c r="V122" i="4"/>
  <c r="X122" i="4" s="1"/>
  <c r="W122" i="4"/>
  <c r="AM121" i="4"/>
  <c r="AN121" i="4"/>
  <c r="AO121" i="4"/>
  <c r="V121" i="4"/>
  <c r="W121" i="4"/>
  <c r="AM120" i="4"/>
  <c r="AN120" i="4"/>
  <c r="AO120" i="4"/>
  <c r="V120" i="4"/>
  <c r="X120" i="4" s="1"/>
  <c r="W120" i="4"/>
  <c r="AM119" i="4"/>
  <c r="AN119" i="4"/>
  <c r="AO119" i="4"/>
  <c r="V119" i="4"/>
  <c r="W119" i="4"/>
  <c r="AM118" i="4"/>
  <c r="AN118" i="4"/>
  <c r="AO118" i="4"/>
  <c r="V118" i="4"/>
  <c r="W118" i="4"/>
  <c r="AM117" i="4"/>
  <c r="AN117" i="4"/>
  <c r="AO117" i="4"/>
  <c r="V117" i="4"/>
  <c r="W117" i="4"/>
  <c r="AM116" i="4"/>
  <c r="AN116" i="4"/>
  <c r="AO116" i="4"/>
  <c r="V116" i="4"/>
  <c r="W116" i="4"/>
  <c r="AM115" i="4"/>
  <c r="AN115" i="4"/>
  <c r="AO115" i="4"/>
  <c r="V115" i="4"/>
  <c r="X115" i="4" s="1"/>
  <c r="W115" i="4"/>
  <c r="AM114" i="4"/>
  <c r="AN114" i="4"/>
  <c r="AO114" i="4"/>
  <c r="V114" i="4"/>
  <c r="W114" i="4"/>
  <c r="AM113" i="4"/>
  <c r="AN113" i="4"/>
  <c r="AO113" i="4"/>
  <c r="V113" i="4"/>
  <c r="X113" i="4" s="1"/>
  <c r="W113" i="4"/>
  <c r="AM112" i="4"/>
  <c r="AN112" i="4"/>
  <c r="AO112" i="4"/>
  <c r="V112" i="4"/>
  <c r="W112" i="4"/>
  <c r="AM111" i="4"/>
  <c r="AN111" i="4"/>
  <c r="AO111" i="4"/>
  <c r="V111" i="4"/>
  <c r="X111" i="4" s="1"/>
  <c r="W111" i="4"/>
  <c r="AM110" i="4"/>
  <c r="AN110" i="4"/>
  <c r="AO110" i="4"/>
  <c r="V110" i="4"/>
  <c r="W110" i="4"/>
  <c r="AM109" i="4"/>
  <c r="AN109" i="4"/>
  <c r="AO109" i="4"/>
  <c r="V109" i="4"/>
  <c r="X109" i="4" s="1"/>
  <c r="W109" i="4"/>
  <c r="AM108" i="4"/>
  <c r="AN108" i="4"/>
  <c r="AO108" i="4"/>
  <c r="V108" i="4"/>
  <c r="X108" i="4" s="1"/>
  <c r="W108" i="4"/>
  <c r="AM107" i="4"/>
  <c r="AN107" i="4"/>
  <c r="AO107" i="4"/>
  <c r="V107" i="4"/>
  <c r="W107" i="4"/>
  <c r="AM106" i="4"/>
  <c r="AN106" i="4"/>
  <c r="AO106" i="4"/>
  <c r="V106" i="4"/>
  <c r="X106" i="4" s="1"/>
  <c r="W106" i="4"/>
  <c r="AM105" i="4"/>
  <c r="AN105" i="4"/>
  <c r="AO105" i="4"/>
  <c r="V105" i="4"/>
  <c r="X105" i="4" s="1"/>
  <c r="W105" i="4"/>
  <c r="AM104" i="4"/>
  <c r="AN104" i="4"/>
  <c r="AO104" i="4"/>
  <c r="V104" i="4"/>
  <c r="X104" i="4" s="1"/>
  <c r="W104" i="4"/>
  <c r="AM103" i="4"/>
  <c r="AN103" i="4"/>
  <c r="AO103" i="4"/>
  <c r="V103" i="4"/>
  <c r="W103" i="4"/>
  <c r="AM102" i="4"/>
  <c r="AN102" i="4"/>
  <c r="AO102" i="4"/>
  <c r="V102" i="4"/>
  <c r="X102" i="4" s="1"/>
  <c r="W102" i="4"/>
  <c r="AM101" i="4"/>
  <c r="AN101" i="4"/>
  <c r="AO101" i="4"/>
  <c r="V101" i="4"/>
  <c r="X101" i="4" s="1"/>
  <c r="W101" i="4"/>
  <c r="AM100" i="4"/>
  <c r="AN100" i="4"/>
  <c r="AO100" i="4"/>
  <c r="V100" i="4"/>
  <c r="W100" i="4"/>
  <c r="AM99" i="4"/>
  <c r="AN99" i="4"/>
  <c r="AO99" i="4"/>
  <c r="V99" i="4"/>
  <c r="X99" i="4" s="1"/>
  <c r="W99" i="4"/>
  <c r="AM98" i="4"/>
  <c r="AN98" i="4"/>
  <c r="AO98" i="4"/>
  <c r="V98" i="4"/>
  <c r="X98" i="4" s="1"/>
  <c r="W98" i="4"/>
  <c r="AM97" i="4"/>
  <c r="AN97" i="4"/>
  <c r="AO97" i="4"/>
  <c r="V97" i="4"/>
  <c r="X97" i="4" s="1"/>
  <c r="W97" i="4"/>
  <c r="AM96" i="4"/>
  <c r="AN96" i="4"/>
  <c r="AO96" i="4"/>
  <c r="V96" i="4"/>
  <c r="W96" i="4"/>
  <c r="AM95" i="4"/>
  <c r="AN95" i="4"/>
  <c r="AO95" i="4"/>
  <c r="V95" i="4"/>
  <c r="X95" i="4" s="1"/>
  <c r="W95" i="4"/>
  <c r="AM94" i="4"/>
  <c r="AN94" i="4"/>
  <c r="AO94" i="4"/>
  <c r="V94" i="4"/>
  <c r="W94" i="4"/>
  <c r="AM93" i="4"/>
  <c r="AN93" i="4"/>
  <c r="AO93" i="4"/>
  <c r="V93" i="4"/>
  <c r="X93" i="4" s="1"/>
  <c r="W93" i="4"/>
  <c r="AM92" i="4"/>
  <c r="AN92" i="4"/>
  <c r="AO92" i="4"/>
  <c r="V92" i="4"/>
  <c r="W92" i="4"/>
  <c r="AM91" i="4"/>
  <c r="AN91" i="4"/>
  <c r="AO91" i="4"/>
  <c r="V91" i="4"/>
  <c r="W91" i="4"/>
  <c r="AM90" i="4"/>
  <c r="AN90" i="4"/>
  <c r="AO90" i="4"/>
  <c r="V90" i="4"/>
  <c r="W90" i="4"/>
  <c r="AM89" i="4"/>
  <c r="AN89" i="4"/>
  <c r="AO89" i="4"/>
  <c r="V89" i="4"/>
  <c r="W89" i="4"/>
  <c r="AM88" i="4"/>
  <c r="AN88" i="4"/>
  <c r="AO88" i="4"/>
  <c r="V88" i="4"/>
  <c r="W88" i="4"/>
  <c r="AM87" i="4"/>
  <c r="AN87" i="4"/>
  <c r="AO87" i="4"/>
  <c r="V87" i="4"/>
  <c r="W87" i="4"/>
  <c r="AM86" i="4"/>
  <c r="AN86" i="4"/>
  <c r="AO86" i="4"/>
  <c r="V86" i="4"/>
  <c r="W86" i="4"/>
  <c r="AM85" i="4"/>
  <c r="AN85" i="4"/>
  <c r="AO85" i="4"/>
  <c r="V85" i="4"/>
  <c r="W85" i="4"/>
  <c r="AM84" i="4"/>
  <c r="AN84" i="4"/>
  <c r="AO84" i="4"/>
  <c r="V84" i="4"/>
  <c r="W84" i="4"/>
  <c r="AM83" i="4"/>
  <c r="AN83" i="4"/>
  <c r="AO83" i="4"/>
  <c r="V83" i="4"/>
  <c r="W83" i="4"/>
  <c r="AM82" i="4"/>
  <c r="AN82" i="4"/>
  <c r="AO82" i="4"/>
  <c r="V82" i="4"/>
  <c r="W82" i="4"/>
  <c r="AM81" i="4"/>
  <c r="AN81" i="4"/>
  <c r="AO81" i="4"/>
  <c r="V81" i="4"/>
  <c r="X81" i="4" s="1"/>
  <c r="W81" i="4"/>
  <c r="AM80" i="4"/>
  <c r="AN80" i="4"/>
  <c r="AO80" i="4"/>
  <c r="V80" i="4"/>
  <c r="X80" i="4" s="1"/>
  <c r="W80" i="4"/>
  <c r="AM79" i="4"/>
  <c r="AN79" i="4"/>
  <c r="AO79" i="4"/>
  <c r="V79" i="4"/>
  <c r="X79" i="4" s="1"/>
  <c r="W79" i="4"/>
  <c r="AM78" i="4"/>
  <c r="AN78" i="4"/>
  <c r="AO78" i="4"/>
  <c r="V78" i="4"/>
  <c r="X78" i="4" s="1"/>
  <c r="W78" i="4"/>
  <c r="AM77" i="4"/>
  <c r="AN77" i="4"/>
  <c r="AO77" i="4"/>
  <c r="V77" i="4"/>
  <c r="X77" i="4" s="1"/>
  <c r="W77" i="4"/>
  <c r="AM76" i="4"/>
  <c r="AN76" i="4"/>
  <c r="AO76" i="4"/>
  <c r="V76" i="4"/>
  <c r="W76" i="4"/>
  <c r="AM75" i="4"/>
  <c r="AN75" i="4"/>
  <c r="AO75" i="4"/>
  <c r="V75" i="4"/>
  <c r="W75" i="4"/>
  <c r="AM74" i="4"/>
  <c r="AN74" i="4"/>
  <c r="AO74" i="4"/>
  <c r="V74" i="4"/>
  <c r="X74" i="4" s="1"/>
  <c r="W74" i="4"/>
  <c r="AM73" i="4"/>
  <c r="AN73" i="4"/>
  <c r="AO73" i="4"/>
  <c r="V73" i="4"/>
  <c r="X73" i="4" s="1"/>
  <c r="W73" i="4"/>
  <c r="AM72" i="4"/>
  <c r="AN72" i="4"/>
  <c r="AO72" i="4"/>
  <c r="V72" i="4"/>
  <c r="W72" i="4"/>
  <c r="AM71" i="4"/>
  <c r="AN71" i="4"/>
  <c r="AO71" i="4"/>
  <c r="V71" i="4"/>
  <c r="X71" i="4" s="1"/>
  <c r="W71" i="4"/>
  <c r="AM70" i="4"/>
  <c r="AN70" i="4"/>
  <c r="AO70" i="4"/>
  <c r="V70" i="4"/>
  <c r="X70" i="4" s="1"/>
  <c r="W70" i="4"/>
  <c r="AM69" i="4"/>
  <c r="AN69" i="4"/>
  <c r="AO69" i="4"/>
  <c r="V69" i="4"/>
  <c r="X69" i="4" s="1"/>
  <c r="W69" i="4"/>
  <c r="AM68" i="4"/>
  <c r="AN68" i="4"/>
  <c r="AO68" i="4"/>
  <c r="V68" i="4"/>
  <c r="W68" i="4"/>
  <c r="AM67" i="4"/>
  <c r="AN67" i="4"/>
  <c r="AO67" i="4"/>
  <c r="V67" i="4"/>
  <c r="W67" i="4"/>
  <c r="AM66" i="4"/>
  <c r="AN66" i="4"/>
  <c r="AO66" i="4"/>
  <c r="V66" i="4"/>
  <c r="X66" i="4" s="1"/>
  <c r="W66" i="4"/>
  <c r="AM65" i="4"/>
  <c r="AN65" i="4"/>
  <c r="AO65" i="4"/>
  <c r="V65" i="4"/>
  <c r="W65" i="4"/>
  <c r="AM64" i="4"/>
  <c r="AN64" i="4"/>
  <c r="AO64" i="4"/>
  <c r="V64" i="4"/>
  <c r="W64" i="4"/>
  <c r="AM63" i="4"/>
  <c r="AN63" i="4"/>
  <c r="AO63" i="4"/>
  <c r="V63" i="4"/>
  <c r="X63" i="4" s="1"/>
  <c r="W63" i="4"/>
  <c r="AM62" i="4"/>
  <c r="AN62" i="4"/>
  <c r="AO62" i="4"/>
  <c r="V62" i="4"/>
  <c r="X62" i="4" s="1"/>
  <c r="W62" i="4"/>
  <c r="AM61" i="4"/>
  <c r="AN61" i="4"/>
  <c r="AO61" i="4"/>
  <c r="V61" i="4"/>
  <c r="W61" i="4"/>
  <c r="AM60" i="4"/>
  <c r="AN60" i="4"/>
  <c r="AO60" i="4"/>
  <c r="V60" i="4"/>
  <c r="W60" i="4"/>
  <c r="AM59" i="4"/>
  <c r="AN59" i="4"/>
  <c r="AO59" i="4"/>
  <c r="V59" i="4"/>
  <c r="X59" i="4" s="1"/>
  <c r="W59" i="4"/>
  <c r="AM58" i="4"/>
  <c r="AN58" i="4"/>
  <c r="AO58" i="4"/>
  <c r="V58" i="4"/>
  <c r="X58" i="4" s="1"/>
  <c r="W58" i="4"/>
  <c r="AM57" i="4"/>
  <c r="AN57" i="4"/>
  <c r="AO57" i="4"/>
  <c r="V57" i="4"/>
  <c r="X57" i="4" s="1"/>
  <c r="W57" i="4"/>
  <c r="AM56" i="4"/>
  <c r="AN56" i="4"/>
  <c r="AO56" i="4"/>
  <c r="V56" i="4"/>
  <c r="X56" i="4" s="1"/>
  <c r="W56" i="4"/>
  <c r="AM55" i="4"/>
  <c r="AN55" i="4"/>
  <c r="AO55" i="4"/>
  <c r="V55" i="4"/>
  <c r="W55" i="4"/>
  <c r="AM54" i="4"/>
  <c r="AN54" i="4"/>
  <c r="AO54" i="4"/>
  <c r="V54" i="4"/>
  <c r="W54" i="4"/>
  <c r="AM53" i="4"/>
  <c r="AN53" i="4"/>
  <c r="AO53" i="4"/>
  <c r="V53" i="4"/>
  <c r="X53" i="4" s="1"/>
  <c r="W53" i="4"/>
  <c r="AM52" i="4"/>
  <c r="AN52" i="4"/>
  <c r="AO52" i="4"/>
  <c r="V52" i="4"/>
  <c r="X52" i="4" s="1"/>
  <c r="W52" i="4"/>
  <c r="AM51" i="4"/>
  <c r="AN51" i="4"/>
  <c r="AO51" i="4"/>
  <c r="V51" i="4"/>
  <c r="W51" i="4"/>
  <c r="AM50" i="4"/>
  <c r="AN50" i="4"/>
  <c r="AO50" i="4"/>
  <c r="V50" i="4"/>
  <c r="W50" i="4"/>
  <c r="AM49" i="4"/>
  <c r="AN49" i="4"/>
  <c r="AO49" i="4"/>
  <c r="V49" i="4"/>
  <c r="W49" i="4"/>
  <c r="AM48" i="4"/>
  <c r="AN48" i="4"/>
  <c r="AO48" i="4"/>
  <c r="V48" i="4"/>
  <c r="X48" i="4" s="1"/>
  <c r="W48" i="4"/>
  <c r="AM47" i="4"/>
  <c r="AN47" i="4"/>
  <c r="AO47" i="4"/>
  <c r="V47" i="4"/>
  <c r="X47" i="4" s="1"/>
  <c r="W47" i="4"/>
  <c r="AM46" i="4"/>
  <c r="AN46" i="4"/>
  <c r="AO46" i="4"/>
  <c r="V46" i="4"/>
  <c r="X46" i="4" s="1"/>
  <c r="W46" i="4"/>
  <c r="AM45" i="4"/>
  <c r="AN45" i="4"/>
  <c r="AO45" i="4"/>
  <c r="V45" i="4"/>
  <c r="X45" i="4" s="1"/>
  <c r="W45" i="4"/>
  <c r="AM44" i="4"/>
  <c r="AN44" i="4"/>
  <c r="AO44" i="4"/>
  <c r="V44" i="4"/>
  <c r="W44" i="4"/>
  <c r="AM43" i="4"/>
  <c r="AN43" i="4"/>
  <c r="AO43" i="4"/>
  <c r="V43" i="4"/>
  <c r="W43" i="4"/>
  <c r="AM42" i="4"/>
  <c r="AN42" i="4"/>
  <c r="AO42" i="4"/>
  <c r="V42" i="4"/>
  <c r="X42" i="4" s="1"/>
  <c r="W42" i="4"/>
  <c r="AM41" i="4"/>
  <c r="AN41" i="4"/>
  <c r="AO41" i="4"/>
  <c r="V41" i="4"/>
  <c r="W41" i="4"/>
  <c r="AM40" i="4"/>
  <c r="AN40" i="4"/>
  <c r="AO40" i="4"/>
  <c r="V40" i="4"/>
  <c r="X40" i="4" s="1"/>
  <c r="W40" i="4"/>
  <c r="AM39" i="4"/>
  <c r="AN39" i="4"/>
  <c r="AO39" i="4"/>
  <c r="V39" i="4"/>
  <c r="W39" i="4"/>
  <c r="AM38" i="4"/>
  <c r="AN38" i="4"/>
  <c r="AO38" i="4"/>
  <c r="V38" i="4"/>
  <c r="X38" i="4" s="1"/>
  <c r="W38" i="4"/>
  <c r="AM37" i="4"/>
  <c r="AN37" i="4"/>
  <c r="AO37" i="4"/>
  <c r="V37" i="4"/>
  <c r="X37" i="4" s="1"/>
  <c r="W37" i="4"/>
  <c r="AM36" i="4"/>
  <c r="AN36" i="4"/>
  <c r="AO36" i="4"/>
  <c r="V36" i="4"/>
  <c r="X36" i="4" s="1"/>
  <c r="W36" i="4"/>
  <c r="AM35" i="4"/>
  <c r="AN35" i="4"/>
  <c r="AO35" i="4"/>
  <c r="V35" i="4"/>
  <c r="W35" i="4"/>
  <c r="AM34" i="4"/>
  <c r="AN34" i="4"/>
  <c r="AO34" i="4"/>
  <c r="V34" i="4"/>
  <c r="W34" i="4"/>
  <c r="AM33" i="4"/>
  <c r="AN33" i="4"/>
  <c r="AO33" i="4"/>
  <c r="V33" i="4"/>
  <c r="W33" i="4"/>
  <c r="AM32" i="4"/>
  <c r="AN32" i="4"/>
  <c r="AO32" i="4"/>
  <c r="V32" i="4"/>
  <c r="X32" i="4" s="1"/>
  <c r="W32" i="4"/>
  <c r="AM31" i="4"/>
  <c r="J13" i="5" s="1"/>
  <c r="AN31" i="4"/>
  <c r="K13" i="5" s="1"/>
  <c r="AO31" i="4"/>
  <c r="L13" i="5" s="1"/>
  <c r="V31" i="4"/>
  <c r="Y31" i="4"/>
  <c r="W31" i="4"/>
  <c r="Z31" i="4"/>
  <c r="AM30" i="4"/>
  <c r="J10" i="5" s="1"/>
  <c r="AN30" i="4"/>
  <c r="K10" i="5" s="1"/>
  <c r="AO30" i="4"/>
  <c r="L10" i="5" s="1"/>
  <c r="V30" i="4"/>
  <c r="Y30" i="4"/>
  <c r="W30" i="4"/>
  <c r="Z30" i="4"/>
  <c r="AM29" i="4"/>
  <c r="J25" i="5" s="1"/>
  <c r="AN29" i="4"/>
  <c r="K25" i="5" s="1"/>
  <c r="AO29" i="4"/>
  <c r="L25" i="5" s="1"/>
  <c r="V29" i="4"/>
  <c r="Y29" i="4"/>
  <c r="W29" i="4"/>
  <c r="Z29" i="4"/>
  <c r="AM28" i="4"/>
  <c r="J8" i="5" s="1"/>
  <c r="AN28" i="4"/>
  <c r="K8" i="5" s="1"/>
  <c r="AO28" i="4"/>
  <c r="L8" i="5" s="1"/>
  <c r="V28" i="4"/>
  <c r="Y28" i="4"/>
  <c r="W28" i="4"/>
  <c r="Z28" i="4"/>
  <c r="AM27" i="4"/>
  <c r="J31" i="5" s="1"/>
  <c r="AN27" i="4"/>
  <c r="K31" i="5" s="1"/>
  <c r="AO27" i="4"/>
  <c r="L31" i="5" s="1"/>
  <c r="V27" i="4"/>
  <c r="Y27" i="4"/>
  <c r="W27" i="4"/>
  <c r="Z27" i="4"/>
  <c r="AM26" i="4"/>
  <c r="J30" i="5" s="1"/>
  <c r="AN26" i="4"/>
  <c r="K30" i="5" s="1"/>
  <c r="AO26" i="4"/>
  <c r="L30" i="5" s="1"/>
  <c r="V26" i="4"/>
  <c r="Y26" i="4"/>
  <c r="W26" i="4"/>
  <c r="Z26" i="4"/>
  <c r="AM25" i="4"/>
  <c r="J24" i="5" s="1"/>
  <c r="AN25" i="4"/>
  <c r="K24" i="5" s="1"/>
  <c r="AO25" i="4"/>
  <c r="L24" i="5" s="1"/>
  <c r="V25" i="4"/>
  <c r="Y25" i="4"/>
  <c r="W25" i="4"/>
  <c r="Z25" i="4"/>
  <c r="AM24" i="4"/>
  <c r="J32" i="5" s="1"/>
  <c r="AN24" i="4"/>
  <c r="K32" i="5" s="1"/>
  <c r="AO24" i="4"/>
  <c r="L32" i="5" s="1"/>
  <c r="V24" i="4"/>
  <c r="Y24" i="4"/>
  <c r="W24" i="4"/>
  <c r="Z24" i="4"/>
  <c r="AM23" i="4"/>
  <c r="J23" i="5" s="1"/>
  <c r="AN23" i="4"/>
  <c r="K23" i="5" s="1"/>
  <c r="AO23" i="4"/>
  <c r="L23" i="5" s="1"/>
  <c r="V23" i="4"/>
  <c r="Y23" i="4"/>
  <c r="W23" i="4"/>
  <c r="Z23" i="4"/>
  <c r="AM22" i="4"/>
  <c r="J21" i="5" s="1"/>
  <c r="AN22" i="4"/>
  <c r="K21" i="5" s="1"/>
  <c r="AO22" i="4"/>
  <c r="L21" i="5" s="1"/>
  <c r="V22" i="4"/>
  <c r="Y22" i="4"/>
  <c r="W22" i="4"/>
  <c r="Z22" i="4"/>
  <c r="AM21" i="4"/>
  <c r="J34" i="5" s="1"/>
  <c r="AN21" i="4"/>
  <c r="K34" i="5" s="1"/>
  <c r="AO21" i="4"/>
  <c r="L34" i="5" s="1"/>
  <c r="V21" i="4"/>
  <c r="Y21" i="4"/>
  <c r="W21" i="4"/>
  <c r="Z21" i="4"/>
  <c r="AM20" i="4"/>
  <c r="J16" i="5" s="1"/>
  <c r="AN20" i="4"/>
  <c r="K16" i="5" s="1"/>
  <c r="AO20" i="4"/>
  <c r="L16" i="5" s="1"/>
  <c r="V20" i="4"/>
  <c r="Y20" i="4"/>
  <c r="W20" i="4"/>
  <c r="Z20" i="4"/>
  <c r="AM19" i="4"/>
  <c r="J26" i="5" s="1"/>
  <c r="AN19" i="4"/>
  <c r="K26" i="5" s="1"/>
  <c r="AO19" i="4"/>
  <c r="L26" i="5" s="1"/>
  <c r="V19" i="4"/>
  <c r="Y19" i="4"/>
  <c r="W19" i="4"/>
  <c r="Z19" i="4"/>
  <c r="AM18" i="4"/>
  <c r="J14" i="5" s="1"/>
  <c r="AN18" i="4"/>
  <c r="K14" i="5" s="1"/>
  <c r="AO18" i="4"/>
  <c r="L14" i="5" s="1"/>
  <c r="V18" i="4"/>
  <c r="Y18" i="4"/>
  <c r="W18" i="4"/>
  <c r="Z18" i="4"/>
  <c r="AM17" i="4"/>
  <c r="J27" i="5" s="1"/>
  <c r="AN17" i="4"/>
  <c r="K27" i="5" s="1"/>
  <c r="AO17" i="4"/>
  <c r="L27" i="5" s="1"/>
  <c r="V17" i="4"/>
  <c r="Y17" i="4"/>
  <c r="W17" i="4"/>
  <c r="Z17" i="4"/>
  <c r="AM16" i="4"/>
  <c r="J7" i="5" s="1"/>
  <c r="AN16" i="4"/>
  <c r="K7" i="5" s="1"/>
  <c r="AO16" i="4"/>
  <c r="L7" i="5" s="1"/>
  <c r="V16" i="4"/>
  <c r="Y16" i="4"/>
  <c r="W16" i="4"/>
  <c r="Z16" i="4"/>
  <c r="AM15" i="4"/>
  <c r="J36" i="5" s="1"/>
  <c r="AN15" i="4"/>
  <c r="K36" i="5" s="1"/>
  <c r="AO15" i="4"/>
  <c r="L36" i="5" s="1"/>
  <c r="V15" i="4"/>
  <c r="Y15" i="4"/>
  <c r="W15" i="4"/>
  <c r="Z15" i="4"/>
  <c r="AM14" i="4"/>
  <c r="J28" i="5" s="1"/>
  <c r="AN14" i="4"/>
  <c r="K28" i="5" s="1"/>
  <c r="AO14" i="4"/>
  <c r="L28" i="5" s="1"/>
  <c r="V14" i="4"/>
  <c r="Y14" i="4"/>
  <c r="W14" i="4"/>
  <c r="Z14" i="4"/>
  <c r="AM13" i="4"/>
  <c r="J35" i="5" s="1"/>
  <c r="AN13" i="4"/>
  <c r="K35" i="5" s="1"/>
  <c r="AO13" i="4"/>
  <c r="L35" i="5" s="1"/>
  <c r="V13" i="4"/>
  <c r="Y13" i="4"/>
  <c r="W13" i="4"/>
  <c r="Z13" i="4"/>
  <c r="AM12" i="4"/>
  <c r="J20" i="5" s="1"/>
  <c r="AN12" i="4"/>
  <c r="K20" i="5" s="1"/>
  <c r="AO12" i="4"/>
  <c r="L20" i="5" s="1"/>
  <c r="V12" i="4"/>
  <c r="Y12" i="4"/>
  <c r="W12" i="4"/>
  <c r="Z12" i="4"/>
  <c r="AM11" i="4"/>
  <c r="J29" i="5" s="1"/>
  <c r="AN11" i="4"/>
  <c r="K29" i="5" s="1"/>
  <c r="AO11" i="4"/>
  <c r="L29" i="5" s="1"/>
  <c r="V11" i="4"/>
  <c r="Y11" i="4"/>
  <c r="W11" i="4"/>
  <c r="Z11" i="4"/>
  <c r="AM10" i="4"/>
  <c r="J19" i="5" s="1"/>
  <c r="AN10" i="4"/>
  <c r="K19" i="5" s="1"/>
  <c r="AO10" i="4"/>
  <c r="L19" i="5" s="1"/>
  <c r="V10" i="4"/>
  <c r="Y10" i="4"/>
  <c r="W10" i="4"/>
  <c r="Z10" i="4"/>
  <c r="AM9" i="4"/>
  <c r="J15" i="5" s="1"/>
  <c r="AN9" i="4"/>
  <c r="K15" i="5" s="1"/>
  <c r="AO9" i="4"/>
  <c r="L15" i="5" s="1"/>
  <c r="V9" i="4"/>
  <c r="Y9" i="4"/>
  <c r="W9" i="4"/>
  <c r="Z9" i="4"/>
  <c r="AM8" i="4"/>
  <c r="J22" i="5" s="1"/>
  <c r="AN8" i="4"/>
  <c r="K22" i="5" s="1"/>
  <c r="AO8" i="4"/>
  <c r="L22" i="5" s="1"/>
  <c r="V8" i="4"/>
  <c r="Y8" i="4"/>
  <c r="W8" i="4"/>
  <c r="Z8" i="4"/>
  <c r="AM7" i="4"/>
  <c r="J5" i="5" s="1"/>
  <c r="AN7" i="4"/>
  <c r="K5" i="5" s="1"/>
  <c r="AO7" i="4"/>
  <c r="L5" i="5" s="1"/>
  <c r="V7" i="4"/>
  <c r="Y7" i="4"/>
  <c r="W7" i="4"/>
  <c r="Z7" i="4"/>
  <c r="AM6" i="4"/>
  <c r="J18" i="5" s="1"/>
  <c r="AN6" i="4"/>
  <c r="K18" i="5" s="1"/>
  <c r="AO6" i="4"/>
  <c r="L18" i="5" s="1"/>
  <c r="V6" i="4"/>
  <c r="Y6" i="4"/>
  <c r="W6" i="4"/>
  <c r="Z6" i="4"/>
  <c r="AM5" i="4"/>
  <c r="J11" i="5" s="1"/>
  <c r="AN5" i="4"/>
  <c r="K11" i="5" s="1"/>
  <c r="AO5" i="4"/>
  <c r="L11" i="5" s="1"/>
  <c r="V5" i="4"/>
  <c r="Y5" i="4"/>
  <c r="W5" i="4"/>
  <c r="Z5" i="4"/>
  <c r="AM4" i="4"/>
  <c r="J33" i="5" s="1"/>
  <c r="AN4" i="4"/>
  <c r="K33" i="5" s="1"/>
  <c r="AO4" i="4"/>
  <c r="L33" i="5" s="1"/>
  <c r="V4" i="4"/>
  <c r="Y4" i="4"/>
  <c r="W4" i="4"/>
  <c r="Z4" i="4"/>
  <c r="AM3" i="4"/>
  <c r="J6" i="5" s="1"/>
  <c r="AN3" i="4"/>
  <c r="K6" i="5" s="1"/>
  <c r="AO3" i="4"/>
  <c r="L6" i="5" s="1"/>
  <c r="V3" i="4"/>
  <c r="Y3" i="4"/>
  <c r="W3" i="4"/>
  <c r="Z3" i="4"/>
  <c r="AM2" i="4"/>
  <c r="J9" i="5" s="1"/>
  <c r="AN2" i="4"/>
  <c r="K9" i="5" s="1"/>
  <c r="AO2" i="4"/>
  <c r="L9" i="5" s="1"/>
  <c r="V2" i="4"/>
  <c r="Y2" i="4"/>
  <c r="W2" i="4"/>
  <c r="Z2" i="4"/>
  <c r="AJ373" i="4"/>
  <c r="AJ372" i="4"/>
  <c r="AJ371" i="4"/>
  <c r="AJ370" i="4"/>
  <c r="AJ369" i="4"/>
  <c r="AJ368" i="4"/>
  <c r="AJ367" i="4"/>
  <c r="AJ366" i="4"/>
  <c r="AJ365" i="4"/>
  <c r="AJ364" i="4"/>
  <c r="AJ363" i="4"/>
  <c r="AJ362" i="4"/>
  <c r="AJ361" i="4"/>
  <c r="AJ360" i="4"/>
  <c r="AJ359" i="4"/>
  <c r="AJ358" i="4"/>
  <c r="AJ357" i="4"/>
  <c r="AJ356" i="4"/>
  <c r="AJ355" i="4"/>
  <c r="AJ354" i="4"/>
  <c r="AJ353" i="4"/>
  <c r="AJ352" i="4"/>
  <c r="AJ351" i="4"/>
  <c r="AJ350" i="4"/>
  <c r="AJ349" i="4"/>
  <c r="AJ348" i="4"/>
  <c r="AJ347" i="4"/>
  <c r="AJ346" i="4"/>
  <c r="AJ345" i="4"/>
  <c r="AJ344" i="4"/>
  <c r="AJ343" i="4"/>
  <c r="AJ342" i="4"/>
  <c r="AJ341" i="4"/>
  <c r="AJ340" i="4"/>
  <c r="AJ339" i="4"/>
  <c r="AJ338" i="4"/>
  <c r="AJ241" i="4"/>
  <c r="AJ240" i="4"/>
  <c r="AJ239" i="4"/>
  <c r="AJ238" i="4"/>
  <c r="AJ237" i="4"/>
  <c r="AJ236" i="4"/>
  <c r="AJ235" i="4"/>
  <c r="AJ234" i="4"/>
  <c r="AJ233" i="4"/>
  <c r="AJ232" i="4"/>
  <c r="AJ231" i="4"/>
  <c r="AJ230" i="4"/>
  <c r="AJ229" i="4"/>
  <c r="AJ228" i="4"/>
  <c r="AJ227" i="4"/>
  <c r="AJ226" i="4"/>
  <c r="AJ225" i="4"/>
  <c r="AJ224" i="4"/>
  <c r="AJ223" i="4"/>
  <c r="AJ222" i="4"/>
  <c r="AJ221" i="4"/>
  <c r="AJ220" i="4"/>
  <c r="AJ219" i="4"/>
  <c r="AJ218" i="4"/>
  <c r="AJ217" i="4"/>
  <c r="AJ216" i="4"/>
  <c r="AJ215" i="4"/>
  <c r="AJ214" i="4"/>
  <c r="AJ213" i="4"/>
  <c r="AJ212" i="4"/>
  <c r="AJ211" i="4"/>
  <c r="AJ210" i="4"/>
  <c r="AJ209" i="4"/>
  <c r="AJ208" i="4"/>
  <c r="AJ207" i="4"/>
  <c r="AJ206" i="4"/>
  <c r="AJ205" i="4"/>
  <c r="AJ204" i="4"/>
  <c r="AJ203" i="4"/>
  <c r="AJ202" i="4"/>
  <c r="AJ201" i="4"/>
  <c r="AJ200" i="4"/>
  <c r="AJ199" i="4"/>
  <c r="AJ198" i="4"/>
  <c r="AJ197" i="4"/>
  <c r="AJ196" i="4"/>
  <c r="AJ195" i="4"/>
  <c r="AJ194" i="4"/>
  <c r="AJ193" i="4"/>
  <c r="AJ192" i="4"/>
  <c r="AJ191" i="4"/>
  <c r="AJ190" i="4"/>
  <c r="AJ189" i="4"/>
  <c r="AJ188" i="4"/>
  <c r="AJ187" i="4"/>
  <c r="AJ109" i="4"/>
  <c r="AJ108" i="4"/>
  <c r="AJ107" i="4"/>
  <c r="AJ106" i="4"/>
  <c r="AJ105" i="4"/>
  <c r="AJ104" i="4"/>
  <c r="AJ103" i="4"/>
  <c r="AJ102" i="4"/>
  <c r="AJ101" i="4"/>
  <c r="AJ100" i="4"/>
  <c r="AJ99" i="4"/>
  <c r="AJ98" i="4"/>
  <c r="AJ97" i="4"/>
  <c r="AJ96" i="4"/>
  <c r="AJ95" i="4"/>
  <c r="AJ94" i="4"/>
  <c r="AJ93" i="4"/>
  <c r="AJ92" i="4"/>
  <c r="AJ91" i="4"/>
  <c r="AJ90" i="4"/>
  <c r="AJ89" i="4"/>
  <c r="AJ88" i="4"/>
  <c r="AJ87" i="4"/>
  <c r="AJ86" i="4"/>
  <c r="AJ85" i="4"/>
  <c r="AJ84" i="4"/>
  <c r="AJ83" i="4"/>
  <c r="AJ82" i="4"/>
  <c r="AJ81" i="4"/>
  <c r="AJ80" i="4"/>
  <c r="AJ79" i="4"/>
  <c r="AJ78" i="4"/>
  <c r="AJ77" i="4"/>
  <c r="AJ76" i="4"/>
  <c r="AJ75" i="4"/>
  <c r="AJ74" i="4"/>
  <c r="AJ73" i="4"/>
  <c r="AJ72" i="4"/>
  <c r="AJ71" i="4"/>
  <c r="AJ70" i="4"/>
  <c r="AJ69" i="4"/>
  <c r="AJ68" i="4"/>
  <c r="AJ67" i="4"/>
  <c r="AJ66" i="4"/>
  <c r="AJ65" i="4"/>
  <c r="AJ64" i="4"/>
  <c r="AJ63" i="4"/>
  <c r="AJ62" i="4"/>
  <c r="AJ61" i="4"/>
  <c r="AJ60" i="4"/>
  <c r="AJ59" i="4"/>
  <c r="AJ58" i="4"/>
  <c r="AJ57" i="4"/>
  <c r="AJ56" i="4"/>
  <c r="AJ55" i="4"/>
  <c r="AJ54" i="4"/>
  <c r="AJ53" i="4"/>
  <c r="AJ52" i="4"/>
  <c r="AJ51" i="4"/>
  <c r="AJ50" i="4"/>
  <c r="AJ49" i="4"/>
  <c r="AJ48" i="4"/>
  <c r="AJ47" i="4"/>
  <c r="AJ46" i="4"/>
  <c r="AJ45" i="4"/>
  <c r="AJ44" i="4"/>
  <c r="AJ43" i="4"/>
  <c r="AJ42" i="4"/>
  <c r="AJ41" i="4"/>
  <c r="AJ40" i="4"/>
  <c r="AJ421" i="4"/>
  <c r="AJ420" i="4"/>
  <c r="AJ401" i="4"/>
  <c r="AJ400" i="4"/>
  <c r="AJ395" i="4"/>
  <c r="AJ394" i="4"/>
  <c r="AJ392" i="4"/>
  <c r="AJ385" i="4"/>
  <c r="AJ320" i="4"/>
  <c r="AH31" i="4" l="1"/>
  <c r="AH30" i="4"/>
  <c r="AH29" i="4"/>
  <c r="AH28" i="4"/>
  <c r="AH27" i="4"/>
  <c r="AH26" i="4"/>
  <c r="AH25" i="4"/>
  <c r="AH24" i="4"/>
  <c r="AH23" i="4"/>
  <c r="AH22" i="4"/>
  <c r="AH21" i="4"/>
  <c r="AH20" i="4"/>
  <c r="AH19" i="4"/>
  <c r="AH18" i="4"/>
  <c r="AH17" i="4"/>
  <c r="AH16" i="4"/>
  <c r="AH15" i="4"/>
  <c r="AH14" i="4"/>
  <c r="AH13" i="4"/>
  <c r="AH12" i="4"/>
  <c r="AH11" i="4"/>
  <c r="AH10" i="4"/>
  <c r="AH9" i="4"/>
  <c r="AH8" i="4"/>
  <c r="AH7" i="4"/>
  <c r="AH6" i="4"/>
  <c r="AH5" i="4"/>
  <c r="AH4" i="4"/>
  <c r="AH3" i="4"/>
  <c r="AH2" i="4"/>
  <c r="X500" i="4"/>
  <c r="X489" i="4"/>
  <c r="X482" i="4"/>
  <c r="X474" i="4"/>
  <c r="X472" i="4"/>
  <c r="X446" i="4"/>
  <c r="X420" i="4"/>
  <c r="X403" i="4"/>
  <c r="X378" i="4"/>
  <c r="X352" i="4"/>
  <c r="X337" i="4"/>
  <c r="X323" i="4"/>
  <c r="X302" i="4"/>
  <c r="X249" i="4"/>
  <c r="X223" i="4"/>
  <c r="X217" i="4"/>
  <c r="X212" i="4"/>
  <c r="X207" i="4"/>
  <c r="X200" i="4"/>
  <c r="X174" i="4"/>
  <c r="X143" i="4"/>
  <c r="X125" i="4"/>
  <c r="X118" i="4"/>
  <c r="X100" i="4"/>
  <c r="X94" i="4"/>
  <c r="X87" i="4"/>
  <c r="X65" i="4"/>
  <c r="X23" i="4"/>
  <c r="AA23" i="4" s="1"/>
  <c r="X16" i="4"/>
  <c r="AA16" i="4" s="1"/>
  <c r="X13" i="4"/>
  <c r="AA13" i="4" s="1"/>
  <c r="X6" i="4"/>
  <c r="AA6" i="4" s="1"/>
  <c r="X3" i="4"/>
  <c r="AA3" i="4" s="1"/>
  <c r="X477" i="4"/>
  <c r="X424" i="4"/>
  <c r="X418" i="4"/>
  <c r="X399" i="4"/>
  <c r="X383" i="4"/>
  <c r="X366" i="4"/>
  <c r="X309" i="4"/>
  <c r="X301" i="4"/>
  <c r="X246" i="4"/>
  <c r="X218" i="4"/>
  <c r="X206" i="4"/>
  <c r="X183" i="4"/>
  <c r="X154" i="4"/>
  <c r="X121" i="4"/>
  <c r="X112" i="4"/>
  <c r="X91" i="4"/>
  <c r="X82" i="4"/>
  <c r="X24" i="4"/>
  <c r="AA24" i="4" s="1"/>
  <c r="X19" i="4"/>
  <c r="AA19" i="4" s="1"/>
  <c r="X18" i="4"/>
  <c r="AA18" i="4" s="1"/>
  <c r="X11" i="4"/>
  <c r="AA11" i="4" s="1"/>
  <c r="X4" i="4"/>
  <c r="AA4" i="4" s="1"/>
  <c r="X498" i="4"/>
  <c r="X479" i="4"/>
  <c r="X460" i="4"/>
  <c r="X447" i="4"/>
  <c r="X435" i="4"/>
  <c r="X396" i="4"/>
  <c r="X372" i="4"/>
  <c r="X370" i="4"/>
  <c r="X365" i="4"/>
  <c r="X336" i="4"/>
  <c r="X320" i="4"/>
  <c r="X318" i="4"/>
  <c r="X312" i="4"/>
  <c r="X306" i="4"/>
  <c r="X300" i="4"/>
  <c r="X282" i="4"/>
  <c r="X277" i="4"/>
  <c r="X260" i="4"/>
  <c r="X245" i="4"/>
  <c r="X240" i="4"/>
  <c r="X233" i="4"/>
  <c r="X219" i="4"/>
  <c r="X214" i="4"/>
  <c r="X208" i="4"/>
  <c r="X197" i="4"/>
  <c r="X178" i="4"/>
  <c r="X157" i="4"/>
  <c r="X129" i="4"/>
  <c r="X72" i="4"/>
  <c r="X43" i="4"/>
  <c r="X27" i="4"/>
  <c r="AA27" i="4" s="1"/>
  <c r="X26" i="4"/>
  <c r="AA26" i="4" s="1"/>
  <c r="X21" i="4"/>
  <c r="AA21" i="4" s="1"/>
  <c r="X12" i="4"/>
  <c r="AA12" i="4" s="1"/>
  <c r="X9" i="4"/>
  <c r="AA9" i="4" s="1"/>
  <c r="X494" i="4"/>
  <c r="X492" i="4"/>
  <c r="X490" i="4"/>
  <c r="X485" i="4"/>
  <c r="X466" i="4"/>
  <c r="X445" i="4"/>
  <c r="X438" i="4"/>
  <c r="X434" i="4"/>
  <c r="X414" i="4"/>
  <c r="X410" i="4"/>
  <c r="X375" i="4"/>
  <c r="X360" i="4"/>
  <c r="X347" i="4"/>
  <c r="X332" i="4"/>
  <c r="X310" i="4"/>
  <c r="X304" i="4"/>
  <c r="X299" i="4"/>
  <c r="X278" i="4"/>
  <c r="X269" i="4"/>
  <c r="X239" i="4"/>
  <c r="X227" i="4"/>
  <c r="X221" i="4"/>
  <c r="X216" i="4"/>
  <c r="X210" i="4"/>
  <c r="X199" i="4"/>
  <c r="X190" i="4"/>
  <c r="X161" i="4"/>
  <c r="X133" i="4"/>
  <c r="X89" i="4"/>
  <c r="X67" i="4"/>
  <c r="X50" i="4"/>
  <c r="X28" i="4"/>
  <c r="AA28" i="4" s="1"/>
  <c r="X14" i="4"/>
  <c r="AA14" i="4" s="1"/>
  <c r="X5" i="4"/>
  <c r="AA5" i="4" s="1"/>
  <c r="X499" i="4"/>
  <c r="X488" i="4"/>
  <c r="X457" i="4"/>
  <c r="X455" i="4"/>
  <c r="X451" i="4"/>
  <c r="X440" i="4"/>
  <c r="X423" i="4"/>
  <c r="X412" i="4"/>
  <c r="X369" i="4"/>
  <c r="X305" i="4"/>
  <c r="X297" i="4"/>
  <c r="X273" i="4"/>
  <c r="X258" i="4"/>
  <c r="X241" i="4"/>
  <c r="X205" i="4"/>
  <c r="X194" i="4"/>
  <c r="X169" i="4"/>
  <c r="X135" i="4"/>
  <c r="X131" i="4"/>
  <c r="X127" i="4"/>
  <c r="X114" i="4"/>
  <c r="X96" i="4"/>
  <c r="X84" i="4"/>
  <c r="X30" i="4"/>
  <c r="AA30" i="4" s="1"/>
  <c r="X25" i="4"/>
  <c r="AA25" i="4" s="1"/>
  <c r="X20" i="4"/>
  <c r="AA20" i="4" s="1"/>
  <c r="X15" i="4"/>
  <c r="AA15" i="4" s="1"/>
  <c r="X10" i="4"/>
  <c r="AA10" i="4" s="1"/>
  <c r="X7" i="4"/>
  <c r="AA7" i="4" s="1"/>
  <c r="X2" i="4"/>
  <c r="AA2" i="4" s="1"/>
  <c r="X486" i="4"/>
  <c r="X458" i="4"/>
  <c r="X442" i="4"/>
  <c r="X436" i="4"/>
  <c r="X417" i="4"/>
  <c r="X413" i="4"/>
  <c r="X405" i="4"/>
  <c r="X398" i="4"/>
  <c r="X395" i="4"/>
  <c r="X392" i="4"/>
  <c r="X387" i="4"/>
  <c r="X384" i="4"/>
  <c r="X377" i="4"/>
  <c r="X368" i="4"/>
  <c r="X364" i="4"/>
  <c r="X357" i="4"/>
  <c r="X356" i="4"/>
  <c r="X350" i="4"/>
  <c r="X349" i="4"/>
  <c r="X344" i="4"/>
  <c r="X341" i="4"/>
  <c r="X339" i="4"/>
  <c r="X333" i="4"/>
  <c r="X330" i="4"/>
  <c r="X327" i="4"/>
  <c r="X325" i="4"/>
  <c r="X317" i="4"/>
  <c r="X315" i="4"/>
  <c r="X313" i="4"/>
  <c r="X311" i="4"/>
  <c r="X303" i="4"/>
  <c r="X296" i="4"/>
  <c r="X290" i="4"/>
  <c r="X281" i="4"/>
  <c r="X279" i="4"/>
  <c r="X248" i="4"/>
  <c r="X238" i="4"/>
  <c r="X228" i="4"/>
  <c r="X226" i="4"/>
  <c r="X224" i="4"/>
  <c r="X222" i="4"/>
  <c r="X220" i="4"/>
  <c r="X215" i="4"/>
  <c r="X213" i="4"/>
  <c r="X211" i="4"/>
  <c r="X193" i="4"/>
  <c r="X191" i="4"/>
  <c r="X177" i="4"/>
  <c r="X175" i="4"/>
  <c r="X173" i="4"/>
  <c r="X168" i="4"/>
  <c r="X151" i="4"/>
  <c r="X145" i="4"/>
  <c r="X142" i="4"/>
  <c r="X136" i="4"/>
  <c r="X132" i="4"/>
  <c r="X128" i="4"/>
  <c r="X119" i="4"/>
  <c r="X117" i="4"/>
  <c r="X107" i="4"/>
  <c r="X103" i="4"/>
  <c r="X90" i="4"/>
  <c r="X88" i="4"/>
  <c r="X85" i="4"/>
  <c r="X83" i="4"/>
  <c r="X75" i="4"/>
  <c r="X68" i="4"/>
  <c r="X64" i="4"/>
  <c r="X61" i="4"/>
  <c r="X54" i="4"/>
  <c r="X51" i="4"/>
  <c r="X49" i="4"/>
  <c r="X44" i="4"/>
  <c r="X41" i="4"/>
  <c r="X39" i="4"/>
  <c r="X35" i="4"/>
  <c r="X33" i="4"/>
  <c r="X31" i="4"/>
  <c r="AA31" i="4" s="1"/>
  <c r="X465" i="4"/>
  <c r="X461" i="4"/>
  <c r="X454" i="4"/>
  <c r="X450" i="4"/>
  <c r="X419" i="4"/>
  <c r="X411" i="4"/>
  <c r="X402" i="4"/>
  <c r="X376" i="4"/>
  <c r="X319" i="4"/>
  <c r="X314" i="4"/>
  <c r="X308" i="4"/>
  <c r="X298" i="4"/>
  <c r="X243" i="4"/>
  <c r="X237" i="4"/>
  <c r="X225" i="4"/>
  <c r="X155" i="4"/>
  <c r="X123" i="4"/>
  <c r="X116" i="4"/>
  <c r="X110" i="4"/>
  <c r="X92" i="4"/>
  <c r="X86" i="4"/>
  <c r="X76" i="4"/>
  <c r="X60" i="4"/>
  <c r="X55" i="4"/>
  <c r="X34" i="4"/>
  <c r="X29" i="4"/>
  <c r="AA29" i="4" s="1"/>
  <c r="X22" i="4"/>
  <c r="AA22" i="4" s="1"/>
  <c r="X17" i="4"/>
  <c r="AA17" i="4" s="1"/>
  <c r="X8" i="4"/>
  <c r="AA8" i="4" s="1"/>
  <c r="AE23" i="4" l="1"/>
  <c r="AD23" i="4"/>
  <c r="AE16" i="4"/>
  <c r="AD16" i="4"/>
  <c r="AE13" i="4"/>
  <c r="AD13" i="4"/>
  <c r="AE6" i="4"/>
  <c r="AD6" i="4"/>
  <c r="AE3" i="4"/>
  <c r="AD3" i="4"/>
  <c r="AE24" i="4"/>
  <c r="AD24" i="4"/>
  <c r="AE19" i="4"/>
  <c r="AD19" i="4"/>
  <c r="AE18" i="4"/>
  <c r="AD18" i="4"/>
  <c r="AE11" i="4"/>
  <c r="AD11" i="4"/>
  <c r="AE4" i="4"/>
  <c r="AD4" i="4"/>
  <c r="AE27" i="4"/>
  <c r="AD27" i="4"/>
  <c r="AE26" i="4"/>
  <c r="AD26" i="4"/>
  <c r="AE21" i="4"/>
  <c r="AD21" i="4"/>
  <c r="AE12" i="4"/>
  <c r="AD12" i="4"/>
  <c r="AE9" i="4"/>
  <c r="AD9" i="4"/>
  <c r="AE28" i="4"/>
  <c r="AD28" i="4"/>
  <c r="AE14" i="4"/>
  <c r="AD14" i="4"/>
  <c r="AE5" i="4"/>
  <c r="AD5" i="4"/>
  <c r="AE30" i="4"/>
  <c r="AD30" i="4"/>
  <c r="AE25" i="4"/>
  <c r="AD25" i="4"/>
  <c r="AE20" i="4"/>
  <c r="AD20" i="4"/>
  <c r="AE15" i="4"/>
  <c r="AD15" i="4"/>
  <c r="AE10" i="4"/>
  <c r="AD10" i="4"/>
  <c r="AE7" i="4"/>
  <c r="AD7" i="4"/>
  <c r="AE2" i="4"/>
  <c r="AD2" i="4"/>
  <c r="AE31" i="4"/>
  <c r="AD31" i="4"/>
  <c r="AE29" i="4"/>
  <c r="AD29" i="4"/>
  <c r="AE22" i="4"/>
  <c r="AD22" i="4"/>
  <c r="AE17" i="4"/>
  <c r="AD17" i="4"/>
  <c r="AE8" i="4"/>
  <c r="AD8" i="4"/>
  <c r="AK27" i="4"/>
  <c r="AL27" i="4" s="1"/>
  <c r="AK23" i="4"/>
  <c r="AL23" i="4" s="1"/>
  <c r="AK18" i="4"/>
  <c r="AL18" i="4" s="1"/>
  <c r="AK7" i="4"/>
  <c r="AL7" i="4" s="1"/>
  <c r="AK29" i="4"/>
  <c r="AL29" i="4" s="1"/>
  <c r="AK24" i="4"/>
  <c r="AL24" i="4" s="1"/>
  <c r="AK19" i="4"/>
  <c r="AL19" i="4" s="1"/>
  <c r="AK14" i="4"/>
  <c r="AL14" i="4" s="1"/>
  <c r="AK10" i="4"/>
  <c r="AL10" i="4" s="1"/>
  <c r="AK2" i="4"/>
  <c r="AL2" i="4" s="1"/>
  <c r="AK28" i="4"/>
  <c r="AL28" i="4" s="1"/>
  <c r="AK22" i="4"/>
  <c r="AL22" i="4" s="1"/>
  <c r="AK16" i="4"/>
  <c r="AL16" i="4" s="1"/>
  <c r="AK12" i="4"/>
  <c r="AL12" i="4" s="1"/>
  <c r="AK6" i="4"/>
  <c r="AL6" i="4" s="1"/>
  <c r="AK3" i="4"/>
  <c r="AL3" i="4" s="1"/>
  <c r="AK30" i="4"/>
  <c r="AL30" i="4" s="1"/>
  <c r="AK26" i="4"/>
  <c r="AL26" i="4" s="1"/>
  <c r="AK20" i="4"/>
  <c r="AL20" i="4" s="1"/>
  <c r="AK15" i="4"/>
  <c r="AL15" i="4" s="1"/>
  <c r="AK11" i="4"/>
  <c r="AL11" i="4" s="1"/>
  <c r="AK9" i="4"/>
  <c r="AL9" i="4" s="1"/>
  <c r="AK5" i="4"/>
  <c r="AL5" i="4" s="1"/>
  <c r="AK31" i="4"/>
  <c r="AL31" i="4" s="1"/>
  <c r="AK25" i="4"/>
  <c r="AL25" i="4" s="1"/>
  <c r="AK21" i="4"/>
  <c r="AL21" i="4" s="1"/>
  <c r="AK17" i="4"/>
  <c r="AL17" i="4" s="1"/>
  <c r="AK13" i="4"/>
  <c r="AL13" i="4" s="1"/>
  <c r="AK8" i="4"/>
  <c r="AL8" i="4" s="1"/>
  <c r="AK4" i="4"/>
  <c r="AL4" i="4" s="1"/>
  <c r="Z54" i="4" l="1"/>
  <c r="Y55" i="4"/>
  <c r="Z34" i="4"/>
  <c r="Y35" i="4"/>
  <c r="Y54" i="4"/>
  <c r="Z55" i="4"/>
  <c r="AA55" i="4" s="1"/>
  <c r="Z58" i="4"/>
  <c r="Y59" i="4"/>
  <c r="Y53" i="4"/>
  <c r="Z52" i="4"/>
  <c r="Y56" i="4"/>
  <c r="Z57" i="4"/>
  <c r="Z40" i="4"/>
  <c r="Y41" i="4"/>
  <c r="Y61" i="4"/>
  <c r="Z60" i="4"/>
  <c r="Y45" i="4"/>
  <c r="Z44" i="4"/>
  <c r="Z37" i="4"/>
  <c r="Y36" i="4"/>
  <c r="Y34" i="4"/>
  <c r="Z35" i="4"/>
  <c r="AA35" i="4" s="1"/>
  <c r="Y58" i="4"/>
  <c r="Z59" i="4"/>
  <c r="AA59" i="4" s="1"/>
  <c r="Y49" i="4"/>
  <c r="Z48" i="4"/>
  <c r="Y46" i="4"/>
  <c r="Z47" i="4"/>
  <c r="Y40" i="4"/>
  <c r="Z41" i="4"/>
  <c r="AA41" i="4" s="1"/>
  <c r="Z32" i="4"/>
  <c r="Y33" i="4"/>
  <c r="Y39" i="4"/>
  <c r="Z38" i="4"/>
  <c r="Y50" i="4"/>
  <c r="Z51" i="4"/>
  <c r="Z61" i="4"/>
  <c r="AA61" i="4" s="1"/>
  <c r="Y60" i="4"/>
  <c r="Y38" i="4"/>
  <c r="Z39" i="4"/>
  <c r="AA39" i="4" s="1"/>
  <c r="Y48" i="4"/>
  <c r="Z49" i="4"/>
  <c r="AA49" i="4" s="1"/>
  <c r="Z43" i="4"/>
  <c r="Y42" i="4"/>
  <c r="Z50" i="4"/>
  <c r="AA50" i="4" s="1"/>
  <c r="Y51" i="4"/>
  <c r="Y52" i="4"/>
  <c r="Z53" i="4"/>
  <c r="Y37" i="4"/>
  <c r="Z36" i="4"/>
  <c r="AA36" i="4" s="1"/>
  <c r="Z42" i="4"/>
  <c r="Y43" i="4"/>
  <c r="Y47" i="4"/>
  <c r="Z46" i="4"/>
  <c r="AA46" i="4" s="1"/>
  <c r="Z45" i="4"/>
  <c r="Y44" i="4"/>
  <c r="Y32" i="4"/>
  <c r="Z33" i="4"/>
  <c r="Y57" i="4"/>
  <c r="Z56" i="4"/>
  <c r="AA53" i="4" l="1"/>
  <c r="AA44" i="4"/>
  <c r="AA32" i="4"/>
  <c r="AA42" i="4"/>
  <c r="AA56" i="4"/>
  <c r="AA40" i="4"/>
  <c r="AD40" i="4" s="1"/>
  <c r="AH55" i="4"/>
  <c r="AK55" i="4" s="1"/>
  <c r="AL55" i="4" s="1"/>
  <c r="AH35" i="4"/>
  <c r="AK35" i="4" s="1"/>
  <c r="AL35" i="4" s="1"/>
  <c r="AH54" i="4"/>
  <c r="AE55" i="4"/>
  <c r="AD55" i="4"/>
  <c r="AH59" i="4"/>
  <c r="AK59" i="4" s="1"/>
  <c r="AL59" i="4" s="1"/>
  <c r="AH53" i="4"/>
  <c r="AK53" i="4" s="1"/>
  <c r="AL53" i="4" s="1"/>
  <c r="AH56" i="4"/>
  <c r="AK56" i="4" s="1"/>
  <c r="AL56" i="4" s="1"/>
  <c r="AE40" i="4"/>
  <c r="AH41" i="4"/>
  <c r="AK41" i="4" s="1"/>
  <c r="AL41" i="4" s="1"/>
  <c r="AH61" i="4"/>
  <c r="AK61" i="4" s="1"/>
  <c r="AL61" i="4" s="1"/>
  <c r="AH45" i="4"/>
  <c r="AE44" i="4"/>
  <c r="AD44" i="4"/>
  <c r="AH36" i="4"/>
  <c r="AK36" i="4" s="1"/>
  <c r="AL36" i="4" s="1"/>
  <c r="AH34" i="4"/>
  <c r="AE35" i="4"/>
  <c r="AD35" i="4"/>
  <c r="AH58" i="4"/>
  <c r="AE59" i="4"/>
  <c r="AD59" i="4"/>
  <c r="AH49" i="4"/>
  <c r="AK49" i="4" s="1"/>
  <c r="AL49" i="4" s="1"/>
  <c r="AH46" i="4"/>
  <c r="AK46" i="4" s="1"/>
  <c r="AL46" i="4" s="1"/>
  <c r="AH40" i="4"/>
  <c r="AE41" i="4"/>
  <c r="AD41" i="4"/>
  <c r="AE32" i="4"/>
  <c r="AD32" i="4"/>
  <c r="AH33" i="4"/>
  <c r="AH39" i="4"/>
  <c r="AK39" i="4" s="1"/>
  <c r="AL39" i="4" s="1"/>
  <c r="AH50" i="4"/>
  <c r="AK50" i="4" s="1"/>
  <c r="AL50" i="4" s="1"/>
  <c r="AE61" i="4"/>
  <c r="AD61" i="4"/>
  <c r="AH60" i="4"/>
  <c r="AH38" i="4"/>
  <c r="AE39" i="4"/>
  <c r="AD39" i="4"/>
  <c r="AH48" i="4"/>
  <c r="AE49" i="4"/>
  <c r="AD49" i="4"/>
  <c r="AH42" i="4"/>
  <c r="AE50" i="4"/>
  <c r="AD50" i="4"/>
  <c r="AH51" i="4"/>
  <c r="AH52" i="4"/>
  <c r="AE53" i="4"/>
  <c r="AD53" i="4"/>
  <c r="AH37" i="4"/>
  <c r="AE36" i="4"/>
  <c r="AD36" i="4"/>
  <c r="AE42" i="4"/>
  <c r="AD42" i="4"/>
  <c r="AH43" i="4"/>
  <c r="AH47" i="4"/>
  <c r="AE46" i="4"/>
  <c r="AD46" i="4"/>
  <c r="AH44" i="4"/>
  <c r="AK44" i="4" s="1"/>
  <c r="AL44" i="4" s="1"/>
  <c r="AH32" i="4"/>
  <c r="AH57" i="4"/>
  <c r="AE56" i="4"/>
  <c r="AD56" i="4"/>
  <c r="AA58" i="4"/>
  <c r="AA51" i="4"/>
  <c r="AA43" i="4"/>
  <c r="AA60" i="4"/>
  <c r="AA37" i="4"/>
  <c r="AA47" i="4"/>
  <c r="AA38" i="4"/>
  <c r="AA45" i="4"/>
  <c r="AA33" i="4"/>
  <c r="AA34" i="4"/>
  <c r="AA52" i="4"/>
  <c r="AA57" i="4"/>
  <c r="AA54" i="4"/>
  <c r="AA48" i="4"/>
  <c r="AK42" i="4" l="1"/>
  <c r="AL42" i="4" s="1"/>
  <c r="AK32" i="4"/>
  <c r="AL32" i="4" s="1"/>
  <c r="AK34" i="4"/>
  <c r="AL34" i="4" s="1"/>
  <c r="AK52" i="4"/>
  <c r="AL52" i="4" s="1"/>
  <c r="AK57" i="4"/>
  <c r="AL57" i="4" s="1"/>
  <c r="AK33" i="4"/>
  <c r="AL33" i="4" s="1"/>
  <c r="Y111" i="4" s="1"/>
  <c r="AK45" i="4"/>
  <c r="AL45" i="4" s="1"/>
  <c r="AK60" i="4"/>
  <c r="AL60" i="4" s="1"/>
  <c r="AK40" i="4"/>
  <c r="AL40" i="4" s="1"/>
  <c r="AK38" i="4"/>
  <c r="AL38" i="4" s="1"/>
  <c r="AK47" i="4"/>
  <c r="AL47" i="4" s="1"/>
  <c r="Z80" i="4"/>
  <c r="Y81" i="4"/>
  <c r="Y66" i="4"/>
  <c r="Z67" i="4"/>
  <c r="Y67" i="4"/>
  <c r="Z66" i="4"/>
  <c r="AA66" i="4" s="1"/>
  <c r="Y83" i="4"/>
  <c r="Z82" i="4"/>
  <c r="Z88" i="4"/>
  <c r="Y89" i="4"/>
  <c r="Z72" i="4"/>
  <c r="Y73" i="4"/>
  <c r="Z69" i="4"/>
  <c r="Y68" i="4"/>
  <c r="Z78" i="4"/>
  <c r="Y79" i="4"/>
  <c r="Z89" i="4"/>
  <c r="AA89" i="4" s="1"/>
  <c r="Y88" i="4"/>
  <c r="Z86" i="4"/>
  <c r="Y87" i="4"/>
  <c r="Z74" i="4"/>
  <c r="Y75" i="4"/>
  <c r="Y80" i="4"/>
  <c r="Z81" i="4"/>
  <c r="Y76" i="4"/>
  <c r="Z77" i="4"/>
  <c r="Z110" i="4"/>
  <c r="Z62" i="4"/>
  <c r="Y63" i="4"/>
  <c r="Z70" i="4"/>
  <c r="Y71" i="4"/>
  <c r="Z71" i="4"/>
  <c r="Y70" i="4"/>
  <c r="Y82" i="4"/>
  <c r="Z83" i="4"/>
  <c r="AA83" i="4" s="1"/>
  <c r="Y69" i="4"/>
  <c r="Z68" i="4"/>
  <c r="AA68" i="4" s="1"/>
  <c r="Z76" i="4"/>
  <c r="AA76" i="4" s="1"/>
  <c r="Y77" i="4"/>
  <c r="Y78" i="4"/>
  <c r="Z79" i="4"/>
  <c r="AA79" i="4" s="1"/>
  <c r="Y74" i="4"/>
  <c r="Z75" i="4"/>
  <c r="AA75" i="4" s="1"/>
  <c r="Y62" i="4"/>
  <c r="Z63" i="4"/>
  <c r="Z90" i="4"/>
  <c r="Y91" i="4"/>
  <c r="AD58" i="4"/>
  <c r="AE58" i="4"/>
  <c r="AD51" i="4"/>
  <c r="AE51" i="4"/>
  <c r="AD43" i="4"/>
  <c r="AE43" i="4"/>
  <c r="AD60" i="4"/>
  <c r="AE60" i="4"/>
  <c r="AD37" i="4"/>
  <c r="AE37" i="4"/>
  <c r="AD47" i="4"/>
  <c r="AE47" i="4"/>
  <c r="AD38" i="4"/>
  <c r="AE38" i="4"/>
  <c r="AD45" i="4"/>
  <c r="AE45" i="4"/>
  <c r="AD33" i="4"/>
  <c r="AE33" i="4"/>
  <c r="AD34" i="4"/>
  <c r="AE34" i="4"/>
  <c r="AD52" i="4"/>
  <c r="AE52" i="4"/>
  <c r="AD57" i="4"/>
  <c r="AE57" i="4"/>
  <c r="AD54" i="4"/>
  <c r="AE54" i="4"/>
  <c r="AD48" i="4"/>
  <c r="AE48" i="4"/>
  <c r="AK48" i="4"/>
  <c r="AL48" i="4" s="1"/>
  <c r="AK51" i="4"/>
  <c r="AL51" i="4" s="1"/>
  <c r="AK37" i="4"/>
  <c r="AL37" i="4" s="1"/>
  <c r="AK43" i="4"/>
  <c r="AL43" i="4" s="1"/>
  <c r="AK58" i="4"/>
  <c r="AL58" i="4" s="1"/>
  <c r="AK54" i="4"/>
  <c r="AL54" i="4" s="1"/>
  <c r="AA81" i="4" l="1"/>
  <c r="AA70" i="4"/>
  <c r="AA63" i="4"/>
  <c r="AA71" i="4"/>
  <c r="AH81" i="4"/>
  <c r="AK81" i="4" s="1"/>
  <c r="AL81" i="4" s="1"/>
  <c r="AH66" i="4"/>
  <c r="AK66" i="4" s="1"/>
  <c r="AL66" i="4" s="1"/>
  <c r="AH67" i="4"/>
  <c r="AE66" i="4"/>
  <c r="AD66" i="4"/>
  <c r="AH83" i="4"/>
  <c r="AK83" i="4" s="1"/>
  <c r="AL83" i="4" s="1"/>
  <c r="AH89" i="4"/>
  <c r="AK89" i="4" s="1"/>
  <c r="AL89" i="4" s="1"/>
  <c r="AH68" i="4"/>
  <c r="AK68" i="4" s="1"/>
  <c r="AL68" i="4" s="1"/>
  <c r="AH79" i="4"/>
  <c r="AK79" i="4" s="1"/>
  <c r="AL79" i="4" s="1"/>
  <c r="AE89" i="4"/>
  <c r="AD89" i="4"/>
  <c r="AH88" i="4"/>
  <c r="AH75" i="4"/>
  <c r="AK75" i="4" s="1"/>
  <c r="AL75" i="4" s="1"/>
  <c r="AH80" i="4"/>
  <c r="AE81" i="4"/>
  <c r="AD81" i="4"/>
  <c r="AH76" i="4"/>
  <c r="AK76" i="4" s="1"/>
  <c r="AL76" i="4" s="1"/>
  <c r="AH63" i="4"/>
  <c r="AE70" i="4"/>
  <c r="AD70" i="4"/>
  <c r="AH71" i="4"/>
  <c r="AK71" i="4" s="1"/>
  <c r="AL71" i="4" s="1"/>
  <c r="AE71" i="4"/>
  <c r="AD71" i="4"/>
  <c r="AH70" i="4"/>
  <c r="AK70" i="4" s="1"/>
  <c r="AL70" i="4" s="1"/>
  <c r="AH82" i="4"/>
  <c r="AE83" i="4"/>
  <c r="AD83" i="4"/>
  <c r="AH69" i="4"/>
  <c r="AE68" i="4"/>
  <c r="AD68" i="4"/>
  <c r="AE76" i="4"/>
  <c r="AD76" i="4"/>
  <c r="AH77" i="4"/>
  <c r="AH78" i="4"/>
  <c r="AE79" i="4"/>
  <c r="AD79" i="4"/>
  <c r="AH74" i="4"/>
  <c r="AE75" i="4"/>
  <c r="AD75" i="4"/>
  <c r="AH62" i="4"/>
  <c r="AE63" i="4"/>
  <c r="AD63" i="4"/>
  <c r="Z87" i="4"/>
  <c r="Y86" i="4"/>
  <c r="Y64" i="4"/>
  <c r="Z65" i="4"/>
  <c r="Z64" i="4"/>
  <c r="AA64" i="4" s="1"/>
  <c r="Y65" i="4"/>
  <c r="Z84" i="4"/>
  <c r="Y85" i="4"/>
  <c r="Y72" i="4"/>
  <c r="Z73" i="4"/>
  <c r="Y84" i="4"/>
  <c r="Z85" i="4"/>
  <c r="AA85" i="4" s="1"/>
  <c r="AA80" i="4"/>
  <c r="AA82" i="4"/>
  <c r="AA69" i="4"/>
  <c r="AA74" i="4"/>
  <c r="AA78" i="4"/>
  <c r="AA67" i="4"/>
  <c r="AA88" i="4"/>
  <c r="AA62" i="4"/>
  <c r="AA77" i="4"/>
  <c r="AK63" i="4" l="1"/>
  <c r="AL63" i="4" s="1"/>
  <c r="Y108" i="4"/>
  <c r="Z109" i="4"/>
  <c r="Z99" i="4"/>
  <c r="Y98" i="4"/>
  <c r="Y100" i="4"/>
  <c r="Z101" i="4"/>
  <c r="Y128" i="4"/>
  <c r="Z129" i="4"/>
  <c r="Z111" i="4"/>
  <c r="Y110" i="4"/>
  <c r="Z98" i="4"/>
  <c r="AA98" i="4" s="1"/>
  <c r="Y99" i="4"/>
  <c r="Z127" i="4"/>
  <c r="Y126" i="4"/>
  <c r="Z113" i="4"/>
  <c r="Y112" i="4"/>
  <c r="Z104" i="4"/>
  <c r="Y105" i="4"/>
  <c r="Z107" i="4"/>
  <c r="Y106" i="4"/>
  <c r="Y97" i="4"/>
  <c r="Z96" i="4"/>
  <c r="AA86" i="4"/>
  <c r="AH86" i="4"/>
  <c r="AK86" i="4" s="1"/>
  <c r="AL86" i="4" s="1"/>
  <c r="AH64" i="4"/>
  <c r="AK64" i="4" s="1"/>
  <c r="AL64" i="4" s="1"/>
  <c r="AE64" i="4"/>
  <c r="AD64" i="4"/>
  <c r="AH65" i="4"/>
  <c r="AK65" i="4" s="1"/>
  <c r="AL65" i="4" s="1"/>
  <c r="AH85" i="4"/>
  <c r="AK85" i="4" s="1"/>
  <c r="AL85" i="4" s="1"/>
  <c r="AA72" i="4"/>
  <c r="AH72" i="4"/>
  <c r="AK72" i="4" s="1"/>
  <c r="AL72" i="4" s="1"/>
  <c r="AH84" i="4"/>
  <c r="AE85" i="4"/>
  <c r="AD85" i="4"/>
  <c r="AD80" i="4"/>
  <c r="AE80" i="4"/>
  <c r="AD82" i="4"/>
  <c r="AE82" i="4"/>
  <c r="AD69" i="4"/>
  <c r="AE69" i="4"/>
  <c r="AD74" i="4"/>
  <c r="AE74" i="4"/>
  <c r="AD78" i="4"/>
  <c r="AE78" i="4"/>
  <c r="AD67" i="4"/>
  <c r="AE67" i="4"/>
  <c r="AD88" i="4"/>
  <c r="AE88" i="4"/>
  <c r="AD62" i="4"/>
  <c r="AE62" i="4"/>
  <c r="AD77" i="4"/>
  <c r="AE77" i="4"/>
  <c r="AK88" i="4"/>
  <c r="AL88" i="4" s="1"/>
  <c r="AK80" i="4"/>
  <c r="AL80" i="4" s="1"/>
  <c r="AK82" i="4"/>
  <c r="AL82" i="4" s="1"/>
  <c r="AK74" i="4"/>
  <c r="AL74" i="4" s="1"/>
  <c r="AK69" i="4"/>
  <c r="AL69" i="4" s="1"/>
  <c r="AK77" i="4"/>
  <c r="AL77" i="4" s="1"/>
  <c r="AK78" i="4"/>
  <c r="AL78" i="4" s="1"/>
  <c r="AK62" i="4"/>
  <c r="AL62" i="4" s="1"/>
  <c r="AA65" i="4"/>
  <c r="AK67" i="4"/>
  <c r="AL67" i="4" s="1"/>
  <c r="AA84" i="4"/>
  <c r="AA87" i="4"/>
  <c r="AH87" i="4"/>
  <c r="AK87" i="4" s="1"/>
  <c r="AL87" i="4" s="1"/>
  <c r="AA73" i="4"/>
  <c r="AH73" i="4"/>
  <c r="AK73" i="4" s="1"/>
  <c r="AL73" i="4" s="1"/>
  <c r="AK84" i="4" l="1"/>
  <c r="AL84" i="4" s="1"/>
  <c r="AH98" i="4"/>
  <c r="AK98" i="4" s="1"/>
  <c r="AL98" i="4" s="1"/>
  <c r="AH111" i="4"/>
  <c r="AA111" i="4"/>
  <c r="AA110" i="4"/>
  <c r="AH110" i="4"/>
  <c r="AE98" i="4"/>
  <c r="AD98" i="4"/>
  <c r="AH99" i="4"/>
  <c r="AD86" i="4"/>
  <c r="AE86" i="4"/>
  <c r="Z119" i="4"/>
  <c r="Y118" i="4"/>
  <c r="Y117" i="4"/>
  <c r="Z116" i="4"/>
  <c r="Y93" i="4"/>
  <c r="Z92" i="4"/>
  <c r="AA92" i="4" s="1"/>
  <c r="Z108" i="4"/>
  <c r="Y109" i="4"/>
  <c r="AD72" i="4"/>
  <c r="AE72" i="4"/>
  <c r="Z112" i="4"/>
  <c r="Y113" i="4"/>
  <c r="Y95" i="4"/>
  <c r="Z94" i="4"/>
  <c r="Y115" i="4"/>
  <c r="Z114" i="4"/>
  <c r="Z95" i="4"/>
  <c r="AA95" i="4" s="1"/>
  <c r="Y94" i="4"/>
  <c r="Y90" i="4"/>
  <c r="Z91" i="4"/>
  <c r="Y119" i="4"/>
  <c r="Z118" i="4"/>
  <c r="AA118" i="4" s="1"/>
  <c r="Z105" i="4"/>
  <c r="Y104" i="4"/>
  <c r="Y103" i="4"/>
  <c r="Z102" i="4"/>
  <c r="AA102" i="4" s="1"/>
  <c r="Z106" i="4"/>
  <c r="Y107" i="4"/>
  <c r="Z97" i="4"/>
  <c r="Y96" i="4"/>
  <c r="AD65" i="4"/>
  <c r="AE65" i="4"/>
  <c r="Z93" i="4"/>
  <c r="AA93" i="4" s="1"/>
  <c r="Y92" i="4"/>
  <c r="AD84" i="4"/>
  <c r="AE84" i="4"/>
  <c r="AD87" i="4"/>
  <c r="AE87" i="4"/>
  <c r="Y102" i="4"/>
  <c r="Z103" i="4"/>
  <c r="AD73" i="4"/>
  <c r="AE73" i="4"/>
  <c r="Y101" i="4"/>
  <c r="Z100" i="4"/>
  <c r="AA99" i="4"/>
  <c r="Y146" i="4" l="1"/>
  <c r="Z147" i="4"/>
  <c r="AE111" i="4"/>
  <c r="AD111" i="4"/>
  <c r="AD110" i="4"/>
  <c r="AE110" i="4"/>
  <c r="AH118" i="4"/>
  <c r="AK118" i="4" s="1"/>
  <c r="AL118" i="4" s="1"/>
  <c r="AH93" i="4"/>
  <c r="AK93" i="4" s="1"/>
  <c r="AL93" i="4" s="1"/>
  <c r="AE92" i="4"/>
  <c r="AD92" i="4"/>
  <c r="AA109" i="4"/>
  <c r="AH109" i="4"/>
  <c r="AA113" i="4"/>
  <c r="AH113" i="4"/>
  <c r="AH95" i="4"/>
  <c r="AK95" i="4" s="1"/>
  <c r="AL95" i="4" s="1"/>
  <c r="AE95" i="4"/>
  <c r="AD95" i="4"/>
  <c r="AH94" i="4"/>
  <c r="AA90" i="4"/>
  <c r="AH90" i="4"/>
  <c r="AK90" i="4" s="1"/>
  <c r="AL90" i="4" s="1"/>
  <c r="AH91" i="4"/>
  <c r="AA91" i="4"/>
  <c r="AH119" i="4"/>
  <c r="AE118" i="4"/>
  <c r="AD118" i="4"/>
  <c r="AA104" i="4"/>
  <c r="AH104" i="4"/>
  <c r="AK104" i="4" s="1"/>
  <c r="AL104" i="4" s="1"/>
  <c r="AH103" i="4"/>
  <c r="AE102" i="4"/>
  <c r="AD102" i="4"/>
  <c r="AA107" i="4"/>
  <c r="AH107" i="4"/>
  <c r="AK107" i="4" s="1"/>
  <c r="AL107" i="4" s="1"/>
  <c r="AA96" i="4"/>
  <c r="AH96" i="4"/>
  <c r="AK96" i="4" s="1"/>
  <c r="AL96" i="4" s="1"/>
  <c r="AE93" i="4"/>
  <c r="AD93" i="4"/>
  <c r="AH92" i="4"/>
  <c r="AK92" i="4" s="1"/>
  <c r="AL92" i="4" s="1"/>
  <c r="AH102" i="4"/>
  <c r="AK102" i="4" s="1"/>
  <c r="AL102" i="4" s="1"/>
  <c r="AA101" i="4"/>
  <c r="AH101" i="4"/>
  <c r="AK101" i="4" s="1"/>
  <c r="AL101" i="4" s="1"/>
  <c r="AD99" i="4"/>
  <c r="AE99" i="4"/>
  <c r="AK110" i="4"/>
  <c r="AL110" i="4" s="1"/>
  <c r="AK99" i="4"/>
  <c r="AL99" i="4" s="1"/>
  <c r="AA94" i="4"/>
  <c r="AA103" i="4"/>
  <c r="AK111" i="4"/>
  <c r="AL111" i="4" s="1"/>
  <c r="AA119" i="4"/>
  <c r="AA108" i="4"/>
  <c r="AH108" i="4"/>
  <c r="AK108" i="4" s="1"/>
  <c r="AL108" i="4" s="1"/>
  <c r="AA112" i="4"/>
  <c r="AH112" i="4"/>
  <c r="AK112" i="4" s="1"/>
  <c r="AL112" i="4" s="1"/>
  <c r="AA105" i="4"/>
  <c r="AH105" i="4"/>
  <c r="AK105" i="4" s="1"/>
  <c r="AL105" i="4" s="1"/>
  <c r="AA106" i="4"/>
  <c r="AH106" i="4"/>
  <c r="AA97" i="4"/>
  <c r="AH97" i="4"/>
  <c r="AK97" i="4" s="1"/>
  <c r="AL97" i="4" s="1"/>
  <c r="AA100" i="4"/>
  <c r="AH100" i="4"/>
  <c r="AK100" i="4" s="1"/>
  <c r="AL100" i="4" s="1"/>
  <c r="AK106" i="4" l="1"/>
  <c r="AL106" i="4" s="1"/>
  <c r="AK113" i="4"/>
  <c r="AL113" i="4" s="1"/>
  <c r="AK91" i="4"/>
  <c r="AL91" i="4" s="1"/>
  <c r="Z163" i="4"/>
  <c r="Y162" i="4"/>
  <c r="Y127" i="4"/>
  <c r="Z126" i="4"/>
  <c r="AD109" i="4"/>
  <c r="AE109" i="4"/>
  <c r="AD113" i="4"/>
  <c r="AE113" i="4"/>
  <c r="Y145" i="4"/>
  <c r="Z144" i="4"/>
  <c r="Z117" i="4"/>
  <c r="Y116" i="4"/>
  <c r="AD90" i="4"/>
  <c r="AE90" i="4"/>
  <c r="Z137" i="4"/>
  <c r="AA137" i="4" s="1"/>
  <c r="Y136" i="4"/>
  <c r="Z130" i="4"/>
  <c r="Y131" i="4"/>
  <c r="AE91" i="4"/>
  <c r="AD91" i="4"/>
  <c r="AD104" i="4"/>
  <c r="AE104" i="4"/>
  <c r="Y122" i="4"/>
  <c r="Z123" i="4"/>
  <c r="AD107" i="4"/>
  <c r="AE107" i="4"/>
  <c r="Z120" i="4"/>
  <c r="AA120" i="4" s="1"/>
  <c r="Y121" i="4"/>
  <c r="AD96" i="4"/>
  <c r="AE96" i="4"/>
  <c r="Z124" i="4"/>
  <c r="Y125" i="4"/>
  <c r="Y130" i="4"/>
  <c r="Z131" i="4"/>
  <c r="AA131" i="4" s="1"/>
  <c r="Z153" i="4"/>
  <c r="Y152" i="4"/>
  <c r="AD101" i="4"/>
  <c r="AE101" i="4"/>
  <c r="Y137" i="4"/>
  <c r="Z136" i="4"/>
  <c r="Y139" i="4"/>
  <c r="Z138" i="4"/>
  <c r="Z115" i="4"/>
  <c r="Y114" i="4"/>
  <c r="AD94" i="4"/>
  <c r="AE94" i="4"/>
  <c r="AD103" i="4"/>
  <c r="AE103" i="4"/>
  <c r="Z128" i="4"/>
  <c r="Y129" i="4"/>
  <c r="AD119" i="4"/>
  <c r="AE119" i="4"/>
  <c r="AD108" i="4"/>
  <c r="AE108" i="4"/>
  <c r="Z132" i="4"/>
  <c r="Y133" i="4"/>
  <c r="AD112" i="4"/>
  <c r="AE112" i="4"/>
  <c r="Y153" i="4"/>
  <c r="Z152" i="4"/>
  <c r="AA152" i="4" s="1"/>
  <c r="AD105" i="4"/>
  <c r="AE105" i="4"/>
  <c r="Y120" i="4"/>
  <c r="Z121" i="4"/>
  <c r="AD106" i="4"/>
  <c r="AE106" i="4"/>
  <c r="Z135" i="4"/>
  <c r="Y134" i="4"/>
  <c r="AD97" i="4"/>
  <c r="AE97" i="4"/>
  <c r="Y132" i="4"/>
  <c r="Z133" i="4"/>
  <c r="AD100" i="4"/>
  <c r="AE100" i="4"/>
  <c r="Z125" i="4"/>
  <c r="Y124" i="4"/>
  <c r="AK94" i="4"/>
  <c r="AL94" i="4" s="1"/>
  <c r="AK109" i="4"/>
  <c r="AL109" i="4" s="1"/>
  <c r="AK119" i="4"/>
  <c r="AL119" i="4" s="1"/>
  <c r="AK103" i="4"/>
  <c r="AL103" i="4" s="1"/>
  <c r="AA153" i="4" l="1"/>
  <c r="AA133" i="4"/>
  <c r="AD133" i="4" s="1"/>
  <c r="AA124" i="4"/>
  <c r="AD124" i="4" s="1"/>
  <c r="AA127" i="4"/>
  <c r="AH127" i="4"/>
  <c r="AK127" i="4" s="1"/>
  <c r="AL127" i="4" s="1"/>
  <c r="AH126" i="4"/>
  <c r="AA126" i="4"/>
  <c r="AH117" i="4"/>
  <c r="AA117" i="4"/>
  <c r="AA116" i="4"/>
  <c r="AH116" i="4"/>
  <c r="AE137" i="4"/>
  <c r="AD137" i="4"/>
  <c r="AH136" i="4"/>
  <c r="AH131" i="4"/>
  <c r="AK131" i="4" s="1"/>
  <c r="AL131" i="4" s="1"/>
  <c r="AE120" i="4"/>
  <c r="AD120" i="4"/>
  <c r="AH121" i="4"/>
  <c r="AE124" i="4"/>
  <c r="AH125" i="4"/>
  <c r="AH130" i="4"/>
  <c r="AE131" i="4"/>
  <c r="AD131" i="4"/>
  <c r="AH152" i="4"/>
  <c r="AK152" i="4" s="1"/>
  <c r="AL152" i="4" s="1"/>
  <c r="AH137" i="4"/>
  <c r="AK137" i="4" s="1"/>
  <c r="AL137" i="4" s="1"/>
  <c r="AH115" i="4"/>
  <c r="AA115" i="4"/>
  <c r="AA114" i="4"/>
  <c r="AH114" i="4"/>
  <c r="AK114" i="4" s="1"/>
  <c r="AL114" i="4" s="1"/>
  <c r="AH128" i="4"/>
  <c r="AA128" i="4"/>
  <c r="AA129" i="4"/>
  <c r="AH129" i="4"/>
  <c r="AK129" i="4" s="1"/>
  <c r="AL129" i="4" s="1"/>
  <c r="AH133" i="4"/>
  <c r="AK133" i="4" s="1"/>
  <c r="AL133" i="4" s="1"/>
  <c r="AH153" i="4"/>
  <c r="AE152" i="4"/>
  <c r="AD152" i="4"/>
  <c r="AH120" i="4"/>
  <c r="AK120" i="4" s="1"/>
  <c r="AL120" i="4" s="1"/>
  <c r="AH132" i="4"/>
  <c r="AE133" i="4"/>
  <c r="AH124" i="4"/>
  <c r="Y135" i="4"/>
  <c r="Z134" i="4"/>
  <c r="Z122" i="4"/>
  <c r="Y123" i="4"/>
  <c r="Z161" i="4"/>
  <c r="Y160" i="4"/>
  <c r="Z139" i="4"/>
  <c r="Y138" i="4"/>
  <c r="AA130" i="4"/>
  <c r="AA136" i="4"/>
  <c r="AA132" i="4"/>
  <c r="AA121" i="4"/>
  <c r="AA125" i="4"/>
  <c r="AK153" i="4" l="1"/>
  <c r="AL153" i="4" s="1"/>
  <c r="AK124" i="4"/>
  <c r="AL124" i="4" s="1"/>
  <c r="AE153" i="4"/>
  <c r="AD153" i="4"/>
  <c r="AK116" i="4"/>
  <c r="AL116" i="4" s="1"/>
  <c r="AK117" i="4"/>
  <c r="AL117" i="4" s="1"/>
  <c r="AD127" i="4"/>
  <c r="AE127" i="4"/>
  <c r="Z159" i="4"/>
  <c r="Y158" i="4"/>
  <c r="AE126" i="4"/>
  <c r="AD126" i="4"/>
  <c r="Z160" i="4"/>
  <c r="Y161" i="4"/>
  <c r="AE117" i="4"/>
  <c r="AD117" i="4"/>
  <c r="AD116" i="4"/>
  <c r="AE116" i="4"/>
  <c r="Y156" i="4"/>
  <c r="Z157" i="4"/>
  <c r="Z154" i="4"/>
  <c r="Y155" i="4"/>
  <c r="Y167" i="4"/>
  <c r="Z166" i="4"/>
  <c r="Z150" i="4"/>
  <c r="Y151" i="4"/>
  <c r="AE115" i="4"/>
  <c r="AD115" i="4"/>
  <c r="AD114" i="4"/>
  <c r="AE114" i="4"/>
  <c r="Z158" i="4"/>
  <c r="Y159" i="4"/>
  <c r="AE128" i="4"/>
  <c r="AD128" i="4"/>
  <c r="AD129" i="4"/>
  <c r="AE129" i="4"/>
  <c r="Z140" i="4"/>
  <c r="Y141" i="4"/>
  <c r="Y144" i="4"/>
  <c r="Z145" i="4"/>
  <c r="Y186" i="4"/>
  <c r="Z187" i="4"/>
  <c r="Y149" i="4"/>
  <c r="Z148" i="4"/>
  <c r="Y183" i="4"/>
  <c r="Z182" i="4"/>
  <c r="AA135" i="4"/>
  <c r="AH135" i="4"/>
  <c r="AK135" i="4" s="1"/>
  <c r="AL135" i="4" s="1"/>
  <c r="AA123" i="4"/>
  <c r="AH123" i="4"/>
  <c r="AA138" i="4"/>
  <c r="AH138" i="4"/>
  <c r="AK138" i="4" s="1"/>
  <c r="AL138" i="4" s="1"/>
  <c r="AD130" i="4"/>
  <c r="AE130" i="4"/>
  <c r="AD136" i="4"/>
  <c r="AE136" i="4"/>
  <c r="AD132" i="4"/>
  <c r="AE132" i="4"/>
  <c r="AD121" i="4"/>
  <c r="AE121" i="4"/>
  <c r="AD125" i="4"/>
  <c r="AE125" i="4"/>
  <c r="AK126" i="4"/>
  <c r="AL126" i="4" s="1"/>
  <c r="AK136" i="4"/>
  <c r="AL136" i="4" s="1"/>
  <c r="AK121" i="4"/>
  <c r="AL121" i="4" s="1"/>
  <c r="AK125" i="4"/>
  <c r="AL125" i="4" s="1"/>
  <c r="AK130" i="4"/>
  <c r="AL130" i="4" s="1"/>
  <c r="AK115" i="4"/>
  <c r="AL115" i="4" s="1"/>
  <c r="AK128" i="4"/>
  <c r="AL128" i="4" s="1"/>
  <c r="AK132" i="4"/>
  <c r="AL132" i="4" s="1"/>
  <c r="AA134" i="4"/>
  <c r="AH134" i="4"/>
  <c r="AK134" i="4" s="1"/>
  <c r="AL134" i="4" s="1"/>
  <c r="AA122" i="4"/>
  <c r="AH122" i="4"/>
  <c r="AK122" i="4" s="1"/>
  <c r="AL122" i="4" s="1"/>
  <c r="AA139" i="4"/>
  <c r="AH139" i="4"/>
  <c r="AK139" i="4" l="1"/>
  <c r="AL139" i="4" s="1"/>
  <c r="AH158" i="4"/>
  <c r="AA161" i="4"/>
  <c r="AH161" i="4"/>
  <c r="AK161" i="4" s="1"/>
  <c r="AL161" i="4" s="1"/>
  <c r="AH159" i="4"/>
  <c r="AA144" i="4"/>
  <c r="AH144" i="4"/>
  <c r="AH145" i="4"/>
  <c r="AA145" i="4"/>
  <c r="AD135" i="4"/>
  <c r="AE135" i="4"/>
  <c r="Z162" i="4"/>
  <c r="Y163" i="4"/>
  <c r="AD123" i="4"/>
  <c r="AE123" i="4"/>
  <c r="AD138" i="4"/>
  <c r="AE138" i="4"/>
  <c r="Z173" i="4"/>
  <c r="Y172" i="4"/>
  <c r="Z146" i="4"/>
  <c r="Y147" i="4"/>
  <c r="Y174" i="4"/>
  <c r="Z175" i="4"/>
  <c r="Y150" i="4"/>
  <c r="Z151" i="4"/>
  <c r="Z143" i="4"/>
  <c r="Y142" i="4"/>
  <c r="Z172" i="4"/>
  <c r="AA172" i="4" s="1"/>
  <c r="Y173" i="4"/>
  <c r="Y143" i="4"/>
  <c r="Z142" i="4"/>
  <c r="Y154" i="4"/>
  <c r="Z155" i="4"/>
  <c r="Y148" i="4"/>
  <c r="Z149" i="4"/>
  <c r="AD134" i="4"/>
  <c r="AE134" i="4"/>
  <c r="Y157" i="4"/>
  <c r="Z156" i="4"/>
  <c r="AD122" i="4"/>
  <c r="AE122" i="4"/>
  <c r="Z141" i="4"/>
  <c r="Y140" i="4"/>
  <c r="AD139" i="4"/>
  <c r="AE139" i="4"/>
  <c r="Z183" i="4"/>
  <c r="Y182" i="4"/>
  <c r="AA159" i="4"/>
  <c r="AA158" i="4"/>
  <c r="AK123" i="4"/>
  <c r="AL123" i="4" s="1"/>
  <c r="AA160" i="4"/>
  <c r="AH160" i="4"/>
  <c r="AK160" i="4" s="1"/>
  <c r="AL160" i="4" s="1"/>
  <c r="AK144" i="4" l="1"/>
  <c r="AL144" i="4" s="1"/>
  <c r="AA141" i="4"/>
  <c r="AH141" i="4"/>
  <c r="AD161" i="4"/>
  <c r="AE161" i="4"/>
  <c r="Z170" i="4"/>
  <c r="Y171" i="4"/>
  <c r="AD144" i="4"/>
  <c r="AE144" i="4"/>
  <c r="Z190" i="4"/>
  <c r="Y191" i="4"/>
  <c r="AE145" i="4"/>
  <c r="AD145" i="4"/>
  <c r="AH162" i="4"/>
  <c r="AA162" i="4"/>
  <c r="AA163" i="4"/>
  <c r="AH163" i="4"/>
  <c r="AK163" i="4" s="1"/>
  <c r="AL163" i="4" s="1"/>
  <c r="AH172" i="4"/>
  <c r="AK172" i="4" s="1"/>
  <c r="AL172" i="4" s="1"/>
  <c r="AH146" i="4"/>
  <c r="AA146" i="4"/>
  <c r="AA147" i="4"/>
  <c r="AH147" i="4"/>
  <c r="AA150" i="4"/>
  <c r="AH150" i="4"/>
  <c r="AK150" i="4" s="1"/>
  <c r="AL150" i="4" s="1"/>
  <c r="AH142" i="4"/>
  <c r="AE172" i="4"/>
  <c r="AD172" i="4"/>
  <c r="AH173" i="4"/>
  <c r="AH143" i="4"/>
  <c r="AA154" i="4"/>
  <c r="AH154" i="4"/>
  <c r="AA148" i="4"/>
  <c r="AH148" i="4"/>
  <c r="AK148" i="4" s="1"/>
  <c r="AL148" i="4" s="1"/>
  <c r="AA157" i="4"/>
  <c r="AH157" i="4"/>
  <c r="AK157" i="4" s="1"/>
  <c r="AL157" i="4" s="1"/>
  <c r="AE141" i="4"/>
  <c r="AD141" i="4"/>
  <c r="AA140" i="4"/>
  <c r="AH140" i="4"/>
  <c r="AA182" i="4"/>
  <c r="AH182" i="4"/>
  <c r="AK182" i="4" s="1"/>
  <c r="AL182" i="4" s="1"/>
  <c r="AD159" i="4"/>
  <c r="AE159" i="4"/>
  <c r="AD158" i="4"/>
  <c r="AE158" i="4"/>
  <c r="Z181" i="4"/>
  <c r="Y180" i="4"/>
  <c r="AD160" i="4"/>
  <c r="AE160" i="4"/>
  <c r="Y164" i="4"/>
  <c r="Z165" i="4"/>
  <c r="AK158" i="4"/>
  <c r="AL158" i="4" s="1"/>
  <c r="AK159" i="4"/>
  <c r="AL159" i="4" s="1"/>
  <c r="AK141" i="4"/>
  <c r="AL141" i="4" s="1"/>
  <c r="AK145" i="4"/>
  <c r="AL145" i="4" s="1"/>
  <c r="AA173" i="4"/>
  <c r="AA143" i="4"/>
  <c r="AA142" i="4"/>
  <c r="AA151" i="4"/>
  <c r="AH151" i="4"/>
  <c r="AK151" i="4" s="1"/>
  <c r="AL151" i="4" s="1"/>
  <c r="AA155" i="4"/>
  <c r="AH155" i="4"/>
  <c r="AK155" i="4" s="1"/>
  <c r="AL155" i="4" s="1"/>
  <c r="AA149" i="4"/>
  <c r="AH149" i="4"/>
  <c r="AK149" i="4" s="1"/>
  <c r="AL149" i="4" s="1"/>
  <c r="AA156" i="4"/>
  <c r="AH156" i="4"/>
  <c r="AA183" i="4"/>
  <c r="AH183" i="4"/>
  <c r="AK183" i="4" s="1"/>
  <c r="AL183" i="4" s="1"/>
  <c r="AK162" i="4" l="1"/>
  <c r="AL162" i="4" s="1"/>
  <c r="AK154" i="4"/>
  <c r="AL154" i="4" s="1"/>
  <c r="AK147" i="4"/>
  <c r="AL147" i="4" s="1"/>
  <c r="AK140" i="4"/>
  <c r="AL140" i="4" s="1"/>
  <c r="AK142" i="4"/>
  <c r="AL142" i="4" s="1"/>
  <c r="AK173" i="4"/>
  <c r="AL173" i="4" s="1"/>
  <c r="AK156" i="4"/>
  <c r="AL156" i="4" s="1"/>
  <c r="Z171" i="4"/>
  <c r="Y170" i="4"/>
  <c r="AE162" i="4"/>
  <c r="AD162" i="4"/>
  <c r="AD163" i="4"/>
  <c r="AE163" i="4"/>
  <c r="Z191" i="4"/>
  <c r="Y190" i="4"/>
  <c r="Y192" i="4"/>
  <c r="Z193" i="4"/>
  <c r="AE146" i="4"/>
  <c r="AD146" i="4"/>
  <c r="AD147" i="4"/>
  <c r="AE147" i="4"/>
  <c r="Z186" i="4"/>
  <c r="Y187" i="4"/>
  <c r="AD150" i="4"/>
  <c r="AE150" i="4"/>
  <c r="Y184" i="4"/>
  <c r="Z185" i="4"/>
  <c r="Y181" i="4"/>
  <c r="Z180" i="4"/>
  <c r="Y206" i="4"/>
  <c r="Z207" i="4"/>
  <c r="AD154" i="4"/>
  <c r="AE154" i="4"/>
  <c r="Z188" i="4"/>
  <c r="Y189" i="4"/>
  <c r="AD148" i="4"/>
  <c r="AE148" i="4"/>
  <c r="Z189" i="4"/>
  <c r="AA189" i="4" s="1"/>
  <c r="Y188" i="4"/>
  <c r="AD157" i="4"/>
  <c r="AE157" i="4"/>
  <c r="Z214" i="4"/>
  <c r="Y215" i="4"/>
  <c r="AD140" i="4"/>
  <c r="AE140" i="4"/>
  <c r="Y185" i="4"/>
  <c r="Z184" i="4"/>
  <c r="AD182" i="4"/>
  <c r="AE182" i="4"/>
  <c r="Z199" i="4"/>
  <c r="Y198" i="4"/>
  <c r="Z177" i="4"/>
  <c r="Y176" i="4"/>
  <c r="Z179" i="4"/>
  <c r="AA179" i="4" s="1"/>
  <c r="Y178" i="4"/>
  <c r="Y165" i="4"/>
  <c r="Z164" i="4"/>
  <c r="Y166" i="4"/>
  <c r="Z167" i="4"/>
  <c r="AD173" i="4"/>
  <c r="AE173" i="4"/>
  <c r="AD143" i="4"/>
  <c r="AE143" i="4"/>
  <c r="AD142" i="4"/>
  <c r="AE142" i="4"/>
  <c r="AD151" i="4"/>
  <c r="AE151" i="4"/>
  <c r="Y179" i="4"/>
  <c r="Z178" i="4"/>
  <c r="AD155" i="4"/>
  <c r="AE155" i="4"/>
  <c r="Y169" i="4"/>
  <c r="Z168" i="4"/>
  <c r="AD149" i="4"/>
  <c r="AE149" i="4"/>
  <c r="Z176" i="4"/>
  <c r="Y177" i="4"/>
  <c r="AD156" i="4"/>
  <c r="AE156" i="4"/>
  <c r="Z209" i="4"/>
  <c r="Y208" i="4"/>
  <c r="AD183" i="4"/>
  <c r="AE183" i="4"/>
  <c r="Y201" i="4"/>
  <c r="Z200" i="4"/>
  <c r="AK146" i="4"/>
  <c r="AL146" i="4" s="1"/>
  <c r="AK143" i="4"/>
  <c r="AL143" i="4" s="1"/>
  <c r="AA184" i="4" l="1"/>
  <c r="AA177" i="4"/>
  <c r="AA170" i="4"/>
  <c r="AH170" i="4"/>
  <c r="AK170" i="4" s="1"/>
  <c r="AL170" i="4" s="1"/>
  <c r="AA190" i="4"/>
  <c r="AH190" i="4"/>
  <c r="AK190" i="4" s="1"/>
  <c r="AL190" i="4" s="1"/>
  <c r="AH186" i="4"/>
  <c r="AA186" i="4"/>
  <c r="AA187" i="4"/>
  <c r="AH187" i="4"/>
  <c r="AK187" i="4" s="1"/>
  <c r="AL187" i="4" s="1"/>
  <c r="AH184" i="4"/>
  <c r="AK184" i="4" s="1"/>
  <c r="AL184" i="4" s="1"/>
  <c r="AA181" i="4"/>
  <c r="AH181" i="4"/>
  <c r="AK181" i="4" s="1"/>
  <c r="AL181" i="4" s="1"/>
  <c r="AH189" i="4"/>
  <c r="AK189" i="4" s="1"/>
  <c r="AL189" i="4" s="1"/>
  <c r="AE189" i="4"/>
  <c r="AD189" i="4"/>
  <c r="AH188" i="4"/>
  <c r="AH185" i="4"/>
  <c r="AE184" i="4"/>
  <c r="AD184" i="4"/>
  <c r="AE177" i="4"/>
  <c r="AD177" i="4"/>
  <c r="AH176" i="4"/>
  <c r="AE179" i="4"/>
  <c r="AD179" i="4"/>
  <c r="AH178" i="4"/>
  <c r="AA165" i="4"/>
  <c r="AH165" i="4"/>
  <c r="AK165" i="4" s="1"/>
  <c r="AL165" i="4" s="1"/>
  <c r="AA166" i="4"/>
  <c r="AH166" i="4"/>
  <c r="AH167" i="4"/>
  <c r="AA167" i="4"/>
  <c r="AH179" i="4"/>
  <c r="AK179" i="4" s="1"/>
  <c r="AL179" i="4" s="1"/>
  <c r="AH177" i="4"/>
  <c r="AK177" i="4" s="1"/>
  <c r="AL177" i="4" s="1"/>
  <c r="Z174" i="4"/>
  <c r="Y175" i="4"/>
  <c r="Y168" i="4"/>
  <c r="Z169" i="4"/>
  <c r="AA185" i="4"/>
  <c r="AA188" i="4"/>
  <c r="AA178" i="4"/>
  <c r="AA176" i="4"/>
  <c r="AA171" i="4"/>
  <c r="AH171" i="4"/>
  <c r="AK171" i="4" s="1"/>
  <c r="AL171" i="4" s="1"/>
  <c r="AA191" i="4"/>
  <c r="AH191" i="4"/>
  <c r="AK191" i="4" s="1"/>
  <c r="AL191" i="4" s="1"/>
  <c r="AA180" i="4"/>
  <c r="AH180" i="4"/>
  <c r="AK180" i="4" s="1"/>
  <c r="AL180" i="4" s="1"/>
  <c r="AA164" i="4"/>
  <c r="AH164" i="4"/>
  <c r="AK164" i="4" s="1"/>
  <c r="AL164" i="4" s="1"/>
  <c r="AK166" i="4" l="1"/>
  <c r="AL166" i="4" s="1"/>
  <c r="AK186" i="4"/>
  <c r="AL186" i="4" s="1"/>
  <c r="AK176" i="4"/>
  <c r="AL176" i="4" s="1"/>
  <c r="AD170" i="4"/>
  <c r="AE170" i="4"/>
  <c r="Y211" i="4"/>
  <c r="Z210" i="4"/>
  <c r="AD190" i="4"/>
  <c r="AE190" i="4"/>
  <c r="Z236" i="4"/>
  <c r="Y237" i="4"/>
  <c r="Y197" i="4"/>
  <c r="Z196" i="4"/>
  <c r="AE186" i="4"/>
  <c r="AD186" i="4"/>
  <c r="AD187" i="4"/>
  <c r="AE187" i="4"/>
  <c r="Y209" i="4"/>
  <c r="Z208" i="4"/>
  <c r="Z215" i="4"/>
  <c r="Y214" i="4"/>
  <c r="AD181" i="4"/>
  <c r="AE181" i="4"/>
  <c r="Z242" i="4"/>
  <c r="Y243" i="4"/>
  <c r="Y204" i="4"/>
  <c r="Z205" i="4"/>
  <c r="Z194" i="4"/>
  <c r="Y195" i="4"/>
  <c r="AD165" i="4"/>
  <c r="AE165" i="4"/>
  <c r="Y193" i="4"/>
  <c r="Z192" i="4"/>
  <c r="AD166" i="4"/>
  <c r="AE166" i="4"/>
  <c r="Y199" i="4"/>
  <c r="Z198" i="4"/>
  <c r="AE167" i="4"/>
  <c r="AD167" i="4"/>
  <c r="Y203" i="4"/>
  <c r="Z202" i="4"/>
  <c r="Y242" i="4"/>
  <c r="Z243" i="4"/>
  <c r="AA243" i="4" s="1"/>
  <c r="AH174" i="4"/>
  <c r="AA174" i="4"/>
  <c r="AA175" i="4"/>
  <c r="AH175" i="4"/>
  <c r="AK175" i="4" s="1"/>
  <c r="AL175" i="4" s="1"/>
  <c r="AA168" i="4"/>
  <c r="AH168" i="4"/>
  <c r="AK168" i="4" s="1"/>
  <c r="AL168" i="4" s="1"/>
  <c r="AD185" i="4"/>
  <c r="AE185" i="4"/>
  <c r="AD188" i="4"/>
  <c r="AE188" i="4"/>
  <c r="AD178" i="4"/>
  <c r="AE178" i="4"/>
  <c r="AD176" i="4"/>
  <c r="AE176" i="4"/>
  <c r="AD171" i="4"/>
  <c r="AE171" i="4"/>
  <c r="Z204" i="4"/>
  <c r="Y205" i="4"/>
  <c r="AD191" i="4"/>
  <c r="AE191" i="4"/>
  <c r="Z239" i="4"/>
  <c r="Y238" i="4"/>
  <c r="AD180" i="4"/>
  <c r="AE180" i="4"/>
  <c r="Z206" i="4"/>
  <c r="Y207" i="4"/>
  <c r="AD164" i="4"/>
  <c r="AE164" i="4"/>
  <c r="Z211" i="4"/>
  <c r="AA211" i="4" s="1"/>
  <c r="Y210" i="4"/>
  <c r="AK185" i="4"/>
  <c r="AL185" i="4" s="1"/>
  <c r="AK178" i="4"/>
  <c r="AL178" i="4" s="1"/>
  <c r="AK167" i="4"/>
  <c r="AL167" i="4" s="1"/>
  <c r="AK188" i="4"/>
  <c r="AL188" i="4" s="1"/>
  <c r="AA169" i="4"/>
  <c r="AH169" i="4"/>
  <c r="AA205" i="4" l="1"/>
  <c r="AK169" i="4"/>
  <c r="AL169" i="4" s="1"/>
  <c r="AH211" i="4"/>
  <c r="AK211" i="4" s="1"/>
  <c r="AL211" i="4" s="1"/>
  <c r="AA209" i="4"/>
  <c r="AH209" i="4"/>
  <c r="AK209" i="4" s="1"/>
  <c r="AL209" i="4" s="1"/>
  <c r="AH208" i="4"/>
  <c r="AA208" i="4"/>
  <c r="AH215" i="4"/>
  <c r="AA215" i="4"/>
  <c r="AA214" i="4"/>
  <c r="AH214" i="4"/>
  <c r="AH243" i="4"/>
  <c r="AK243" i="4" s="1"/>
  <c r="AL243" i="4" s="1"/>
  <c r="AH204" i="4"/>
  <c r="AE205" i="4"/>
  <c r="AD205" i="4"/>
  <c r="AA193" i="4"/>
  <c r="AH193" i="4"/>
  <c r="AK193" i="4" s="1"/>
  <c r="AL193" i="4" s="1"/>
  <c r="AH192" i="4"/>
  <c r="AA192" i="4"/>
  <c r="AA199" i="4"/>
  <c r="AH199" i="4"/>
  <c r="AK199" i="4" s="1"/>
  <c r="AL199" i="4" s="1"/>
  <c r="AH198" i="4"/>
  <c r="AA198" i="4"/>
  <c r="AH242" i="4"/>
  <c r="AE243" i="4"/>
  <c r="AD243" i="4"/>
  <c r="AE174" i="4"/>
  <c r="AD174" i="4"/>
  <c r="AD175" i="4"/>
  <c r="AE175" i="4"/>
  <c r="Y196" i="4"/>
  <c r="Z197" i="4"/>
  <c r="AD168" i="4"/>
  <c r="AE168" i="4"/>
  <c r="Z195" i="4"/>
  <c r="Y194" i="4"/>
  <c r="AH205" i="4"/>
  <c r="AK205" i="4" s="1"/>
  <c r="AL205" i="4" s="1"/>
  <c r="AH206" i="4"/>
  <c r="AA206" i="4"/>
  <c r="AA207" i="4"/>
  <c r="AH207" i="4"/>
  <c r="AK207" i="4" s="1"/>
  <c r="AL207" i="4" s="1"/>
  <c r="AE211" i="4"/>
  <c r="AD211" i="4"/>
  <c r="AH210" i="4"/>
  <c r="Y225" i="4"/>
  <c r="Z224" i="4"/>
  <c r="Y213" i="4"/>
  <c r="Z212" i="4"/>
  <c r="Y202" i="4"/>
  <c r="Z203" i="4"/>
  <c r="Z227" i="4"/>
  <c r="Y226" i="4"/>
  <c r="AD169" i="4"/>
  <c r="AE169" i="4"/>
  <c r="AK174" i="4"/>
  <c r="AL174" i="4" s="1"/>
  <c r="AA204" i="4"/>
  <c r="AA242" i="4"/>
  <c r="AA210" i="4"/>
  <c r="AK208" i="4" l="1"/>
  <c r="AL208" i="4" s="1"/>
  <c r="AK214" i="4"/>
  <c r="AL214" i="4" s="1"/>
  <c r="AK206" i="4"/>
  <c r="AL206" i="4" s="1"/>
  <c r="Y212" i="4"/>
  <c r="Z213" i="4"/>
  <c r="Z217" i="4"/>
  <c r="Y216" i="4"/>
  <c r="AD209" i="4"/>
  <c r="AE209" i="4"/>
  <c r="Z231" i="4"/>
  <c r="Y230" i="4"/>
  <c r="Z237" i="4"/>
  <c r="Y236" i="4"/>
  <c r="AE208" i="4"/>
  <c r="AD208" i="4"/>
  <c r="AE215" i="4"/>
  <c r="AD215" i="4"/>
  <c r="AD214" i="4"/>
  <c r="AE214" i="4"/>
  <c r="Z270" i="4"/>
  <c r="Y271" i="4"/>
  <c r="Y263" i="4"/>
  <c r="Z262" i="4"/>
  <c r="AD193" i="4"/>
  <c r="AE193" i="4"/>
  <c r="Z216" i="4"/>
  <c r="Y217" i="4"/>
  <c r="AE192" i="4"/>
  <c r="AD192" i="4"/>
  <c r="AD199" i="4"/>
  <c r="AE199" i="4"/>
  <c r="Y235" i="4"/>
  <c r="Z234" i="4"/>
  <c r="AE198" i="4"/>
  <c r="AD198" i="4"/>
  <c r="AA196" i="4"/>
  <c r="AH196" i="4"/>
  <c r="AK196" i="4" s="1"/>
  <c r="AL196" i="4" s="1"/>
  <c r="AA194" i="4"/>
  <c r="AH194" i="4"/>
  <c r="AK194" i="4" s="1"/>
  <c r="AL194" i="4" s="1"/>
  <c r="Z221" i="4"/>
  <c r="Y220" i="4"/>
  <c r="Y233" i="4"/>
  <c r="Z232" i="4"/>
  <c r="AE206" i="4"/>
  <c r="AD206" i="4"/>
  <c r="AE207" i="4"/>
  <c r="AD207" i="4"/>
  <c r="Y227" i="4"/>
  <c r="Z226" i="4"/>
  <c r="AA202" i="4"/>
  <c r="AH202" i="4"/>
  <c r="AK202" i="4" s="1"/>
  <c r="AL202" i="4" s="1"/>
  <c r="Y200" i="4"/>
  <c r="Z201" i="4"/>
  <c r="AD204" i="4"/>
  <c r="AE204" i="4"/>
  <c r="AD242" i="4"/>
  <c r="AE242" i="4"/>
  <c r="AD210" i="4"/>
  <c r="AE210" i="4"/>
  <c r="AK204" i="4"/>
  <c r="AL204" i="4" s="1"/>
  <c r="AK192" i="4"/>
  <c r="AL192" i="4" s="1"/>
  <c r="AK215" i="4"/>
  <c r="AL215" i="4" s="1"/>
  <c r="AK198" i="4"/>
  <c r="AL198" i="4" s="1"/>
  <c r="AK242" i="4"/>
  <c r="AL242" i="4" s="1"/>
  <c r="AK210" i="4"/>
  <c r="AL210" i="4" s="1"/>
  <c r="AA197" i="4"/>
  <c r="AH197" i="4"/>
  <c r="AK197" i="4" s="1"/>
  <c r="AL197" i="4" s="1"/>
  <c r="AA195" i="4"/>
  <c r="AH195" i="4"/>
  <c r="AK195" i="4" s="1"/>
  <c r="AL195" i="4" s="1"/>
  <c r="AA203" i="4"/>
  <c r="AH203" i="4"/>
  <c r="AK203" i="4" s="1"/>
  <c r="AL203" i="4" s="1"/>
  <c r="AA213" i="4" l="1"/>
  <c r="AH213" i="4"/>
  <c r="AK213" i="4" s="1"/>
  <c r="AL213" i="4" s="1"/>
  <c r="AA216" i="4"/>
  <c r="AH212" i="4"/>
  <c r="AA212" i="4"/>
  <c r="AE213" i="4"/>
  <c r="AD213" i="4"/>
  <c r="AH216" i="4"/>
  <c r="AK216" i="4" s="1"/>
  <c r="AL216" i="4" s="1"/>
  <c r="AH237" i="4"/>
  <c r="AA237" i="4"/>
  <c r="AA236" i="4"/>
  <c r="AH236" i="4"/>
  <c r="AK236" i="4" s="1"/>
  <c r="AL236" i="4" s="1"/>
  <c r="AE216" i="4"/>
  <c r="AD216" i="4"/>
  <c r="AH217" i="4"/>
  <c r="AD196" i="4"/>
  <c r="AE196" i="4"/>
  <c r="Z241" i="4"/>
  <c r="Y240" i="4"/>
  <c r="AD194" i="4"/>
  <c r="AE194" i="4"/>
  <c r="Y219" i="4"/>
  <c r="Z218" i="4"/>
  <c r="AA227" i="4"/>
  <c r="AH227" i="4"/>
  <c r="AK227" i="4" s="1"/>
  <c r="AL227" i="4" s="1"/>
  <c r="Y221" i="4"/>
  <c r="Z220" i="4"/>
  <c r="AD202" i="4"/>
  <c r="AE202" i="4"/>
  <c r="Y241" i="4"/>
  <c r="Z240" i="4"/>
  <c r="AA240" i="4" s="1"/>
  <c r="AA200" i="4"/>
  <c r="AH200" i="4"/>
  <c r="AK200" i="4" s="1"/>
  <c r="AL200" i="4" s="1"/>
  <c r="AH201" i="4"/>
  <c r="AA201" i="4"/>
  <c r="Y228" i="4"/>
  <c r="Z229" i="4"/>
  <c r="Y234" i="4"/>
  <c r="Z235" i="4"/>
  <c r="Y239" i="4"/>
  <c r="Z238" i="4"/>
  <c r="Y218" i="4"/>
  <c r="Z219" i="4"/>
  <c r="AA219" i="4" s="1"/>
  <c r="Y246" i="4"/>
  <c r="Z247" i="4"/>
  <c r="Z228" i="4"/>
  <c r="AA228" i="4" s="1"/>
  <c r="Y229" i="4"/>
  <c r="AD212" i="4"/>
  <c r="AE212" i="4"/>
  <c r="AD197" i="4"/>
  <c r="AE197" i="4"/>
  <c r="Y223" i="4"/>
  <c r="Z222" i="4"/>
  <c r="AD195" i="4"/>
  <c r="AE195" i="4"/>
  <c r="Y269" i="4"/>
  <c r="Z268" i="4"/>
  <c r="AD203" i="4"/>
  <c r="AE203" i="4"/>
  <c r="Z233" i="4"/>
  <c r="Y232" i="4"/>
  <c r="AA217" i="4"/>
  <c r="AA226" i="4"/>
  <c r="AH226" i="4"/>
  <c r="AK226" i="4" s="1"/>
  <c r="AL226" i="4" s="1"/>
  <c r="AK201" i="4" l="1"/>
  <c r="AL201" i="4" s="1"/>
  <c r="AK212" i="4"/>
  <c r="AL212" i="4" s="1"/>
  <c r="AA241" i="4"/>
  <c r="Z259" i="4"/>
  <c r="Y258" i="4"/>
  <c r="AE237" i="4"/>
  <c r="AD237" i="4"/>
  <c r="AD236" i="4"/>
  <c r="AE236" i="4"/>
  <c r="Z271" i="4"/>
  <c r="Y270" i="4"/>
  <c r="AE241" i="4"/>
  <c r="AD241" i="4"/>
  <c r="AH240" i="4"/>
  <c r="AK240" i="4" s="1"/>
  <c r="AL240" i="4" s="1"/>
  <c r="AH219" i="4"/>
  <c r="AK219" i="4" s="1"/>
  <c r="AL219" i="4" s="1"/>
  <c r="AD227" i="4"/>
  <c r="AE227" i="4"/>
  <c r="Y247" i="4"/>
  <c r="Z246" i="4"/>
  <c r="AA221" i="4"/>
  <c r="AH221" i="4"/>
  <c r="AK221" i="4" s="1"/>
  <c r="AL221" i="4" s="1"/>
  <c r="AH241" i="4"/>
  <c r="AK241" i="4" s="1"/>
  <c r="AL241" i="4" s="1"/>
  <c r="AE240" i="4"/>
  <c r="AD240" i="4"/>
  <c r="AD200" i="4"/>
  <c r="AE200" i="4"/>
  <c r="Z223" i="4"/>
  <c r="Y222" i="4"/>
  <c r="Z225" i="4"/>
  <c r="Y224" i="4"/>
  <c r="AE201" i="4"/>
  <c r="AD201" i="4"/>
  <c r="AH228" i="4"/>
  <c r="AK228" i="4" s="1"/>
  <c r="AL228" i="4" s="1"/>
  <c r="AA234" i="4"/>
  <c r="AH234" i="4"/>
  <c r="AA239" i="4"/>
  <c r="AH239" i="4"/>
  <c r="AK239" i="4" s="1"/>
  <c r="AL239" i="4" s="1"/>
  <c r="AH238" i="4"/>
  <c r="AA238" i="4"/>
  <c r="AH218" i="4"/>
  <c r="AE219" i="4"/>
  <c r="AD219" i="4"/>
  <c r="AE228" i="4"/>
  <c r="AD228" i="4"/>
  <c r="AH229" i="4"/>
  <c r="AA232" i="4"/>
  <c r="AH232" i="4"/>
  <c r="AK232" i="4" s="1"/>
  <c r="AL232" i="4" s="1"/>
  <c r="AD217" i="4"/>
  <c r="AE217" i="4"/>
  <c r="AD226" i="4"/>
  <c r="AE226" i="4"/>
  <c r="Z257" i="4"/>
  <c r="Y256" i="4"/>
  <c r="AK217" i="4"/>
  <c r="AL217" i="4" s="1"/>
  <c r="AA218" i="4"/>
  <c r="AA229" i="4"/>
  <c r="AK237" i="4"/>
  <c r="AL237" i="4" s="1"/>
  <c r="AA220" i="4"/>
  <c r="AH220" i="4"/>
  <c r="AK220" i="4" s="1"/>
  <c r="AL220" i="4" s="1"/>
  <c r="AA235" i="4"/>
  <c r="AH235" i="4"/>
  <c r="AA233" i="4"/>
  <c r="AH233" i="4"/>
  <c r="AK233" i="4" s="1"/>
  <c r="AL233" i="4" s="1"/>
  <c r="AK234" i="4" l="1"/>
  <c r="AL234" i="4" s="1"/>
  <c r="Z230" i="4"/>
  <c r="Y231" i="4"/>
  <c r="AK238" i="4"/>
  <c r="AL238" i="4" s="1"/>
  <c r="AK235" i="4"/>
  <c r="AL235" i="4" s="1"/>
  <c r="AH271" i="4"/>
  <c r="AA271" i="4"/>
  <c r="AA270" i="4"/>
  <c r="AH270" i="4"/>
  <c r="AK270" i="4" s="1"/>
  <c r="AL270" i="4" s="1"/>
  <c r="Z265" i="4"/>
  <c r="Y264" i="4"/>
  <c r="Y245" i="4"/>
  <c r="Z244" i="4"/>
  <c r="AA247" i="4"/>
  <c r="AH247" i="4"/>
  <c r="AK247" i="4" s="1"/>
  <c r="AL247" i="4" s="1"/>
  <c r="AD221" i="4"/>
  <c r="AE221" i="4"/>
  <c r="Y294" i="4"/>
  <c r="Z295" i="4"/>
  <c r="Z261" i="4"/>
  <c r="Y260" i="4"/>
  <c r="AA222" i="4"/>
  <c r="AH222" i="4"/>
  <c r="AK222" i="4" s="1"/>
  <c r="AL222" i="4" s="1"/>
  <c r="AH225" i="4"/>
  <c r="AA225" i="4"/>
  <c r="AA224" i="4"/>
  <c r="AH224" i="4"/>
  <c r="AK224" i="4" s="1"/>
  <c r="AL224" i="4" s="1"/>
  <c r="Y268" i="4"/>
  <c r="Z269" i="4"/>
  <c r="AD234" i="4"/>
  <c r="AE234" i="4"/>
  <c r="Y255" i="4"/>
  <c r="Z254" i="4"/>
  <c r="AD239" i="4"/>
  <c r="AE239" i="4"/>
  <c r="Z251" i="4"/>
  <c r="Y250" i="4"/>
  <c r="Y266" i="4"/>
  <c r="Z267" i="4"/>
  <c r="AE238" i="4"/>
  <c r="AD238" i="4"/>
  <c r="AD232" i="4"/>
  <c r="AE232" i="4"/>
  <c r="Z286" i="4"/>
  <c r="Y287" i="4"/>
  <c r="Y244" i="4"/>
  <c r="Z245" i="4"/>
  <c r="AA245" i="4" s="1"/>
  <c r="AD218" i="4"/>
  <c r="AE218" i="4"/>
  <c r="AD229" i="4"/>
  <c r="AE229" i="4"/>
  <c r="Y262" i="4"/>
  <c r="Z263" i="4"/>
  <c r="AD220" i="4"/>
  <c r="AE220" i="4"/>
  <c r="Z249" i="4"/>
  <c r="Y248" i="4"/>
  <c r="AD235" i="4"/>
  <c r="AE235" i="4"/>
  <c r="Y265" i="4"/>
  <c r="Z264" i="4"/>
  <c r="AA264" i="4" s="1"/>
  <c r="AD233" i="4"/>
  <c r="AE233" i="4"/>
  <c r="Y253" i="4"/>
  <c r="Z252" i="4"/>
  <c r="AK229" i="4"/>
  <c r="AL229" i="4" s="1"/>
  <c r="AK218" i="4"/>
  <c r="AL218" i="4" s="1"/>
  <c r="AA246" i="4"/>
  <c r="AH246" i="4"/>
  <c r="AK246" i="4" s="1"/>
  <c r="AL246" i="4" s="1"/>
  <c r="AA223" i="4"/>
  <c r="AH223" i="4"/>
  <c r="AK223" i="4" s="1"/>
  <c r="AL223" i="4" s="1"/>
  <c r="AH230" i="4" l="1"/>
  <c r="AA230" i="4"/>
  <c r="AH231" i="4"/>
  <c r="AA231" i="4"/>
  <c r="AA244" i="4"/>
  <c r="AA265" i="4"/>
  <c r="AD265" i="4" s="1"/>
  <c r="AE271" i="4"/>
  <c r="AD271" i="4"/>
  <c r="AD270" i="4"/>
  <c r="AE270" i="4"/>
  <c r="Y290" i="4"/>
  <c r="Z291" i="4"/>
  <c r="AE265" i="4"/>
  <c r="AH264" i="4"/>
  <c r="AK264" i="4" s="1"/>
  <c r="AL264" i="4" s="1"/>
  <c r="AH245" i="4"/>
  <c r="AK245" i="4" s="1"/>
  <c r="AL245" i="4" s="1"/>
  <c r="AE244" i="4"/>
  <c r="AD244" i="4"/>
  <c r="AD247" i="4"/>
  <c r="AE247" i="4"/>
  <c r="Y288" i="4"/>
  <c r="Z289" i="4"/>
  <c r="AD222" i="4"/>
  <c r="AE222" i="4"/>
  <c r="Z260" i="4"/>
  <c r="Y261" i="4"/>
  <c r="AE225" i="4"/>
  <c r="AD225" i="4"/>
  <c r="AD224" i="4"/>
  <c r="AE224" i="4"/>
  <c r="Y252" i="4"/>
  <c r="Z253" i="4"/>
  <c r="AA268" i="4"/>
  <c r="AH268" i="4"/>
  <c r="AK268" i="4" s="1"/>
  <c r="AL268" i="4" s="1"/>
  <c r="AH269" i="4"/>
  <c r="AA269" i="4"/>
  <c r="AH244" i="4"/>
  <c r="AE245" i="4"/>
  <c r="AD245" i="4"/>
  <c r="AA262" i="4"/>
  <c r="AH262" i="4"/>
  <c r="AK262" i="4" s="1"/>
  <c r="AL262" i="4" s="1"/>
  <c r="AH263" i="4"/>
  <c r="AA263" i="4"/>
  <c r="AH265" i="4"/>
  <c r="AE264" i="4"/>
  <c r="AD264" i="4"/>
  <c r="Y267" i="4"/>
  <c r="Z266" i="4"/>
  <c r="Z255" i="4"/>
  <c r="Y254" i="4"/>
  <c r="AD246" i="4"/>
  <c r="AE246" i="4"/>
  <c r="Z290" i="4"/>
  <c r="AA290" i="4" s="1"/>
  <c r="Y291" i="4"/>
  <c r="AD223" i="4"/>
  <c r="AE223" i="4"/>
  <c r="Y251" i="4"/>
  <c r="Z250" i="4"/>
  <c r="AK271" i="4"/>
  <c r="AL271" i="4" s="1"/>
  <c r="AK225" i="4"/>
  <c r="AL225" i="4" s="1"/>
  <c r="AE230" i="4" l="1"/>
  <c r="AD230" i="4"/>
  <c r="AE231" i="4"/>
  <c r="AD231" i="4"/>
  <c r="AK244" i="4"/>
  <c r="AL244" i="4" s="1"/>
  <c r="AK265" i="4"/>
  <c r="AL265" i="4" s="1"/>
  <c r="AK230" i="4"/>
  <c r="AL230" i="4" s="1"/>
  <c r="AK231" i="4"/>
  <c r="AL231" i="4" s="1"/>
  <c r="AH290" i="4"/>
  <c r="AK290" i="4" s="1"/>
  <c r="AL290" i="4" s="1"/>
  <c r="Y286" i="4"/>
  <c r="Z287" i="4"/>
  <c r="Y298" i="4"/>
  <c r="Z299" i="4"/>
  <c r="AA261" i="4"/>
  <c r="AH261" i="4"/>
  <c r="AK261" i="4" s="1"/>
  <c r="AL261" i="4" s="1"/>
  <c r="AA252" i="4"/>
  <c r="AH252" i="4"/>
  <c r="AK252" i="4" s="1"/>
  <c r="AL252" i="4" s="1"/>
  <c r="AD268" i="4"/>
  <c r="AE268" i="4"/>
  <c r="Y293" i="4"/>
  <c r="Z292" i="4"/>
  <c r="AE269" i="4"/>
  <c r="AD269" i="4"/>
  <c r="Z272" i="4"/>
  <c r="Y273" i="4"/>
  <c r="AD262" i="4"/>
  <c r="AE262" i="4"/>
  <c r="Z283" i="4"/>
  <c r="Y282" i="4"/>
  <c r="AE263" i="4"/>
  <c r="AD263" i="4"/>
  <c r="Y278" i="4"/>
  <c r="Z279" i="4"/>
  <c r="AA267" i="4"/>
  <c r="AH267" i="4"/>
  <c r="AK267" i="4" s="1"/>
  <c r="AL267" i="4" s="1"/>
  <c r="AA254" i="4"/>
  <c r="AH254" i="4"/>
  <c r="AE290" i="4"/>
  <c r="AD290" i="4"/>
  <c r="AH291" i="4"/>
  <c r="AA251" i="4"/>
  <c r="AH251" i="4"/>
  <c r="AK251" i="4" s="1"/>
  <c r="AL251" i="4" s="1"/>
  <c r="Z288" i="4"/>
  <c r="Y289" i="4"/>
  <c r="Z256" i="4"/>
  <c r="Y257" i="4"/>
  <c r="AK269" i="4"/>
  <c r="AL269" i="4" s="1"/>
  <c r="AK263" i="4"/>
  <c r="AL263" i="4" s="1"/>
  <c r="AA291" i="4"/>
  <c r="AA260" i="4"/>
  <c r="AH260" i="4"/>
  <c r="AK260" i="4" s="1"/>
  <c r="AL260" i="4" s="1"/>
  <c r="AA253" i="4"/>
  <c r="AH253" i="4"/>
  <c r="AK253" i="4" s="1"/>
  <c r="AL253" i="4" s="1"/>
  <c r="AA266" i="4"/>
  <c r="AH266" i="4"/>
  <c r="AK266" i="4" s="1"/>
  <c r="AL266" i="4" s="1"/>
  <c r="AA255" i="4"/>
  <c r="AH255" i="4"/>
  <c r="AK255" i="4" s="1"/>
  <c r="AL255" i="4" s="1"/>
  <c r="AA250" i="4"/>
  <c r="AH250" i="4"/>
  <c r="AK250" i="4" s="1"/>
  <c r="AL250" i="4" s="1"/>
  <c r="Z248" i="4" l="1"/>
  <c r="Y249" i="4"/>
  <c r="Z258" i="4"/>
  <c r="Y259" i="4"/>
  <c r="AK254" i="4"/>
  <c r="AL254" i="4" s="1"/>
  <c r="Y312" i="4"/>
  <c r="Z313" i="4"/>
  <c r="AA286" i="4"/>
  <c r="AH286" i="4"/>
  <c r="AK286" i="4" s="1"/>
  <c r="AL286" i="4" s="1"/>
  <c r="AH287" i="4"/>
  <c r="AA287" i="4"/>
  <c r="AD261" i="4"/>
  <c r="AE261" i="4"/>
  <c r="Y281" i="4"/>
  <c r="Z280" i="4"/>
  <c r="AD252" i="4"/>
  <c r="AE252" i="4"/>
  <c r="Y299" i="4"/>
  <c r="Z298" i="4"/>
  <c r="AD267" i="4"/>
  <c r="AE267" i="4"/>
  <c r="Y284" i="4"/>
  <c r="Z285" i="4"/>
  <c r="AA285" i="4" s="1"/>
  <c r="AD254" i="4"/>
  <c r="AE254" i="4"/>
  <c r="AD251" i="4"/>
  <c r="AE251" i="4"/>
  <c r="Y279" i="4"/>
  <c r="Z278" i="4"/>
  <c r="AA289" i="4"/>
  <c r="AH289" i="4"/>
  <c r="AK289" i="4" s="1"/>
  <c r="AL289" i="4" s="1"/>
  <c r="AH256" i="4"/>
  <c r="AA256" i="4"/>
  <c r="AA257" i="4"/>
  <c r="AH257" i="4"/>
  <c r="AK257" i="4" s="1"/>
  <c r="AL257" i="4" s="1"/>
  <c r="Y285" i="4"/>
  <c r="Z284" i="4"/>
  <c r="Y297" i="4"/>
  <c r="Z296" i="4"/>
  <c r="AD291" i="4"/>
  <c r="AE291" i="4"/>
  <c r="AD260" i="4"/>
  <c r="AE260" i="4"/>
  <c r="Z275" i="4"/>
  <c r="Y274" i="4"/>
  <c r="AD253" i="4"/>
  <c r="AE253" i="4"/>
  <c r="Z281" i="4"/>
  <c r="Y280" i="4"/>
  <c r="AD266" i="4"/>
  <c r="AE266" i="4"/>
  <c r="Y296" i="4"/>
  <c r="Z297" i="4"/>
  <c r="AD255" i="4"/>
  <c r="AE255" i="4"/>
  <c r="Z293" i="4"/>
  <c r="Y292" i="4"/>
  <c r="AD250" i="4"/>
  <c r="AE250" i="4"/>
  <c r="Z301" i="4"/>
  <c r="Y300" i="4"/>
  <c r="AK291" i="4"/>
  <c r="AL291" i="4" s="1"/>
  <c r="AA288" i="4"/>
  <c r="AH288" i="4"/>
  <c r="AK288" i="4" s="1"/>
  <c r="AL288" i="4" s="1"/>
  <c r="AA284" i="4" l="1"/>
  <c r="AA281" i="4"/>
  <c r="AH248" i="4"/>
  <c r="AA248" i="4"/>
  <c r="AA249" i="4"/>
  <c r="AH249" i="4"/>
  <c r="AK249" i="4" s="1"/>
  <c r="AL249" i="4" s="1"/>
  <c r="AH258" i="4"/>
  <c r="AA258" i="4"/>
  <c r="AA259" i="4"/>
  <c r="AH259" i="4"/>
  <c r="AK259" i="4" s="1"/>
  <c r="AL259" i="4" s="1"/>
  <c r="AK256" i="4"/>
  <c r="AL256" i="4" s="1"/>
  <c r="AA296" i="4"/>
  <c r="Z274" i="4"/>
  <c r="AH274" i="4" s="1"/>
  <c r="Y275" i="4"/>
  <c r="AD286" i="4"/>
  <c r="AE286" i="4"/>
  <c r="Z312" i="4"/>
  <c r="Y313" i="4"/>
  <c r="AE287" i="4"/>
  <c r="AD287" i="4"/>
  <c r="AH281" i="4"/>
  <c r="AA299" i="4"/>
  <c r="AH299" i="4"/>
  <c r="AK299" i="4" s="1"/>
  <c r="AL299" i="4" s="1"/>
  <c r="AH284" i="4"/>
  <c r="AK284" i="4" s="1"/>
  <c r="AL284" i="4" s="1"/>
  <c r="AE285" i="4"/>
  <c r="AD285" i="4"/>
  <c r="AA279" i="4"/>
  <c r="AH279" i="4"/>
  <c r="AD289" i="4"/>
  <c r="AE289" i="4"/>
  <c r="Z328" i="4"/>
  <c r="Y329" i="4"/>
  <c r="Z282" i="4"/>
  <c r="Y283" i="4"/>
  <c r="AE256" i="4"/>
  <c r="AD256" i="4"/>
  <c r="AD257" i="4"/>
  <c r="AE257" i="4"/>
  <c r="Z300" i="4"/>
  <c r="Y301" i="4"/>
  <c r="AH285" i="4"/>
  <c r="AK285" i="4" s="1"/>
  <c r="AL285" i="4" s="1"/>
  <c r="AE284" i="4"/>
  <c r="AD284" i="4"/>
  <c r="AH297" i="4"/>
  <c r="AE281" i="4"/>
  <c r="AD281" i="4"/>
  <c r="AH280" i="4"/>
  <c r="AH296" i="4"/>
  <c r="AK296" i="4" s="1"/>
  <c r="AL296" i="4" s="1"/>
  <c r="AA292" i="4"/>
  <c r="AH292" i="4"/>
  <c r="AK292" i="4" s="1"/>
  <c r="AL292" i="4" s="1"/>
  <c r="Z308" i="4"/>
  <c r="Y309" i="4"/>
  <c r="AD288" i="4"/>
  <c r="AE288" i="4"/>
  <c r="Z327" i="4"/>
  <c r="Y326" i="4"/>
  <c r="AA280" i="4"/>
  <c r="AA274" i="4"/>
  <c r="AA297" i="4"/>
  <c r="AK287" i="4"/>
  <c r="AL287" i="4" s="1"/>
  <c r="AA298" i="4"/>
  <c r="AH298" i="4"/>
  <c r="AA278" i="4"/>
  <c r="AH278" i="4"/>
  <c r="AK278" i="4" s="1"/>
  <c r="AL278" i="4" s="1"/>
  <c r="AA293" i="4"/>
  <c r="AH293" i="4"/>
  <c r="AK293" i="4" s="1"/>
  <c r="AL293" i="4" s="1"/>
  <c r="AK298" i="4" l="1"/>
  <c r="AL298" i="4" s="1"/>
  <c r="AK281" i="4"/>
  <c r="AL281" i="4" s="1"/>
  <c r="AA275" i="4"/>
  <c r="AH275" i="4"/>
  <c r="AK275" i="4" s="1"/>
  <c r="AL275" i="4" s="1"/>
  <c r="AD248" i="4"/>
  <c r="AE248" i="4"/>
  <c r="AD249" i="4"/>
  <c r="AE249" i="4"/>
  <c r="Z294" i="4"/>
  <c r="Y295" i="4"/>
  <c r="AE258" i="4"/>
  <c r="AD258" i="4"/>
  <c r="AE259" i="4"/>
  <c r="AD259" i="4"/>
  <c r="Y272" i="4"/>
  <c r="Z273" i="4"/>
  <c r="AK248" i="4"/>
  <c r="AL248" i="4" s="1"/>
  <c r="AK258" i="4"/>
  <c r="AL258" i="4" s="1"/>
  <c r="AE296" i="4"/>
  <c r="AD296" i="4"/>
  <c r="AE275" i="4"/>
  <c r="AD275" i="4"/>
  <c r="AA313" i="4"/>
  <c r="AH313" i="4"/>
  <c r="Y318" i="4"/>
  <c r="Z319" i="4"/>
  <c r="AD299" i="4"/>
  <c r="AE299" i="4"/>
  <c r="Z320" i="4"/>
  <c r="Y321" i="4"/>
  <c r="Z322" i="4"/>
  <c r="Y323" i="4"/>
  <c r="Y319" i="4"/>
  <c r="Z318" i="4"/>
  <c r="AA318" i="4" s="1"/>
  <c r="AD279" i="4"/>
  <c r="AE279" i="4"/>
  <c r="AH282" i="4"/>
  <c r="AA282" i="4"/>
  <c r="AA283" i="4"/>
  <c r="AH283" i="4"/>
  <c r="AK283" i="4" s="1"/>
  <c r="AL283" i="4" s="1"/>
  <c r="AA301" i="4"/>
  <c r="AH301" i="4"/>
  <c r="AK301" i="4" s="1"/>
  <c r="AL301" i="4" s="1"/>
  <c r="Y303" i="4"/>
  <c r="Z302" i="4"/>
  <c r="Y315" i="4"/>
  <c r="Z314" i="4"/>
  <c r="AD292" i="4"/>
  <c r="AE292" i="4"/>
  <c r="Z331" i="4"/>
  <c r="Y330" i="4"/>
  <c r="AD280" i="4"/>
  <c r="AE280" i="4"/>
  <c r="AD274" i="4"/>
  <c r="AE274" i="4"/>
  <c r="AD297" i="4"/>
  <c r="AE297" i="4"/>
  <c r="Z310" i="4"/>
  <c r="Y311" i="4"/>
  <c r="AD298" i="4"/>
  <c r="AE298" i="4"/>
  <c r="Z307" i="4"/>
  <c r="Y306" i="4"/>
  <c r="AD278" i="4"/>
  <c r="AE278" i="4"/>
  <c r="Y322" i="4"/>
  <c r="Z323" i="4"/>
  <c r="AA323" i="4" s="1"/>
  <c r="AD293" i="4"/>
  <c r="AE293" i="4"/>
  <c r="Y324" i="4"/>
  <c r="Z325" i="4"/>
  <c r="AK279" i="4"/>
  <c r="AL279" i="4" s="1"/>
  <c r="AK297" i="4"/>
  <c r="AL297" i="4" s="1"/>
  <c r="AK274" i="4"/>
  <c r="AL274" i="4" s="1"/>
  <c r="AK280" i="4"/>
  <c r="AL280" i="4" s="1"/>
  <c r="AA312" i="4"/>
  <c r="AH312" i="4"/>
  <c r="AK312" i="4" s="1"/>
  <c r="AL312" i="4" s="1"/>
  <c r="AA300" i="4"/>
  <c r="AH300" i="4"/>
  <c r="AK300" i="4" s="1"/>
  <c r="AL300" i="4" s="1"/>
  <c r="AK313" i="4" l="1"/>
  <c r="AL313" i="4" s="1"/>
  <c r="AA294" i="4"/>
  <c r="AH294" i="4"/>
  <c r="AK294" i="4" s="1"/>
  <c r="AL294" i="4" s="1"/>
  <c r="AH295" i="4"/>
  <c r="AA295" i="4"/>
  <c r="AH272" i="4"/>
  <c r="AA272" i="4"/>
  <c r="AA273" i="4"/>
  <c r="AH273" i="4"/>
  <c r="AK273" i="4" s="1"/>
  <c r="AL273" i="4" s="1"/>
  <c r="Z277" i="4"/>
  <c r="Y276" i="4"/>
  <c r="Y277" i="4"/>
  <c r="AH277" i="4" s="1"/>
  <c r="Z276" i="4"/>
  <c r="AK282" i="4"/>
  <c r="AL282" i="4" s="1"/>
  <c r="AD313" i="4"/>
  <c r="AE313" i="4"/>
  <c r="Y340" i="4"/>
  <c r="Z341" i="4"/>
  <c r="AH318" i="4"/>
  <c r="AK318" i="4" s="1"/>
  <c r="AL318" i="4" s="1"/>
  <c r="AH323" i="4"/>
  <c r="AK323" i="4" s="1"/>
  <c r="AL323" i="4" s="1"/>
  <c r="AH319" i="4"/>
  <c r="AE318" i="4"/>
  <c r="AD318" i="4"/>
  <c r="AE282" i="4"/>
  <c r="AD282" i="4"/>
  <c r="AD283" i="4"/>
  <c r="AE283" i="4"/>
  <c r="Z330" i="4"/>
  <c r="Y331" i="4"/>
  <c r="AD301" i="4"/>
  <c r="AE301" i="4"/>
  <c r="Z315" i="4"/>
  <c r="Y314" i="4"/>
  <c r="AH322" i="4"/>
  <c r="AE323" i="4"/>
  <c r="AD323" i="4"/>
  <c r="Y310" i="4"/>
  <c r="Z311" i="4"/>
  <c r="Z329" i="4"/>
  <c r="Y328" i="4"/>
  <c r="Z316" i="4"/>
  <c r="Y317" i="4"/>
  <c r="Y304" i="4"/>
  <c r="Z305" i="4"/>
  <c r="Y320" i="4"/>
  <c r="Z321" i="4"/>
  <c r="AD312" i="4"/>
  <c r="AE312" i="4"/>
  <c r="Z343" i="4"/>
  <c r="Y342" i="4"/>
  <c r="AD300" i="4"/>
  <c r="AE300" i="4"/>
  <c r="Y327" i="4"/>
  <c r="Z326" i="4"/>
  <c r="AA319" i="4"/>
  <c r="AA322" i="4"/>
  <c r="AK272" i="4" l="1"/>
  <c r="AL272" i="4" s="1"/>
  <c r="Y308" i="4"/>
  <c r="Z309" i="4"/>
  <c r="AA276" i="4"/>
  <c r="AA277" i="4"/>
  <c r="AK277" i="4" s="1"/>
  <c r="AL277" i="4" s="1"/>
  <c r="AD294" i="4"/>
  <c r="AE294" i="4"/>
  <c r="AE295" i="4"/>
  <c r="AD295" i="4"/>
  <c r="Z306" i="4"/>
  <c r="Y307" i="4"/>
  <c r="AD272" i="4"/>
  <c r="AE272" i="4"/>
  <c r="AE273" i="4"/>
  <c r="AD273" i="4"/>
  <c r="Y302" i="4"/>
  <c r="Z303" i="4"/>
  <c r="AE277" i="4"/>
  <c r="AD277" i="4"/>
  <c r="Z317" i="4"/>
  <c r="Y316" i="4"/>
  <c r="AD276" i="4"/>
  <c r="AE276" i="4"/>
  <c r="AH276" i="4"/>
  <c r="AK276" i="4" s="1"/>
  <c r="AL276" i="4" s="1"/>
  <c r="AK295" i="4"/>
  <c r="AL295" i="4" s="1"/>
  <c r="Y351" i="4"/>
  <c r="Z350" i="4"/>
  <c r="Z336" i="4"/>
  <c r="Y337" i="4"/>
  <c r="AH309" i="4"/>
  <c r="AA309" i="4"/>
  <c r="AA308" i="4"/>
  <c r="AH308" i="4"/>
  <c r="AK308" i="4" s="1"/>
  <c r="AL308" i="4" s="1"/>
  <c r="AA331" i="4"/>
  <c r="AH331" i="4"/>
  <c r="AK331" i="4" s="1"/>
  <c r="AL331" i="4" s="1"/>
  <c r="AA314" i="4"/>
  <c r="AH314" i="4"/>
  <c r="AK314" i="4" s="1"/>
  <c r="AL314" i="4" s="1"/>
  <c r="AA310" i="4"/>
  <c r="AH310" i="4"/>
  <c r="AK310" i="4" s="1"/>
  <c r="AL310" i="4" s="1"/>
  <c r="AH329" i="4"/>
  <c r="AA329" i="4"/>
  <c r="AA328" i="4"/>
  <c r="AH328" i="4"/>
  <c r="AK328" i="4" s="1"/>
  <c r="AL328" i="4" s="1"/>
  <c r="AA320" i="4"/>
  <c r="AH320" i="4"/>
  <c r="AK320" i="4" s="1"/>
  <c r="AL320" i="4" s="1"/>
  <c r="AA327" i="4"/>
  <c r="AH327" i="4"/>
  <c r="AK327" i="4" s="1"/>
  <c r="AL327" i="4" s="1"/>
  <c r="AH326" i="4"/>
  <c r="AA326" i="4"/>
  <c r="AD319" i="4"/>
  <c r="AE319" i="4"/>
  <c r="AD322" i="4"/>
  <c r="AE322" i="4"/>
  <c r="AK322" i="4"/>
  <c r="AL322" i="4" s="1"/>
  <c r="AK319" i="4"/>
  <c r="AL319" i="4" s="1"/>
  <c r="AA330" i="4"/>
  <c r="AH330" i="4"/>
  <c r="AK330" i="4" s="1"/>
  <c r="AL330" i="4" s="1"/>
  <c r="AA315" i="4"/>
  <c r="AH315" i="4"/>
  <c r="AK315" i="4" s="1"/>
  <c r="AL315" i="4" s="1"/>
  <c r="AA311" i="4"/>
  <c r="AH311" i="4"/>
  <c r="AK311" i="4" s="1"/>
  <c r="AL311" i="4" s="1"/>
  <c r="AA321" i="4"/>
  <c r="AH321" i="4"/>
  <c r="AK321" i="4" s="1"/>
  <c r="AL321" i="4" s="1"/>
  <c r="AA317" i="4" l="1"/>
  <c r="AH317" i="4"/>
  <c r="AK317" i="4" s="1"/>
  <c r="AL317" i="4" s="1"/>
  <c r="AH306" i="4"/>
  <c r="AA306" i="4"/>
  <c r="AH307" i="4"/>
  <c r="AK307" i="4" s="1"/>
  <c r="AL307" i="4" s="1"/>
  <c r="AA307" i="4"/>
  <c r="AH302" i="4"/>
  <c r="AA302" i="4"/>
  <c r="AA303" i="4"/>
  <c r="AH303" i="4"/>
  <c r="AK303" i="4" s="1"/>
  <c r="AL303" i="4" s="1"/>
  <c r="Y305" i="4"/>
  <c r="Z304" i="4"/>
  <c r="Z324" i="4"/>
  <c r="Y325" i="4"/>
  <c r="AK329" i="4"/>
  <c r="AL329" i="4" s="1"/>
  <c r="AA316" i="4"/>
  <c r="AH316" i="4"/>
  <c r="AK316" i="4" s="1"/>
  <c r="AL316" i="4" s="1"/>
  <c r="AE309" i="4"/>
  <c r="AD309" i="4"/>
  <c r="AD308" i="4"/>
  <c r="AE308" i="4"/>
  <c r="Y347" i="4"/>
  <c r="Z346" i="4"/>
  <c r="AD331" i="4"/>
  <c r="AE331" i="4"/>
  <c r="Y358" i="4"/>
  <c r="Z359" i="4"/>
  <c r="AD314" i="4"/>
  <c r="AE314" i="4"/>
  <c r="Z338" i="4"/>
  <c r="Y339" i="4"/>
  <c r="AD310" i="4"/>
  <c r="AE310" i="4"/>
  <c r="Z340" i="4"/>
  <c r="Y341" i="4"/>
  <c r="Y356" i="4"/>
  <c r="Z357" i="4"/>
  <c r="AA357" i="4" s="1"/>
  <c r="AE329" i="4"/>
  <c r="AD329" i="4"/>
  <c r="AD328" i="4"/>
  <c r="AE328" i="4"/>
  <c r="Z342" i="4"/>
  <c r="Y343" i="4"/>
  <c r="AD317" i="4"/>
  <c r="AE317" i="4"/>
  <c r="Y344" i="4"/>
  <c r="Z345" i="4"/>
  <c r="AE320" i="4"/>
  <c r="AD320" i="4"/>
  <c r="Z353" i="4"/>
  <c r="Y352" i="4"/>
  <c r="AD327" i="4"/>
  <c r="AE327" i="4"/>
  <c r="Y346" i="4"/>
  <c r="Z347" i="4"/>
  <c r="AD326" i="4"/>
  <c r="AE326" i="4"/>
  <c r="Y361" i="4"/>
  <c r="Z360" i="4"/>
  <c r="Y353" i="4"/>
  <c r="Z352" i="4"/>
  <c r="AA352" i="4" s="1"/>
  <c r="Y349" i="4"/>
  <c r="Z348" i="4"/>
  <c r="AD330" i="4"/>
  <c r="AE330" i="4"/>
  <c r="Y355" i="4"/>
  <c r="Z354" i="4"/>
  <c r="AA354" i="4" s="1"/>
  <c r="AD315" i="4"/>
  <c r="AE315" i="4"/>
  <c r="Y357" i="4"/>
  <c r="Z356" i="4"/>
  <c r="AD311" i="4"/>
  <c r="AE311" i="4"/>
  <c r="Z334" i="4"/>
  <c r="Y335" i="4"/>
  <c r="AD316" i="4"/>
  <c r="AE316" i="4"/>
  <c r="Z361" i="4"/>
  <c r="AA361" i="4" s="1"/>
  <c r="Y360" i="4"/>
  <c r="AD321" i="4"/>
  <c r="AE321" i="4"/>
  <c r="Y354" i="4"/>
  <c r="Z355" i="4"/>
  <c r="AK326" i="4"/>
  <c r="AL326" i="4" s="1"/>
  <c r="AK309" i="4"/>
  <c r="AL309" i="4" s="1"/>
  <c r="AA347" i="4" l="1"/>
  <c r="AE306" i="4"/>
  <c r="AD306" i="4"/>
  <c r="Z358" i="4"/>
  <c r="Y359" i="4"/>
  <c r="AE307" i="4"/>
  <c r="AD307" i="4"/>
  <c r="AD302" i="4"/>
  <c r="AE302" i="4"/>
  <c r="AE303" i="4"/>
  <c r="AD303" i="4"/>
  <c r="AA305" i="4"/>
  <c r="AH305" i="4"/>
  <c r="AK305" i="4" s="1"/>
  <c r="AL305" i="4" s="1"/>
  <c r="Z333" i="4" s="1"/>
  <c r="AH304" i="4"/>
  <c r="AA304" i="4"/>
  <c r="AA324" i="4"/>
  <c r="AH324" i="4"/>
  <c r="AK324" i="4" s="1"/>
  <c r="AL324" i="4" s="1"/>
  <c r="AH325" i="4"/>
  <c r="AA325" i="4"/>
  <c r="AK306" i="4"/>
  <c r="AL306" i="4" s="1"/>
  <c r="AK302" i="4"/>
  <c r="AL302" i="4" s="1"/>
  <c r="AH347" i="4"/>
  <c r="AK347" i="4" s="1"/>
  <c r="AL347" i="4" s="1"/>
  <c r="AH340" i="4"/>
  <c r="AA340" i="4"/>
  <c r="AA341" i="4"/>
  <c r="AH341" i="4"/>
  <c r="AK341" i="4" s="1"/>
  <c r="AL341" i="4" s="1"/>
  <c r="AH356" i="4"/>
  <c r="AE357" i="4"/>
  <c r="AD357" i="4"/>
  <c r="AH342" i="4"/>
  <c r="AA342" i="4"/>
  <c r="AA343" i="4"/>
  <c r="AH343" i="4"/>
  <c r="AH352" i="4"/>
  <c r="AK352" i="4" s="1"/>
  <c r="AL352" i="4" s="1"/>
  <c r="AH346" i="4"/>
  <c r="AH361" i="4"/>
  <c r="AK361" i="4" s="1"/>
  <c r="AL361" i="4" s="1"/>
  <c r="AH353" i="4"/>
  <c r="AE352" i="4"/>
  <c r="AD352" i="4"/>
  <c r="AH355" i="4"/>
  <c r="AE354" i="4"/>
  <c r="AD354" i="4"/>
  <c r="AH357" i="4"/>
  <c r="AK357" i="4" s="1"/>
  <c r="AL357" i="4" s="1"/>
  <c r="AE361" i="4"/>
  <c r="AD361" i="4"/>
  <c r="AH360" i="4"/>
  <c r="AH354" i="4"/>
  <c r="AK354" i="4" s="1"/>
  <c r="AL354" i="4" s="1"/>
  <c r="Y332" i="4"/>
  <c r="Z349" i="4"/>
  <c r="Y348" i="4"/>
  <c r="Y338" i="4"/>
  <c r="Z339" i="4"/>
  <c r="AA346" i="4"/>
  <c r="AA353" i="4"/>
  <c r="AA360" i="4"/>
  <c r="AA356" i="4"/>
  <c r="AA355" i="4"/>
  <c r="AK340" i="4" l="1"/>
  <c r="AL340" i="4" s="1"/>
  <c r="AH358" i="4"/>
  <c r="AK358" i="4" s="1"/>
  <c r="AL358" i="4" s="1"/>
  <c r="AA358" i="4"/>
  <c r="AA359" i="4"/>
  <c r="AH359" i="4"/>
  <c r="AK359" i="4" s="1"/>
  <c r="AL359" i="4" s="1"/>
  <c r="AK343" i="4"/>
  <c r="AL343" i="4" s="1"/>
  <c r="AE347" i="4"/>
  <c r="AD347" i="4"/>
  <c r="AE305" i="4"/>
  <c r="AD305" i="4"/>
  <c r="AE304" i="4"/>
  <c r="AD304" i="4"/>
  <c r="AE324" i="4"/>
  <c r="AD324" i="4"/>
  <c r="Y350" i="4"/>
  <c r="Z351" i="4"/>
  <c r="AD325" i="4"/>
  <c r="AE325" i="4"/>
  <c r="Y336" i="4"/>
  <c r="Z337" i="4"/>
  <c r="Y333" i="4"/>
  <c r="Z332" i="4"/>
  <c r="AK304" i="4"/>
  <c r="AL304" i="4" s="1"/>
  <c r="AK325" i="4"/>
  <c r="AL325" i="4" s="1"/>
  <c r="AK356" i="4"/>
  <c r="AL356" i="4" s="1"/>
  <c r="AK353" i="4"/>
  <c r="AL353" i="4" s="1"/>
  <c r="AK355" i="4"/>
  <c r="AL355" i="4" s="1"/>
  <c r="AK360" i="4"/>
  <c r="AL360" i="4" s="1"/>
  <c r="Y362" i="4"/>
  <c r="Z363" i="4"/>
  <c r="AD358" i="4"/>
  <c r="AE358" i="4"/>
  <c r="Y370" i="4"/>
  <c r="Z371" i="4"/>
  <c r="Z389" i="4"/>
  <c r="Y388" i="4"/>
  <c r="AE340" i="4"/>
  <c r="AD340" i="4"/>
  <c r="AD341" i="4"/>
  <c r="AE341" i="4"/>
  <c r="Y366" i="4"/>
  <c r="Z367" i="4"/>
  <c r="Z383" i="4"/>
  <c r="Y382" i="4"/>
  <c r="AE342" i="4"/>
  <c r="AD342" i="4"/>
  <c r="AD343" i="4"/>
  <c r="AE343" i="4"/>
  <c r="Y374" i="4"/>
  <c r="Z375" i="4"/>
  <c r="Z374" i="4"/>
  <c r="Y375" i="4"/>
  <c r="Y383" i="4"/>
  <c r="Z382" i="4"/>
  <c r="AA382" i="4" s="1"/>
  <c r="Y376" i="4"/>
  <c r="Z377" i="4"/>
  <c r="Z380" i="4"/>
  <c r="Y381" i="4"/>
  <c r="Z378" i="4"/>
  <c r="Y379" i="4"/>
  <c r="Z376" i="4"/>
  <c r="AA376" i="4" s="1"/>
  <c r="Y377" i="4"/>
  <c r="AH333" i="4"/>
  <c r="AA333" i="4"/>
  <c r="AA332" i="4"/>
  <c r="AH332" i="4"/>
  <c r="AK332" i="4" s="1"/>
  <c r="AL332" i="4" s="1"/>
  <c r="AA348" i="4"/>
  <c r="AH348" i="4"/>
  <c r="AK348" i="4" s="1"/>
  <c r="AL348" i="4" s="1"/>
  <c r="AA338" i="4"/>
  <c r="AH338" i="4"/>
  <c r="AD346" i="4"/>
  <c r="AE346" i="4"/>
  <c r="AD353" i="4"/>
  <c r="AE353" i="4"/>
  <c r="AD360" i="4"/>
  <c r="AE360" i="4"/>
  <c r="AD356" i="4"/>
  <c r="AE356" i="4"/>
  <c r="AD355" i="4"/>
  <c r="AE355" i="4"/>
  <c r="AD359" i="4"/>
  <c r="AE359" i="4"/>
  <c r="Z385" i="4"/>
  <c r="Y384" i="4"/>
  <c r="AK342" i="4"/>
  <c r="AL342" i="4" s="1"/>
  <c r="AK346" i="4"/>
  <c r="AL346" i="4" s="1"/>
  <c r="AA349" i="4"/>
  <c r="AH349" i="4"/>
  <c r="AK349" i="4" s="1"/>
  <c r="AL349" i="4" s="1"/>
  <c r="AA339" i="4"/>
  <c r="AH339" i="4"/>
  <c r="AK339" i="4" s="1"/>
  <c r="AL339" i="4" s="1"/>
  <c r="AA374" i="4" l="1"/>
  <c r="AK338" i="4"/>
  <c r="AL338" i="4" s="1"/>
  <c r="Y364" i="4"/>
  <c r="Z365" i="4"/>
  <c r="AH350" i="4"/>
  <c r="AA350" i="4"/>
  <c r="AH351" i="4"/>
  <c r="AA351" i="4"/>
  <c r="AA336" i="4"/>
  <c r="AH336" i="4"/>
  <c r="AK336" i="4" s="1"/>
  <c r="AL336" i="4" s="1"/>
  <c r="AH337" i="4"/>
  <c r="AA337" i="4"/>
  <c r="Z335" i="4"/>
  <c r="Y334" i="4"/>
  <c r="Y345" i="4"/>
  <c r="Z344" i="4"/>
  <c r="AH382" i="4"/>
  <c r="AK382" i="4" s="1"/>
  <c r="AL382" i="4" s="1"/>
  <c r="AH374" i="4"/>
  <c r="AK374" i="4" s="1"/>
  <c r="AL374" i="4" s="1"/>
  <c r="AE374" i="4"/>
  <c r="AD374" i="4"/>
  <c r="AH375" i="4"/>
  <c r="AH383" i="4"/>
  <c r="AE382" i="4"/>
  <c r="AD382" i="4"/>
  <c r="AH376" i="4"/>
  <c r="AK376" i="4" s="1"/>
  <c r="AL376" i="4" s="1"/>
  <c r="AE376" i="4"/>
  <c r="AD376" i="4"/>
  <c r="AH377" i="4"/>
  <c r="AE333" i="4"/>
  <c r="AD333" i="4"/>
  <c r="AD332" i="4"/>
  <c r="AE332" i="4"/>
  <c r="Y373" i="4"/>
  <c r="Z372" i="4"/>
  <c r="AD348" i="4"/>
  <c r="AE348" i="4"/>
  <c r="Y369" i="4"/>
  <c r="Z368" i="4"/>
  <c r="AD338" i="4"/>
  <c r="AE338" i="4"/>
  <c r="Y371" i="4"/>
  <c r="Z370" i="4"/>
  <c r="Y380" i="4"/>
  <c r="Z381" i="4"/>
  <c r="Y389" i="4"/>
  <c r="Z388" i="4"/>
  <c r="AD349" i="4"/>
  <c r="AE349" i="4"/>
  <c r="Z384" i="4"/>
  <c r="Y385" i="4"/>
  <c r="AD339" i="4"/>
  <c r="AE339" i="4"/>
  <c r="Y363" i="4"/>
  <c r="Z362" i="4"/>
  <c r="AA383" i="4"/>
  <c r="AA377" i="4"/>
  <c r="AK333" i="4"/>
  <c r="AL333" i="4" s="1"/>
  <c r="AA375" i="4"/>
  <c r="AK337" i="4" l="1"/>
  <c r="AL337" i="4" s="1"/>
  <c r="AK375" i="4"/>
  <c r="AL375" i="4" s="1"/>
  <c r="AK350" i="4"/>
  <c r="AL350" i="4" s="1"/>
  <c r="AK351" i="4"/>
  <c r="AL351" i="4" s="1"/>
  <c r="Y390" i="4"/>
  <c r="Z391" i="4"/>
  <c r="AE350" i="4"/>
  <c r="AD350" i="4"/>
  <c r="Y365" i="4"/>
  <c r="Z364" i="4"/>
  <c r="AE351" i="4"/>
  <c r="AD351" i="4"/>
  <c r="AE336" i="4"/>
  <c r="AD336" i="4"/>
  <c r="Y368" i="4"/>
  <c r="Z369" i="4"/>
  <c r="Y386" i="4"/>
  <c r="Z387" i="4"/>
  <c r="AD337" i="4"/>
  <c r="AE337" i="4"/>
  <c r="AA335" i="4"/>
  <c r="AH335" i="4"/>
  <c r="AH334" i="4"/>
  <c r="AA334" i="4"/>
  <c r="AH345" i="4"/>
  <c r="AA345" i="4"/>
  <c r="AH344" i="4"/>
  <c r="AA344" i="4"/>
  <c r="AK383" i="4"/>
  <c r="AL383" i="4" s="1"/>
  <c r="AK377" i="4"/>
  <c r="AL377" i="4" s="1"/>
  <c r="Y404" i="4" s="1"/>
  <c r="Z421" i="4"/>
  <c r="Y420" i="4"/>
  <c r="Z419" i="4"/>
  <c r="Y418" i="4"/>
  <c r="Y415" i="4"/>
  <c r="Z414" i="4"/>
  <c r="Z404" i="4"/>
  <c r="Y405" i="4"/>
  <c r="Y393" i="4"/>
  <c r="Z392" i="4"/>
  <c r="Z405" i="4"/>
  <c r="AA371" i="4"/>
  <c r="AH371" i="4"/>
  <c r="AK371" i="4" s="1"/>
  <c r="AL371" i="4" s="1"/>
  <c r="AA380" i="4"/>
  <c r="AH380" i="4"/>
  <c r="AK380" i="4" s="1"/>
  <c r="AL380" i="4" s="1"/>
  <c r="AA389" i="4"/>
  <c r="AH389" i="4"/>
  <c r="AK389" i="4" s="1"/>
  <c r="AL389" i="4" s="1"/>
  <c r="AA385" i="4"/>
  <c r="AH385" i="4"/>
  <c r="AK385" i="4" s="1"/>
  <c r="AL385" i="4" s="1"/>
  <c r="AA363" i="4"/>
  <c r="AH363" i="4"/>
  <c r="AK363" i="4" s="1"/>
  <c r="AL363" i="4" s="1"/>
  <c r="AD383" i="4"/>
  <c r="AE383" i="4"/>
  <c r="AD377" i="4"/>
  <c r="AE377" i="4"/>
  <c r="Y391" i="4"/>
  <c r="Z390" i="4"/>
  <c r="AD375" i="4"/>
  <c r="AE375" i="4"/>
  <c r="AA370" i="4"/>
  <c r="AH370" i="4"/>
  <c r="AK370" i="4" s="1"/>
  <c r="AL370" i="4" s="1"/>
  <c r="AA381" i="4"/>
  <c r="AH381" i="4"/>
  <c r="AK381" i="4" s="1"/>
  <c r="AL381" i="4" s="1"/>
  <c r="AA388" i="4"/>
  <c r="AH388" i="4"/>
  <c r="AK388" i="4" s="1"/>
  <c r="AL388" i="4" s="1"/>
  <c r="AA384" i="4"/>
  <c r="AH384" i="4"/>
  <c r="AK384" i="4" s="1"/>
  <c r="AL384" i="4" s="1"/>
  <c r="AA362" i="4"/>
  <c r="AH362" i="4"/>
  <c r="AK362" i="4" s="1"/>
  <c r="AL362" i="4" s="1"/>
  <c r="AK335" i="4" l="1"/>
  <c r="AL335" i="4" s="1"/>
  <c r="AK345" i="4"/>
  <c r="AL345" i="4" s="1"/>
  <c r="AH368" i="4"/>
  <c r="AA368" i="4"/>
  <c r="AA369" i="4"/>
  <c r="AH369" i="4"/>
  <c r="AK369" i="4" s="1"/>
  <c r="AL369" i="4" s="1"/>
  <c r="AH365" i="4"/>
  <c r="AA365" i="4"/>
  <c r="AH364" i="4"/>
  <c r="AA364" i="4"/>
  <c r="AE335" i="4"/>
  <c r="AD335" i="4"/>
  <c r="Y387" i="4"/>
  <c r="Z386" i="4"/>
  <c r="AD334" i="4"/>
  <c r="AE334" i="4"/>
  <c r="Z379" i="4"/>
  <c r="Y378" i="4"/>
  <c r="AE345" i="4"/>
  <c r="AD345" i="4"/>
  <c r="AE344" i="4"/>
  <c r="AD344" i="4"/>
  <c r="AK344" i="4"/>
  <c r="AL344" i="4" s="1"/>
  <c r="AA405" i="4"/>
  <c r="AK334" i="4"/>
  <c r="AL334" i="4" s="1"/>
  <c r="AH405" i="4"/>
  <c r="AH404" i="4"/>
  <c r="AD369" i="4"/>
  <c r="AE369" i="4"/>
  <c r="Z409" i="4"/>
  <c r="Y408" i="4"/>
  <c r="AE368" i="4"/>
  <c r="AD368" i="4"/>
  <c r="AD371" i="4"/>
  <c r="AE371" i="4"/>
  <c r="Y396" i="4"/>
  <c r="Z397" i="4"/>
  <c r="AE380" i="4"/>
  <c r="AD380" i="4"/>
  <c r="Z400" i="4"/>
  <c r="Y401" i="4"/>
  <c r="AD389" i="4"/>
  <c r="AE389" i="4"/>
  <c r="Y407" i="4"/>
  <c r="Z406" i="4"/>
  <c r="AD385" i="4"/>
  <c r="AE385" i="4"/>
  <c r="Z394" i="4"/>
  <c r="Y395" i="4"/>
  <c r="AD363" i="4"/>
  <c r="AE363" i="4"/>
  <c r="Z418" i="4"/>
  <c r="Y419" i="4"/>
  <c r="AA391" i="4"/>
  <c r="AH391" i="4"/>
  <c r="AK391" i="4" s="1"/>
  <c r="AL391" i="4" s="1"/>
  <c r="AH390" i="4"/>
  <c r="AA390" i="4"/>
  <c r="AD370" i="4"/>
  <c r="AE370" i="4"/>
  <c r="Y400" i="4"/>
  <c r="Z401" i="4"/>
  <c r="AA401" i="4" s="1"/>
  <c r="AD381" i="4"/>
  <c r="AE381" i="4"/>
  <c r="Y410" i="4"/>
  <c r="Z411" i="4"/>
  <c r="AD388" i="4"/>
  <c r="AE388" i="4"/>
  <c r="Y416" i="4"/>
  <c r="Z417" i="4"/>
  <c r="AD384" i="4"/>
  <c r="AE384" i="4"/>
  <c r="Y397" i="4"/>
  <c r="Z396" i="4"/>
  <c r="AA396" i="4" s="1"/>
  <c r="AD362" i="4"/>
  <c r="AE362" i="4"/>
  <c r="Z420" i="4"/>
  <c r="Y421" i="4"/>
  <c r="AA404" i="4"/>
  <c r="AK368" i="4" l="1"/>
  <c r="AL368" i="4" s="1"/>
  <c r="AK365" i="4"/>
  <c r="AL365" i="4" s="1"/>
  <c r="Z408" i="4"/>
  <c r="Y409" i="4"/>
  <c r="AD365" i="4"/>
  <c r="AE365" i="4"/>
  <c r="AD364" i="4"/>
  <c r="AE364" i="4"/>
  <c r="AA387" i="4"/>
  <c r="AH387" i="4"/>
  <c r="AK387" i="4" s="1"/>
  <c r="AL387" i="4" s="1"/>
  <c r="AH386" i="4"/>
  <c r="AA386" i="4"/>
  <c r="AA379" i="4"/>
  <c r="AH379" i="4"/>
  <c r="AK379" i="4" s="1"/>
  <c r="AL379" i="4" s="1"/>
  <c r="AH378" i="4"/>
  <c r="AA378" i="4"/>
  <c r="Z373" i="4"/>
  <c r="Y372" i="4"/>
  <c r="Z366" i="4"/>
  <c r="Y367" i="4"/>
  <c r="AK364" i="4"/>
  <c r="AL364" i="4" s="1"/>
  <c r="AK405" i="4"/>
  <c r="AL405" i="4" s="1"/>
  <c r="AK404" i="4"/>
  <c r="AL404" i="4" s="1"/>
  <c r="AE405" i="4"/>
  <c r="AD405" i="4"/>
  <c r="Y450" i="4"/>
  <c r="Z451" i="4"/>
  <c r="Z438" i="4"/>
  <c r="Y439" i="4"/>
  <c r="AA408" i="4"/>
  <c r="AH408" i="4"/>
  <c r="AK408" i="4" s="1"/>
  <c r="AL408" i="4" s="1"/>
  <c r="AH396" i="4"/>
  <c r="AK396" i="4" s="1"/>
  <c r="AL396" i="4" s="1"/>
  <c r="AH401" i="4"/>
  <c r="AK401" i="4" s="1"/>
  <c r="AL401" i="4" s="1"/>
  <c r="AA419" i="4"/>
  <c r="AH419" i="4"/>
  <c r="AK419" i="4" s="1"/>
  <c r="AL419" i="4" s="1"/>
  <c r="AD391" i="4"/>
  <c r="AE391" i="4"/>
  <c r="Z395" i="4"/>
  <c r="Y394" i="4"/>
  <c r="AE390" i="4"/>
  <c r="AD390" i="4"/>
  <c r="AH400" i="4"/>
  <c r="AE401" i="4"/>
  <c r="AD401" i="4"/>
  <c r="AH397" i="4"/>
  <c r="AE396" i="4"/>
  <c r="AD396" i="4"/>
  <c r="AA421" i="4"/>
  <c r="AH421" i="4"/>
  <c r="AK421" i="4" s="1"/>
  <c r="AL421" i="4" s="1"/>
  <c r="AD404" i="4"/>
  <c r="AE404" i="4"/>
  <c r="AA400" i="4"/>
  <c r="AK390" i="4"/>
  <c r="AL390" i="4" s="1"/>
  <c r="AA397" i="4"/>
  <c r="AA418" i="4"/>
  <c r="AH418" i="4"/>
  <c r="AK418" i="4" s="1"/>
  <c r="AL418" i="4" s="1"/>
  <c r="AA420" i="4"/>
  <c r="AH420" i="4"/>
  <c r="AK420" i="4" s="1"/>
  <c r="AL420" i="4" s="1"/>
  <c r="Z413" i="4" l="1"/>
  <c r="Y412" i="4"/>
  <c r="AH409" i="4"/>
  <c r="AA409" i="4"/>
  <c r="AE387" i="4"/>
  <c r="AD387" i="4"/>
  <c r="Z416" i="4"/>
  <c r="Y417" i="4"/>
  <c r="AE386" i="4"/>
  <c r="AD386" i="4"/>
  <c r="AE379" i="4"/>
  <c r="AD379" i="4"/>
  <c r="Z407" i="4"/>
  <c r="Y406" i="4"/>
  <c r="AD378" i="4"/>
  <c r="AE378" i="4"/>
  <c r="AH373" i="4"/>
  <c r="AA373" i="4"/>
  <c r="AA372" i="4"/>
  <c r="AH372" i="4"/>
  <c r="AK372" i="4" s="1"/>
  <c r="AL372" i="4" s="1"/>
  <c r="AH366" i="4"/>
  <c r="AA366" i="4"/>
  <c r="AA367" i="4"/>
  <c r="AH367" i="4"/>
  <c r="AK367" i="4" s="1"/>
  <c r="AL367" i="4" s="1"/>
  <c r="Z415" i="4"/>
  <c r="Y414" i="4"/>
  <c r="AK386" i="4"/>
  <c r="AL386" i="4" s="1"/>
  <c r="AK378" i="4"/>
  <c r="AL378" i="4" s="1"/>
  <c r="AD408" i="4"/>
  <c r="AE408" i="4"/>
  <c r="Y437" i="4"/>
  <c r="Z436" i="4"/>
  <c r="Y424" i="4"/>
  <c r="Z425" i="4"/>
  <c r="Z447" i="4"/>
  <c r="Y446" i="4"/>
  <c r="AD419" i="4"/>
  <c r="AE419" i="4"/>
  <c r="Z434" i="4"/>
  <c r="Y435" i="4"/>
  <c r="AA394" i="4"/>
  <c r="AH394" i="4"/>
  <c r="AK394" i="4" s="1"/>
  <c r="AL394" i="4" s="1"/>
  <c r="AD421" i="4"/>
  <c r="AE421" i="4"/>
  <c r="Y443" i="4"/>
  <c r="Z442" i="4"/>
  <c r="AD400" i="4"/>
  <c r="AE400" i="4"/>
  <c r="Y413" i="4"/>
  <c r="Z412" i="4"/>
  <c r="AD397" i="4"/>
  <c r="AE397" i="4"/>
  <c r="AD418" i="4"/>
  <c r="AE418" i="4"/>
  <c r="Z437" i="4"/>
  <c r="Y436" i="4"/>
  <c r="AD420" i="4"/>
  <c r="AE420" i="4"/>
  <c r="Y447" i="4"/>
  <c r="Z446" i="4"/>
  <c r="AA446" i="4" s="1"/>
  <c r="AK400" i="4"/>
  <c r="AL400" i="4" s="1"/>
  <c r="AK397" i="4"/>
  <c r="AL397" i="4" s="1"/>
  <c r="AA395" i="4"/>
  <c r="AH395" i="4"/>
  <c r="AK395" i="4" s="1"/>
  <c r="AL395" i="4" s="1"/>
  <c r="AK409" i="4" l="1"/>
  <c r="AL409" i="4" s="1"/>
  <c r="AK373" i="4"/>
  <c r="AL373" i="4" s="1"/>
  <c r="Y445" i="4"/>
  <c r="Z444" i="4"/>
  <c r="AD409" i="4"/>
  <c r="AE409" i="4"/>
  <c r="AH416" i="4"/>
  <c r="AA416" i="4"/>
  <c r="AH417" i="4"/>
  <c r="AA417" i="4"/>
  <c r="AH407" i="4"/>
  <c r="AA407" i="4"/>
  <c r="AA406" i="4"/>
  <c r="AH406" i="4"/>
  <c r="AK406" i="4" s="1"/>
  <c r="AL406" i="4" s="1"/>
  <c r="Y398" i="4"/>
  <c r="Z399" i="4"/>
  <c r="AD373" i="4"/>
  <c r="AE373" i="4"/>
  <c r="AE372" i="4"/>
  <c r="AD372" i="4"/>
  <c r="Y402" i="4"/>
  <c r="Z403" i="4"/>
  <c r="AD366" i="4"/>
  <c r="AE366" i="4"/>
  <c r="AE367" i="4"/>
  <c r="AD367" i="4"/>
  <c r="Z410" i="4"/>
  <c r="Y411" i="4"/>
  <c r="AH415" i="4"/>
  <c r="AA415" i="4"/>
  <c r="AA414" i="4"/>
  <c r="AH414" i="4"/>
  <c r="AK414" i="4" s="1"/>
  <c r="AL414" i="4" s="1"/>
  <c r="Y403" i="4"/>
  <c r="Z402" i="4"/>
  <c r="AA402" i="4" s="1"/>
  <c r="Y399" i="4"/>
  <c r="AH399" i="4" s="1"/>
  <c r="Z398" i="4"/>
  <c r="AA398" i="4" s="1"/>
  <c r="AA437" i="4"/>
  <c r="AK366" i="4"/>
  <c r="AL366" i="4" s="1"/>
  <c r="AH437" i="4"/>
  <c r="AK437" i="4" s="1"/>
  <c r="AL437" i="4" s="1"/>
  <c r="AH446" i="4"/>
  <c r="AK446" i="4" s="1"/>
  <c r="AL446" i="4" s="1"/>
  <c r="AD394" i="4"/>
  <c r="AE394" i="4"/>
  <c r="Z426" i="4"/>
  <c r="Y427" i="4"/>
  <c r="AA413" i="4"/>
  <c r="AH413" i="4"/>
  <c r="AH412" i="4"/>
  <c r="AA412" i="4"/>
  <c r="AH436" i="4"/>
  <c r="AH447" i="4"/>
  <c r="AE446" i="4"/>
  <c r="AD446" i="4"/>
  <c r="Z435" i="4"/>
  <c r="Y434" i="4"/>
  <c r="Z427" i="4"/>
  <c r="Y426" i="4"/>
  <c r="AD395" i="4"/>
  <c r="AE395" i="4"/>
  <c r="Z439" i="4"/>
  <c r="Y438" i="4"/>
  <c r="AA447" i="4"/>
  <c r="AA436" i="4"/>
  <c r="AA427" i="4" l="1"/>
  <c r="AD402" i="4"/>
  <c r="AE402" i="4"/>
  <c r="AH403" i="4"/>
  <c r="AE416" i="4"/>
  <c r="AD416" i="4"/>
  <c r="AE417" i="4"/>
  <c r="AD417" i="4"/>
  <c r="AE407" i="4"/>
  <c r="AD407" i="4"/>
  <c r="AE406" i="4"/>
  <c r="AD406" i="4"/>
  <c r="Y441" i="4"/>
  <c r="Z440" i="4"/>
  <c r="AH410" i="4"/>
  <c r="AA410" i="4"/>
  <c r="AH411" i="4"/>
  <c r="AA411" i="4"/>
  <c r="AD415" i="4"/>
  <c r="AE415" i="4"/>
  <c r="AE414" i="4"/>
  <c r="AD414" i="4"/>
  <c r="Z433" i="4"/>
  <c r="Y432" i="4"/>
  <c r="AD398" i="4"/>
  <c r="AE398" i="4"/>
  <c r="Y392" i="4"/>
  <c r="Z393" i="4"/>
  <c r="AK416" i="4"/>
  <c r="AL416" i="4" s="1"/>
  <c r="AK417" i="4"/>
  <c r="AL417" i="4" s="1"/>
  <c r="AK407" i="4"/>
  <c r="AL407" i="4" s="1"/>
  <c r="AA399" i="4"/>
  <c r="AK415" i="4"/>
  <c r="AL415" i="4" s="1"/>
  <c r="AH398" i="4"/>
  <c r="AK398" i="4" s="1"/>
  <c r="AL398" i="4" s="1"/>
  <c r="AA403" i="4"/>
  <c r="AK413" i="4"/>
  <c r="AL413" i="4" s="1"/>
  <c r="AH402" i="4"/>
  <c r="AK402" i="4" s="1"/>
  <c r="AL402" i="4" s="1"/>
  <c r="AE437" i="4"/>
  <c r="AD437" i="4"/>
  <c r="Y462" i="4"/>
  <c r="Z463" i="4"/>
  <c r="Z478" i="4"/>
  <c r="Y479" i="4"/>
  <c r="AH427" i="4"/>
  <c r="AK427" i="4" s="1"/>
  <c r="AL427" i="4" s="1"/>
  <c r="AD413" i="4"/>
  <c r="AE413" i="4"/>
  <c r="Y440" i="4"/>
  <c r="Z441" i="4"/>
  <c r="AE412" i="4"/>
  <c r="AD412" i="4"/>
  <c r="AA434" i="4"/>
  <c r="AH434" i="4"/>
  <c r="AK434" i="4" s="1"/>
  <c r="AL434" i="4" s="1"/>
  <c r="AE427" i="4"/>
  <c r="AD427" i="4"/>
  <c r="AH426" i="4"/>
  <c r="AH439" i="4"/>
  <c r="AA439" i="4"/>
  <c r="AA438" i="4"/>
  <c r="AH438" i="4"/>
  <c r="AK438" i="4" s="1"/>
  <c r="AL438" i="4" s="1"/>
  <c r="AD447" i="4"/>
  <c r="AE447" i="4"/>
  <c r="AD436" i="4"/>
  <c r="AE436" i="4"/>
  <c r="AA426" i="4"/>
  <c r="AK436" i="4"/>
  <c r="AL436" i="4" s="1"/>
  <c r="AK412" i="4"/>
  <c r="AL412" i="4" s="1"/>
  <c r="AK447" i="4"/>
  <c r="AL447" i="4" s="1"/>
  <c r="AA435" i="4"/>
  <c r="AH435" i="4"/>
  <c r="AK435" i="4" s="1"/>
  <c r="AL435" i="4" s="1"/>
  <c r="AD410" i="4" l="1"/>
  <c r="AE410" i="4"/>
  <c r="AE411" i="4"/>
  <c r="AD411" i="4"/>
  <c r="AH392" i="4"/>
  <c r="AA392" i="4"/>
  <c r="AA393" i="4"/>
  <c r="AH393" i="4"/>
  <c r="AK393" i="4" s="1"/>
  <c r="AL393" i="4" s="1"/>
  <c r="Z432" i="4"/>
  <c r="Y433" i="4"/>
  <c r="Y423" i="4"/>
  <c r="Z422" i="4"/>
  <c r="Z424" i="4"/>
  <c r="Y425" i="4"/>
  <c r="AD399" i="4"/>
  <c r="AE399" i="4"/>
  <c r="AK399" i="4"/>
  <c r="AL399" i="4" s="1"/>
  <c r="Y444" i="4"/>
  <c r="Z445" i="4"/>
  <c r="Y430" i="4"/>
  <c r="Z431" i="4"/>
  <c r="AK403" i="4"/>
  <c r="AL403" i="4" s="1"/>
  <c r="AD403" i="4"/>
  <c r="AE403" i="4"/>
  <c r="Y448" i="4"/>
  <c r="Z449" i="4"/>
  <c r="AK426" i="4"/>
  <c r="AL426" i="4" s="1"/>
  <c r="Y454" i="4" s="1"/>
  <c r="AK439" i="4"/>
  <c r="AL439" i="4" s="1"/>
  <c r="AK410" i="4"/>
  <c r="AL410" i="4" s="1"/>
  <c r="AK411" i="4"/>
  <c r="AL411" i="4" s="1"/>
  <c r="Y457" i="4"/>
  <c r="Z456" i="4"/>
  <c r="AA440" i="4"/>
  <c r="AH440" i="4"/>
  <c r="AK440" i="4" s="1"/>
  <c r="AL440" i="4" s="1"/>
  <c r="AH441" i="4"/>
  <c r="AA441" i="4"/>
  <c r="AD434" i="4"/>
  <c r="AE434" i="4"/>
  <c r="Z469" i="4"/>
  <c r="Y468" i="4"/>
  <c r="Z455" i="4"/>
  <c r="Z452" i="4"/>
  <c r="Y453" i="4"/>
  <c r="AE439" i="4"/>
  <c r="AD439" i="4"/>
  <c r="AD438" i="4"/>
  <c r="AE438" i="4"/>
  <c r="Z454" i="4"/>
  <c r="Y455" i="4"/>
  <c r="AD426" i="4"/>
  <c r="AE426" i="4"/>
  <c r="Y469" i="4"/>
  <c r="Z468" i="4"/>
  <c r="Y428" i="4"/>
  <c r="Z429" i="4"/>
  <c r="Y477" i="4"/>
  <c r="Z476" i="4"/>
  <c r="AD435" i="4"/>
  <c r="AE435" i="4"/>
  <c r="Y481" i="4"/>
  <c r="Z480" i="4"/>
  <c r="AK441" i="4" l="1"/>
  <c r="AL441" i="4" s="1"/>
  <c r="AE392" i="4"/>
  <c r="AD392" i="4"/>
  <c r="AE393" i="4"/>
  <c r="AD393" i="4"/>
  <c r="Z423" i="4"/>
  <c r="Y422" i="4"/>
  <c r="AH432" i="4"/>
  <c r="AA432" i="4"/>
  <c r="AA433" i="4"/>
  <c r="AH433" i="4"/>
  <c r="AK433" i="4" s="1"/>
  <c r="AL433" i="4" s="1"/>
  <c r="AH424" i="4"/>
  <c r="AA424" i="4"/>
  <c r="AA425" i="4"/>
  <c r="AH425" i="4"/>
  <c r="Z428" i="4"/>
  <c r="Y429" i="4"/>
  <c r="AA444" i="4"/>
  <c r="AH444" i="4"/>
  <c r="AK444" i="4" s="1"/>
  <c r="AL444" i="4" s="1"/>
  <c r="AH445" i="4"/>
  <c r="AA445" i="4"/>
  <c r="Y431" i="4"/>
  <c r="Z430" i="4"/>
  <c r="Z448" i="4"/>
  <c r="Y449" i="4"/>
  <c r="Z450" i="4"/>
  <c r="Y451" i="4"/>
  <c r="AA469" i="4"/>
  <c r="AA454" i="4"/>
  <c r="AK392" i="4"/>
  <c r="AL392" i="4" s="1"/>
  <c r="AD440" i="4"/>
  <c r="AE440" i="4"/>
  <c r="Z481" i="4"/>
  <c r="Y480" i="4"/>
  <c r="Y461" i="4"/>
  <c r="Z460" i="4"/>
  <c r="AE441" i="4"/>
  <c r="AD441" i="4"/>
  <c r="AE469" i="4"/>
  <c r="AD469" i="4"/>
  <c r="AH468" i="4"/>
  <c r="AH454" i="4"/>
  <c r="AK454" i="4" s="1"/>
  <c r="AL454" i="4" s="1"/>
  <c r="AH455" i="4"/>
  <c r="AH469" i="4"/>
  <c r="AA455" i="4"/>
  <c r="AA468" i="4"/>
  <c r="AK425" i="4" l="1"/>
  <c r="AL425" i="4" s="1"/>
  <c r="AK455" i="4"/>
  <c r="AL455" i="4" s="1"/>
  <c r="AK469" i="4"/>
  <c r="AL469" i="4" s="1"/>
  <c r="AA428" i="4"/>
  <c r="AH428" i="4"/>
  <c r="AK428" i="4" s="1"/>
  <c r="AL428" i="4" s="1"/>
  <c r="AA429" i="4"/>
  <c r="AH429" i="4"/>
  <c r="AD454" i="4"/>
  <c r="AE454" i="4"/>
  <c r="AK432" i="4"/>
  <c r="AL432" i="4" s="1"/>
  <c r="AH423" i="4"/>
  <c r="AA423" i="4"/>
  <c r="AA422" i="4"/>
  <c r="AH422" i="4"/>
  <c r="AK422" i="4" s="1"/>
  <c r="AL422" i="4" s="1"/>
  <c r="Y475" i="4"/>
  <c r="Z474" i="4"/>
  <c r="AE432" i="4"/>
  <c r="AD432" i="4"/>
  <c r="AE433" i="4"/>
  <c r="AD433" i="4"/>
  <c r="Y452" i="4"/>
  <c r="Z453" i="4"/>
  <c r="AD424" i="4"/>
  <c r="AE424" i="4"/>
  <c r="AE425" i="4"/>
  <c r="AD425" i="4"/>
  <c r="Y478" i="4"/>
  <c r="Z479" i="4"/>
  <c r="AE444" i="4"/>
  <c r="AD444" i="4"/>
  <c r="Z466" i="4"/>
  <c r="Y467" i="4"/>
  <c r="AE445" i="4"/>
  <c r="AD445" i="4"/>
  <c r="AH431" i="4"/>
  <c r="AA431" i="4"/>
  <c r="AA430" i="4"/>
  <c r="AH430" i="4"/>
  <c r="AK430" i="4" s="1"/>
  <c r="AL430" i="4" s="1"/>
  <c r="Y464" i="4" s="1"/>
  <c r="AH448" i="4"/>
  <c r="AA448" i="4"/>
  <c r="AA449" i="4"/>
  <c r="AH449" i="4"/>
  <c r="AK449" i="4" s="1"/>
  <c r="AL449" i="4" s="1"/>
  <c r="AA450" i="4"/>
  <c r="AH450" i="4"/>
  <c r="AH451" i="4"/>
  <c r="AA451" i="4"/>
  <c r="Z443" i="4"/>
  <c r="Y442" i="4"/>
  <c r="AK445" i="4"/>
  <c r="AL445" i="4" s="1"/>
  <c r="AK424" i="4"/>
  <c r="AL424" i="4" s="1"/>
  <c r="AA480" i="4"/>
  <c r="AH480" i="4"/>
  <c r="AK480" i="4" s="1"/>
  <c r="AL480" i="4" s="1"/>
  <c r="Y485" i="4"/>
  <c r="Z484" i="4"/>
  <c r="AD428" i="4"/>
  <c r="AE428" i="4"/>
  <c r="Z461" i="4"/>
  <c r="Y460" i="4"/>
  <c r="AE429" i="4"/>
  <c r="AD429" i="4"/>
  <c r="AD455" i="4"/>
  <c r="AE455" i="4"/>
  <c r="AD468" i="4"/>
  <c r="AE468" i="4"/>
  <c r="Z465" i="4"/>
  <c r="AK468" i="4"/>
  <c r="AL468" i="4" s="1"/>
  <c r="AK429" i="4"/>
  <c r="AL429" i="4" s="1"/>
  <c r="AA481" i="4"/>
  <c r="AH481" i="4"/>
  <c r="AK481" i="4" s="1"/>
  <c r="AL481" i="4" s="1"/>
  <c r="M15" i="5" s="1"/>
  <c r="N15" i="5" s="1"/>
  <c r="AK448" i="4" l="1"/>
  <c r="AL448" i="4" s="1"/>
  <c r="AE423" i="4"/>
  <c r="AD423" i="4"/>
  <c r="AD422" i="4"/>
  <c r="AE422" i="4"/>
  <c r="Y466" i="4"/>
  <c r="Z467" i="4"/>
  <c r="AH452" i="4"/>
  <c r="AA452" i="4"/>
  <c r="AA453" i="4"/>
  <c r="AH453" i="4"/>
  <c r="AK453" i="4" s="1"/>
  <c r="AL453" i="4" s="1"/>
  <c r="M25" i="5" s="1"/>
  <c r="N25" i="5" s="1"/>
  <c r="AH478" i="4"/>
  <c r="AA478" i="4"/>
  <c r="AH479" i="4"/>
  <c r="AA479" i="4"/>
  <c r="AE431" i="4"/>
  <c r="AD431" i="4"/>
  <c r="AD430" i="4"/>
  <c r="AE430" i="4"/>
  <c r="Z457" i="4"/>
  <c r="Y456" i="4"/>
  <c r="AD448" i="4"/>
  <c r="AE448" i="4"/>
  <c r="AE449" i="4"/>
  <c r="AD449" i="4"/>
  <c r="Z477" i="4"/>
  <c r="Y476" i="4"/>
  <c r="AD450" i="4"/>
  <c r="AE450" i="4"/>
  <c r="AE451" i="4"/>
  <c r="AD451" i="4"/>
  <c r="AA443" i="4"/>
  <c r="AH443" i="4"/>
  <c r="AK443" i="4" s="1"/>
  <c r="AL443" i="4" s="1"/>
  <c r="AA442" i="4"/>
  <c r="AH442" i="4"/>
  <c r="AK442" i="4" s="1"/>
  <c r="AL442" i="4" s="1"/>
  <c r="Y474" i="4"/>
  <c r="Z475" i="4"/>
  <c r="Y463" i="4"/>
  <c r="Z462" i="4"/>
  <c r="AK431" i="4"/>
  <c r="AL431" i="4" s="1"/>
  <c r="AK450" i="4"/>
  <c r="AL450" i="4" s="1"/>
  <c r="AK451" i="4"/>
  <c r="AL451" i="4" s="1"/>
  <c r="AK423" i="4"/>
  <c r="AL423" i="4" s="1"/>
  <c r="AD480" i="4"/>
  <c r="AE480" i="4"/>
  <c r="Z489" i="4"/>
  <c r="Y488" i="4"/>
  <c r="AA460" i="4"/>
  <c r="AH460" i="4"/>
  <c r="AK460" i="4" s="1"/>
  <c r="AL460" i="4" s="1"/>
  <c r="Z491" i="4"/>
  <c r="Y490" i="4"/>
  <c r="Z472" i="4"/>
  <c r="Y473" i="4"/>
  <c r="AD481" i="4"/>
  <c r="AE481" i="4"/>
  <c r="AA461" i="4"/>
  <c r="AH461" i="4"/>
  <c r="AK461" i="4" s="1"/>
  <c r="AL461" i="4" s="1"/>
  <c r="AK478" i="4" l="1"/>
  <c r="AL478" i="4" s="1"/>
  <c r="AA466" i="4"/>
  <c r="AH466" i="4"/>
  <c r="AK466" i="4" s="1"/>
  <c r="AL466" i="4" s="1"/>
  <c r="AH467" i="4"/>
  <c r="AA467" i="4"/>
  <c r="AE452" i="4"/>
  <c r="AD452" i="4"/>
  <c r="AE453" i="4"/>
  <c r="AD453" i="4"/>
  <c r="AE478" i="4"/>
  <c r="AD478" i="4"/>
  <c r="AE479" i="4"/>
  <c r="AD479" i="4"/>
  <c r="AH457" i="4"/>
  <c r="AA457" i="4"/>
  <c r="AH456" i="4"/>
  <c r="AA456" i="4"/>
  <c r="AH477" i="4"/>
  <c r="AA477" i="4"/>
  <c r="AA476" i="4"/>
  <c r="AH476" i="4"/>
  <c r="AK476" i="4" s="1"/>
  <c r="AL476" i="4" s="1"/>
  <c r="AE443" i="4"/>
  <c r="AD443" i="4"/>
  <c r="Z458" i="4"/>
  <c r="Y459" i="4"/>
  <c r="AE442" i="4"/>
  <c r="AD442" i="4"/>
  <c r="Z464" i="4"/>
  <c r="Y465" i="4"/>
  <c r="AA474" i="4"/>
  <c r="AH474" i="4"/>
  <c r="AK474" i="4" s="1"/>
  <c r="AL474" i="4" s="1"/>
  <c r="M36" i="5" s="1"/>
  <c r="N36" i="5" s="1"/>
  <c r="AH475" i="4"/>
  <c r="AA475" i="4"/>
  <c r="AH463" i="4"/>
  <c r="AA463" i="4"/>
  <c r="AH462" i="4"/>
  <c r="AA462" i="4"/>
  <c r="Z473" i="4"/>
  <c r="Y472" i="4"/>
  <c r="Y470" i="4"/>
  <c r="Z471" i="4"/>
  <c r="Z459" i="4"/>
  <c r="AA459" i="4" s="1"/>
  <c r="Y458" i="4"/>
  <c r="AH458" i="4" s="1"/>
  <c r="Z470" i="4"/>
  <c r="AA470" i="4" s="1"/>
  <c r="Y471" i="4"/>
  <c r="AH471" i="4" s="1"/>
  <c r="AK479" i="4"/>
  <c r="AL479" i="4" s="1"/>
  <c r="AK452" i="4"/>
  <c r="AL452" i="4" s="1"/>
  <c r="AD460" i="4"/>
  <c r="AE460" i="4"/>
  <c r="Z497" i="4"/>
  <c r="Y496" i="4"/>
  <c r="AD461" i="4"/>
  <c r="AE461" i="4"/>
  <c r="Y486" i="4"/>
  <c r="Z487" i="4"/>
  <c r="AK456" i="4" l="1"/>
  <c r="AL456" i="4" s="1"/>
  <c r="AK463" i="4"/>
  <c r="AL463" i="4" s="1"/>
  <c r="M10" i="5" s="1"/>
  <c r="N10" i="5" s="1"/>
  <c r="M31" i="5"/>
  <c r="N31" i="5" s="1"/>
  <c r="M33" i="5"/>
  <c r="N33" i="5" s="1"/>
  <c r="AK467" i="4"/>
  <c r="AL467" i="4" s="1"/>
  <c r="M5" i="5" s="1"/>
  <c r="N5" i="5" s="1"/>
  <c r="AD466" i="4"/>
  <c r="AE466" i="4"/>
  <c r="Y489" i="4"/>
  <c r="Z488" i="4"/>
  <c r="AD467" i="4"/>
  <c r="AE467" i="4"/>
  <c r="AE457" i="4"/>
  <c r="AD457" i="4"/>
  <c r="Z483" i="4"/>
  <c r="Y482" i="4"/>
  <c r="AE456" i="4"/>
  <c r="AD456" i="4"/>
  <c r="AD477" i="4"/>
  <c r="AE477" i="4"/>
  <c r="AE476" i="4"/>
  <c r="AD476" i="4"/>
  <c r="AH464" i="4"/>
  <c r="AA464" i="4"/>
  <c r="AA465" i="4"/>
  <c r="AH465" i="4"/>
  <c r="AK465" i="4" s="1"/>
  <c r="AL465" i="4" s="1"/>
  <c r="AE474" i="4"/>
  <c r="AD474" i="4"/>
  <c r="AE475" i="4"/>
  <c r="AD475" i="4"/>
  <c r="AD463" i="4"/>
  <c r="AE463" i="4"/>
  <c r="AD462" i="4"/>
  <c r="AE462" i="4"/>
  <c r="AE459" i="4"/>
  <c r="AD459" i="4"/>
  <c r="AE470" i="4"/>
  <c r="AD470" i="4"/>
  <c r="Z492" i="4"/>
  <c r="Y493" i="4"/>
  <c r="Z495" i="4"/>
  <c r="Y494" i="4"/>
  <c r="AK457" i="4"/>
  <c r="AL457" i="4" s="1"/>
  <c r="M6" i="5" s="1"/>
  <c r="N6" i="5" s="1"/>
  <c r="AA458" i="4"/>
  <c r="AK475" i="4"/>
  <c r="AL475" i="4" s="1"/>
  <c r="AK462" i="4"/>
  <c r="AL462" i="4" s="1"/>
  <c r="M34" i="5" s="1"/>
  <c r="N34" i="5" s="1"/>
  <c r="AH470" i="4"/>
  <c r="AK470" i="4" s="1"/>
  <c r="AL470" i="4" s="1"/>
  <c r="AK477" i="4"/>
  <c r="AL477" i="4" s="1"/>
  <c r="AA471" i="4"/>
  <c r="AH459" i="4"/>
  <c r="AK459" i="4" s="1"/>
  <c r="AL459" i="4" s="1"/>
  <c r="AA473" i="4"/>
  <c r="AH473" i="4"/>
  <c r="AK473" i="4" s="1"/>
  <c r="AL473" i="4" s="1"/>
  <c r="M7" i="5" s="1"/>
  <c r="N7" i="5" s="1"/>
  <c r="AH472" i="4"/>
  <c r="AA472" i="4"/>
  <c r="AE472" i="4"/>
  <c r="AD472" i="4"/>
  <c r="M21" i="5" l="1"/>
  <c r="N21" i="5" s="1"/>
  <c r="AK472" i="4"/>
  <c r="AL472" i="4" s="1"/>
  <c r="M35" i="5" s="1"/>
  <c r="N35" i="5" s="1"/>
  <c r="Z486" i="4"/>
  <c r="Y487" i="4"/>
  <c r="AK464" i="4"/>
  <c r="AL464" i="4" s="1"/>
  <c r="M11" i="5" s="1"/>
  <c r="N11" i="5" s="1"/>
  <c r="AD473" i="4"/>
  <c r="AE473" i="4"/>
  <c r="AH489" i="4"/>
  <c r="AA489" i="4"/>
  <c r="AA488" i="4"/>
  <c r="AH488" i="4"/>
  <c r="AK488" i="4" s="1"/>
  <c r="AL488" i="4" s="1"/>
  <c r="AE464" i="4"/>
  <c r="AD464" i="4"/>
  <c r="AD465" i="4"/>
  <c r="AE465" i="4"/>
  <c r="AD458" i="4"/>
  <c r="AE458" i="4"/>
  <c r="AK458" i="4"/>
  <c r="AL458" i="4" s="1"/>
  <c r="Y484" i="4"/>
  <c r="Z485" i="4"/>
  <c r="AD471" i="4"/>
  <c r="AE471" i="4"/>
  <c r="AK471" i="4"/>
  <c r="AL471" i="4" s="1"/>
  <c r="AA487" i="4"/>
  <c r="AH487" i="4"/>
  <c r="AK487" i="4" s="1"/>
  <c r="AL487" i="4" s="1"/>
  <c r="M18" i="5" s="1"/>
  <c r="N18" i="5" s="1"/>
  <c r="AA486" i="4" l="1"/>
  <c r="AH486" i="4"/>
  <c r="AK486" i="4" s="1"/>
  <c r="AL486" i="4" s="1"/>
  <c r="M26" i="5"/>
  <c r="N26" i="5" s="1"/>
  <c r="M27" i="5"/>
  <c r="N27" i="5" s="1"/>
  <c r="AD489" i="4"/>
  <c r="AE489" i="4"/>
  <c r="AD488" i="4"/>
  <c r="AE488" i="4"/>
  <c r="Z490" i="4"/>
  <c r="Y491" i="4"/>
  <c r="Y483" i="4"/>
  <c r="Z482" i="4"/>
  <c r="AA484" i="4"/>
  <c r="AH484" i="4"/>
  <c r="AK484" i="4" s="1"/>
  <c r="AL484" i="4" s="1"/>
  <c r="AA485" i="4"/>
  <c r="AH485" i="4"/>
  <c r="AK489" i="4"/>
  <c r="AL489" i="4" s="1"/>
  <c r="M28" i="5" s="1"/>
  <c r="N28" i="5" s="1"/>
  <c r="AE487" i="4"/>
  <c r="AD487" i="4"/>
  <c r="AE486" i="4"/>
  <c r="AD486" i="4"/>
  <c r="Z494" i="4"/>
  <c r="Y495" i="4"/>
  <c r="AK485" i="4" l="1"/>
  <c r="AL485" i="4" s="1"/>
  <c r="M22" i="5" s="1"/>
  <c r="N22" i="5" s="1"/>
  <c r="AA490" i="4"/>
  <c r="AH490" i="4"/>
  <c r="AK490" i="4" s="1"/>
  <c r="AL490" i="4" s="1"/>
  <c r="AA491" i="4"/>
  <c r="AH491" i="4"/>
  <c r="AK491" i="4" s="1"/>
  <c r="AL491" i="4" s="1"/>
  <c r="M32" i="5" s="1"/>
  <c r="N32" i="5" s="1"/>
  <c r="AA483" i="4"/>
  <c r="AH483" i="4"/>
  <c r="AH482" i="4"/>
  <c r="AA482" i="4"/>
  <c r="AD484" i="4"/>
  <c r="AE484" i="4"/>
  <c r="Z496" i="4"/>
  <c r="Y497" i="4"/>
  <c r="AD485" i="4"/>
  <c r="AE485" i="4"/>
  <c r="AH494" i="4"/>
  <c r="AA494" i="4"/>
  <c r="AA495" i="4"/>
  <c r="AH495" i="4"/>
  <c r="AK495" i="4" s="1"/>
  <c r="AL495" i="4" s="1"/>
  <c r="M29" i="5" l="1"/>
  <c r="N29" i="5" s="1"/>
  <c r="M30" i="5"/>
  <c r="N30" i="5" s="1"/>
  <c r="AK483" i="4"/>
  <c r="AL483" i="4" s="1"/>
  <c r="M8" i="5" s="1"/>
  <c r="N8" i="5" s="1"/>
  <c r="AK482" i="4"/>
  <c r="AL482" i="4" s="1"/>
  <c r="AE490" i="4"/>
  <c r="AD490" i="4"/>
  <c r="Z499" i="4"/>
  <c r="Y498" i="4"/>
  <c r="AD491" i="4"/>
  <c r="AE491" i="4"/>
  <c r="AD483" i="4"/>
  <c r="AE483" i="4"/>
  <c r="Z493" i="4"/>
  <c r="Y492" i="4"/>
  <c r="AD482" i="4"/>
  <c r="AE482" i="4"/>
  <c r="AH496" i="4"/>
  <c r="AA496" i="4"/>
  <c r="AA497" i="4"/>
  <c r="AH497" i="4"/>
  <c r="AK497" i="4" s="1"/>
  <c r="AL497" i="4" s="1"/>
  <c r="M13" i="5" s="1"/>
  <c r="N13" i="5" s="1"/>
  <c r="AK494" i="4"/>
  <c r="AL494" i="4" s="1"/>
  <c r="Y500" i="4" s="1"/>
  <c r="Z501" i="4"/>
  <c r="AD494" i="4"/>
  <c r="AE494" i="4"/>
  <c r="AE495" i="4"/>
  <c r="AD495" i="4"/>
  <c r="AA493" i="4" l="1"/>
  <c r="AH493" i="4"/>
  <c r="AK493" i="4" s="1"/>
  <c r="AL493" i="4" s="1"/>
  <c r="M14" i="5" s="1"/>
  <c r="N14" i="5" s="1"/>
  <c r="AH492" i="4"/>
  <c r="AA492" i="4"/>
  <c r="AD496" i="4"/>
  <c r="AE496" i="4"/>
  <c r="AD497" i="4"/>
  <c r="AE497" i="4"/>
  <c r="AK496" i="4"/>
  <c r="AL496" i="4" s="1"/>
  <c r="AK492" i="4" l="1"/>
  <c r="AL492" i="4" s="1"/>
  <c r="AE493" i="4"/>
  <c r="AD493" i="4"/>
  <c r="Z500" i="4"/>
  <c r="Y501" i="4"/>
  <c r="AD492" i="4"/>
  <c r="AE492" i="4"/>
  <c r="Y499" i="4"/>
  <c r="Z498" i="4"/>
  <c r="AA500" i="4" l="1"/>
  <c r="AH500" i="4"/>
  <c r="AK500" i="4" s="1"/>
  <c r="AL500" i="4" s="1"/>
  <c r="AA501" i="4"/>
  <c r="AH501" i="4"/>
  <c r="AK501" i="4" s="1"/>
  <c r="AL501" i="4" s="1"/>
  <c r="AA499" i="4"/>
  <c r="AH499" i="4"/>
  <c r="AK499" i="4" s="1"/>
  <c r="AL499" i="4" s="1"/>
  <c r="M9" i="5" s="1"/>
  <c r="N9" i="5" s="1"/>
  <c r="AH498" i="4"/>
  <c r="AA498" i="4"/>
  <c r="M19" i="5" l="1"/>
  <c r="N19" i="5" s="1"/>
  <c r="M20" i="5"/>
  <c r="N20" i="5" s="1"/>
  <c r="AD500" i="4"/>
  <c r="AE500" i="4"/>
  <c r="Z502" i="4"/>
  <c r="Y503" i="4"/>
  <c r="AD501" i="4"/>
  <c r="AE501" i="4"/>
  <c r="AD499" i="4"/>
  <c r="AE499" i="4"/>
  <c r="AE498" i="4"/>
  <c r="AD498" i="4"/>
  <c r="AK498" i="4"/>
  <c r="AL498" i="4" s="1"/>
  <c r="Z503" i="4" l="1"/>
  <c r="Y502" i="4"/>
  <c r="AH503" i="4" l="1"/>
  <c r="AA503" i="4"/>
  <c r="AA502" i="4"/>
  <c r="AH502" i="4"/>
  <c r="AK502" i="4" s="1"/>
  <c r="AL502" i="4" s="1"/>
  <c r="M16" i="5" s="1"/>
  <c r="N16" i="5" s="1"/>
  <c r="AD503" i="4" l="1"/>
  <c r="AE503" i="4"/>
  <c r="AD502" i="4"/>
  <c r="AE502" i="4"/>
  <c r="AK503" i="4"/>
  <c r="AL503" i="4" s="1"/>
  <c r="M23" i="5" l="1"/>
  <c r="N23" i="5" s="1"/>
  <c r="M24" i="5"/>
  <c r="N24" i="5" s="1"/>
  <c r="E16" i="5" l="1"/>
  <c r="C24" i="5"/>
  <c r="F12" i="5"/>
  <c r="C17" i="5"/>
  <c r="A31" i="5"/>
  <c r="C5" i="5"/>
  <c r="A16" i="5"/>
  <c r="D19" i="5"/>
  <c r="D8" i="5"/>
  <c r="C10" i="5"/>
  <c r="C23" i="5"/>
  <c r="E32" i="5"/>
  <c r="D28" i="5"/>
  <c r="D10" i="5"/>
  <c r="F5" i="5"/>
  <c r="B12" i="5"/>
  <c r="F25" i="5"/>
  <c r="D29" i="5"/>
  <c r="B10" i="5"/>
  <c r="D14" i="5"/>
  <c r="D22" i="5"/>
  <c r="C20" i="5"/>
  <c r="C27" i="5"/>
  <c r="F32" i="5"/>
  <c r="C16" i="5"/>
  <c r="E6" i="5"/>
  <c r="A5" i="5"/>
  <c r="A6" i="5"/>
  <c r="A33" i="5"/>
  <c r="D17" i="5"/>
  <c r="B19" i="5"/>
  <c r="D5" i="5"/>
  <c r="C21" i="5"/>
  <c r="F10" i="5"/>
  <c r="F17" i="5"/>
  <c r="B7" i="5"/>
  <c r="D23" i="5"/>
  <c r="A30" i="5"/>
  <c r="F13" i="5"/>
  <c r="B29" i="5"/>
  <c r="F33" i="5"/>
  <c r="A14" i="5"/>
  <c r="B27" i="5"/>
  <c r="A34" i="5"/>
  <c r="D34" i="5"/>
  <c r="F16" i="5"/>
  <c r="E13" i="5"/>
  <c r="D18" i="5"/>
  <c r="D15" i="5"/>
  <c r="A20" i="5"/>
  <c r="A18" i="5"/>
  <c r="F15" i="5"/>
  <c r="C7" i="5"/>
  <c r="D32" i="5"/>
  <c r="C15" i="5"/>
  <c r="B30" i="5"/>
  <c r="F26" i="5"/>
  <c r="F18" i="5"/>
  <c r="B15" i="5"/>
  <c r="F11" i="5"/>
  <c r="D7" i="5"/>
  <c r="E34" i="5"/>
  <c r="C32" i="5"/>
  <c r="C30" i="5"/>
  <c r="A25" i="5"/>
  <c r="E10" i="5"/>
  <c r="F22" i="5"/>
  <c r="D13" i="5"/>
  <c r="C26" i="5"/>
  <c r="A27" i="5"/>
  <c r="E15" i="5"/>
  <c r="E18" i="5"/>
  <c r="E21" i="5"/>
  <c r="D30" i="5"/>
  <c r="A28" i="5"/>
  <c r="A7" i="5"/>
  <c r="E14" i="5"/>
  <c r="C13" i="5"/>
  <c r="E5" i="5"/>
  <c r="A32" i="5"/>
  <c r="C29" i="5"/>
  <c r="B9" i="5"/>
  <c r="C14" i="5"/>
  <c r="B24" i="5"/>
  <c r="B6" i="5"/>
  <c r="E26" i="5"/>
  <c r="F29" i="5"/>
  <c r="B18" i="5"/>
  <c r="E9" i="5"/>
  <c r="C25" i="5"/>
  <c r="B26" i="5"/>
  <c r="B16" i="5"/>
  <c r="A9" i="5"/>
  <c r="E30" i="5"/>
  <c r="B21" i="5"/>
  <c r="F28" i="5"/>
  <c r="A22" i="5"/>
  <c r="C19" i="5"/>
  <c r="C22" i="5"/>
  <c r="B11" i="5"/>
  <c r="F9" i="5"/>
  <c r="F7" i="5"/>
  <c r="E33" i="5"/>
  <c r="B20" i="5"/>
  <c r="E12" i="5"/>
  <c r="F8" i="5"/>
  <c r="C31" i="5"/>
  <c r="C34" i="5"/>
  <c r="E22" i="5"/>
  <c r="B25" i="5"/>
  <c r="E25" i="5"/>
  <c r="A13" i="5"/>
  <c r="F24" i="5"/>
  <c r="F14" i="5"/>
  <c r="E27" i="5"/>
  <c r="F27" i="5"/>
  <c r="C8" i="5"/>
  <c r="D24" i="5"/>
  <c r="C18" i="5"/>
  <c r="B34" i="5"/>
  <c r="A23" i="5"/>
  <c r="C11" i="5"/>
  <c r="D33" i="5"/>
  <c r="A26" i="5"/>
  <c r="F23" i="5"/>
  <c r="D21" i="5"/>
  <c r="C28" i="5"/>
  <c r="C9" i="5"/>
  <c r="F19" i="5"/>
  <c r="B17" i="5"/>
  <c r="B14" i="5"/>
  <c r="E8" i="5"/>
  <c r="A8" i="5"/>
  <c r="B5" i="5"/>
  <c r="C33" i="5"/>
  <c r="D31" i="5"/>
  <c r="D26" i="5"/>
  <c r="A15" i="5"/>
  <c r="D6" i="5"/>
  <c r="D9" i="5"/>
  <c r="D16" i="5"/>
  <c r="B22" i="5"/>
  <c r="A12" i="5"/>
  <c r="B28" i="5"/>
  <c r="A10" i="5"/>
  <c r="A29" i="5"/>
  <c r="E29" i="5"/>
  <c r="B23" i="5"/>
  <c r="F21" i="5"/>
  <c r="E31" i="5"/>
  <c r="B13" i="5"/>
  <c r="B33" i="5"/>
  <c r="E20" i="5"/>
  <c r="D27" i="5"/>
  <c r="E7" i="5"/>
  <c r="A24" i="5"/>
  <c r="D12" i="5"/>
  <c r="C6" i="5"/>
  <c r="E24" i="5"/>
  <c r="E17" i="5"/>
  <c r="A21" i="5"/>
  <c r="E28" i="5"/>
  <c r="D20" i="5"/>
  <c r="F31" i="5"/>
  <c r="A19" i="5"/>
  <c r="B8" i="5"/>
  <c r="B31" i="5"/>
  <c r="D11" i="5"/>
  <c r="E19" i="5"/>
  <c r="D25" i="5"/>
  <c r="F34" i="5"/>
  <c r="F20" i="5"/>
  <c r="A11" i="5"/>
  <c r="E23" i="5"/>
  <c r="F6" i="5"/>
  <c r="F30" i="5"/>
  <c r="E11" i="5"/>
  <c r="A17" i="5"/>
  <c r="B32" i="5"/>
  <c r="C12" i="5"/>
</calcChain>
</file>

<file path=xl/sharedStrings.xml><?xml version="1.0" encoding="utf-8"?>
<sst xmlns="http://schemas.openxmlformats.org/spreadsheetml/2006/main" count="2832" uniqueCount="212">
  <si>
    <t>NFL Elo Template - one file per season</t>
  </si>
  <si>
    <t>This is a TEMPLATE. Never enter live data directly into this file - use File &gt; Save As to make a copy</t>
  </si>
  <si>
    <t>named for the season (e.g. NFL_ELO_2024.xlsx), and enter that season's games into the copy.</t>
  </si>
  <si>
    <t>WHY ONE FILE PER SEASON</t>
  </si>
  <si>
    <t xml:space="preserve">  Every formula only ever needs to see the games IN THIS FILE. There's no year-over-year buildup, so</t>
  </si>
  <si>
    <t xml:space="preserve">  the file stays small and fast, and you always have one clean file per season to check against the</t>
  </si>
  <si>
    <t xml:space="preserve">  Python database independently.</t>
  </si>
  <si>
    <t>STARTING A NEW SEASON (the Save As workflow)</t>
  </si>
  <si>
    <t xml:space="preserve">  1. Finish entering all of last season's games in last season's file. Check its Standings sheet.</t>
  </si>
  <si>
    <t xml:space="preserve">  2. Open THIS template (or last season's finished file - either works) and do File &gt; Save As, naming</t>
  </si>
  <si>
    <t xml:space="preserve">     it for the new season.</t>
  </si>
  <si>
    <t xml:space="preserve">  3. On the new file's Teams sheet, column G (PreseasonRating): for each team, paste the VALUE (not</t>
  </si>
  <si>
    <t xml:space="preserve">     the formula - copy, then Paste Special &gt; Values) of that team's Rating from last season's</t>
  </si>
  <si>
    <t xml:space="preserve">     Standings sheet. This is the only thing that carries between seasons, and it's exactly what</t>
  </si>
  <si>
    <t xml:space="preserve">     engine.py's alpha-blend carryover does: new_preseason = alpha*last_rating + (1-alpha)*base -</t>
  </si>
  <si>
    <t xml:space="preserve">     that blend itself happens automatically in the Games formulas, so just paste the raw final rating.</t>
  </si>
  <si>
    <t xml:space="preserve">     First season the league ever existed: leave every PreseasonRating at Base (1500, from Params).</t>
  </si>
  <si>
    <t xml:space="preserve">  4. Clear out the Games table's old input columns (Date through OT) - the formula columns stay</t>
  </si>
  <si>
    <t xml:space="preserve">     untouched and will simply show blank until you enter this season's games.</t>
  </si>
  <si>
    <t xml:space="preserve">  5. Enter this season's games.</t>
  </si>
  <si>
    <t>WHERE TO ENTER DATA</t>
  </si>
  <si>
    <t xml:space="preserve">  Games sheet, the yellow-headed columns (Date through OT) only. One row per team per game (so every</t>
  </si>
  <si>
    <t xml:space="preserve">  game is two rows, home and away) - same Date/Season/Type/Round/Team/Opp/HomeAway/PointsFor/</t>
  </si>
  <si>
    <t xml:space="preserve">  PointsAgainst/OT shape add_season.py expects from a normalized CSV.</t>
  </si>
  <si>
    <t xml:space="preserve">    Type: 'R' regular season, 'P' playoff       Round: blank for RS; 'WC'/'DV'/'CC'/'SB' for playoffs</t>
  </si>
  <si>
    <t xml:space="preserve">    HomeAway: 'H' or 'A'                          OT: 0 or 1</t>
  </si>
  <si>
    <t xml:space="preserve">  This is a real Excel Table ('Games'), same as your WNBA workbook. 650 rows come pre-built with</t>
  </si>
  <si>
    <t xml:space="preserve">  formulas - enough for an 18-game regular season plus a full playoff bracket. If you need more,</t>
  </si>
  <si>
    <t xml:space="preserve">  type into the row right below the table (or select a filled row and drag the fill handle down) -</t>
  </si>
  <si>
    <t xml:space="preserve">  Excel auto-extends the table and fills the formula columns for you, and every formula's Games[...]</t>
  </si>
  <si>
    <t xml:space="preserve">  references auto-expand with it, so there's no row-boundary number to go fix by hand.</t>
  </si>
  <si>
    <t xml:space="preserve">  Note: Excel's auto-fill-on-new-row only happens inside the live app - if a formula column ever</t>
  </si>
  <si>
    <t xml:space="preserve">  comes up blank after pasting/importing rows in bulk, select an existing formula cell in that column</t>
  </si>
  <si>
    <t xml:space="preserve">  and Fill Down (Ctrl+D) across the new rows once.</t>
  </si>
  <si>
    <t>NEW TEAMS / EXPANSION FRANCHISES</t>
  </si>
  <si>
    <t xml:space="preserve">  The Teams sheet holds the conference/division lookup (pre- and post-2002 realignment). If a Team or</t>
  </si>
  <si>
    <t xml:space="preserve">  Opponent code doesn't appear there, Conf/Div shows 'NEW' instead of erroring - add a row (with a</t>
  </si>
  <si>
    <t xml:space="preserve">  PreseasonRating of Base for its first season) before trusting that team's ratings.</t>
  </si>
  <si>
    <t>PARAMS</t>
  </si>
  <si>
    <t xml:space="preserve">  All the tunable numbers (Alpha, Base, HFA, KMax, KFloor, rest and multiplier values) live on the</t>
  </si>
  <si>
    <t xml:space="preserve">  Params sheet as named cells and carry over automatically with every Save As.</t>
  </si>
  <si>
    <t>STANDINGS</t>
  </si>
  <si>
    <t xml:space="preserve">  Auto-detects the season from the Games table and shows every team's regular-season W-L-T and</t>
  </si>
  <si>
    <t xml:space="preserve">  current rating, sorted best to worst - this is what you paste from in step 3 above next year.</t>
  </si>
  <si>
    <t>WHAT THIS DOESN'T AUTOMATE (do these by hand, same as with the Python pipeline)</t>
  </si>
  <si>
    <t xml:space="preserve">  - New-franchise auto-registration (add_season.py's step 1) - add a Teams row yourself.</t>
  </si>
  <si>
    <t xml:space="preserve">  - The one-time CSV normalization normalize_parsed_games.py does (team-name-to-code translation,</t>
  </si>
  <si>
    <t xml:space="preserve">    'Reg'/'Playoff' label conversion, OT correction) - do that before typing rows in here too.</t>
  </si>
  <si>
    <t xml:space="preserve">  - Deduping re-entered games - Excel won't stop you from typing the same game twice.</t>
  </si>
  <si>
    <t>Elo engine parameters</t>
  </si>
  <si>
    <t>Matches engine.py's BASELINE_PARAMS exactly. Same for every season - carries over automatically when you Save As.</t>
  </si>
  <si>
    <t>Name</t>
  </si>
  <si>
    <t>Value</t>
  </si>
  <si>
    <t>Meaning</t>
  </si>
  <si>
    <t>Alpha</t>
  </si>
  <si>
    <t>Season-to-season carry-over weight</t>
  </si>
  <si>
    <t>Base</t>
  </si>
  <si>
    <t>League-average / expansion-team rating</t>
  </si>
  <si>
    <t>HFA</t>
  </si>
  <si>
    <t>Home field advantage, in Elo points</t>
  </si>
  <si>
    <t>KMax</t>
  </si>
  <si>
    <t>K at the start of a team's season</t>
  </si>
  <si>
    <t>KFloor</t>
  </si>
  <si>
    <t>K decays to this by the last game of the regular season</t>
  </si>
  <si>
    <t>RestMinor</t>
  </si>
  <si>
    <t>Adjustment for a 1-4 day rest differential (short week)</t>
  </si>
  <si>
    <t>RestMajor</t>
  </si>
  <si>
    <t>Adjustment for a 6+ day rest differential (bye week+)</t>
  </si>
  <si>
    <t>DivMult</t>
  </si>
  <si>
    <t>Multiplier for divisional games</t>
  </si>
  <si>
    <t>ConfMult</t>
  </si>
  <si>
    <t>Multiplier for conference (non-division) games</t>
  </si>
  <si>
    <t>POMult_WC</t>
  </si>
  <si>
    <t>Playoff round multiplier - Wild Card</t>
  </si>
  <si>
    <t>POMult_DV</t>
  </si>
  <si>
    <t>Playoff round multiplier - Divisional</t>
  </si>
  <si>
    <t>POMult_CC</t>
  </si>
  <si>
    <t>Playoff round multiplier - Conference Championship</t>
  </si>
  <si>
    <t>POMult_SB</t>
  </si>
  <si>
    <t>Playoff round multiplier - Super Bowl</t>
  </si>
  <si>
    <t>Regular-season length rule (built into the Games table): 17 games if Season&gt;=2021, else 16.</t>
  </si>
  <si>
    <t>Team reference</t>
  </si>
  <si>
    <t>PreseasonRating (col G) is this team's Elo going into THIS season.</t>
  </si>
  <si>
    <t>First season ever for the league: leave every PreseasonRating at Base (1500).</t>
  </si>
  <si>
    <t>Every later season: open last season's finished file, copy each team's Rating from its Standings</t>
  </si>
  <si>
    <t>sheet, and paste the VALUES (not formulas) into the matching row here before entering this season's games.</t>
  </si>
  <si>
    <t>TeamID</t>
  </si>
  <si>
    <t>TeamName</t>
  </si>
  <si>
    <t>Conf</t>
  </si>
  <si>
    <t>Div</t>
  </si>
  <si>
    <t>Pre02Conf</t>
  </si>
  <si>
    <t>Pre02Div</t>
  </si>
  <si>
    <t>PreseasonRating</t>
  </si>
  <si>
    <t>ARI</t>
  </si>
  <si>
    <t>Arizona Cardinals</t>
  </si>
  <si>
    <t>NFC</t>
  </si>
  <si>
    <t>West</t>
  </si>
  <si>
    <t>East</t>
  </si>
  <si>
    <t>ATL</t>
  </si>
  <si>
    <t>Atlanta Falcons</t>
  </si>
  <si>
    <t>South</t>
  </si>
  <si>
    <t>BAL</t>
  </si>
  <si>
    <t>Baltimore Ravens</t>
  </si>
  <si>
    <t>AFC</t>
  </si>
  <si>
    <t>North</t>
  </si>
  <si>
    <t>Central</t>
  </si>
  <si>
    <t>BUF</t>
  </si>
  <si>
    <t>Buffalo Bills</t>
  </si>
  <si>
    <t>CAR</t>
  </si>
  <si>
    <t>Carolina Panthers</t>
  </si>
  <si>
    <t>CHI</t>
  </si>
  <si>
    <t>Chicago Bears</t>
  </si>
  <si>
    <t>CIN</t>
  </si>
  <si>
    <t>Cincinnati Bengals</t>
  </si>
  <si>
    <t>DAL</t>
  </si>
  <si>
    <t>Dallas Cowboys</t>
  </si>
  <si>
    <t>DEN</t>
  </si>
  <si>
    <t>Denver Broncos</t>
  </si>
  <si>
    <t>DET</t>
  </si>
  <si>
    <t>Detroit Lions</t>
  </si>
  <si>
    <t>GB</t>
  </si>
  <si>
    <t>Green Bay Packers</t>
  </si>
  <si>
    <t>IND</t>
  </si>
  <si>
    <t>Indianapolis Colts</t>
  </si>
  <si>
    <t>JAX</t>
  </si>
  <si>
    <t>Jacksonville Jaguars</t>
  </si>
  <si>
    <t>KC</t>
  </si>
  <si>
    <t>Kansas City Chiefs</t>
  </si>
  <si>
    <t>MIA</t>
  </si>
  <si>
    <t>Miami Dolphins</t>
  </si>
  <si>
    <t>MIN</t>
  </si>
  <si>
    <t>Minnesota Vikings</t>
  </si>
  <si>
    <t>NE</t>
  </si>
  <si>
    <t>New England Patriots</t>
  </si>
  <si>
    <t>NO</t>
  </si>
  <si>
    <t>New Orleans Saints</t>
  </si>
  <si>
    <t>NYG</t>
  </si>
  <si>
    <t>New York Giants</t>
  </si>
  <si>
    <t>NYJ</t>
  </si>
  <si>
    <t>New York Jets</t>
  </si>
  <si>
    <t>OAK</t>
  </si>
  <si>
    <t>PHI</t>
  </si>
  <si>
    <t>Philadelphia Eagles</t>
  </si>
  <si>
    <t>PIT</t>
  </si>
  <si>
    <t>Pittsburgh Steelers</t>
  </si>
  <si>
    <t>SD</t>
  </si>
  <si>
    <t>SEA</t>
  </si>
  <si>
    <t>Seattle Seahawks</t>
  </si>
  <si>
    <t>SF</t>
  </si>
  <si>
    <t>San Francisco 49ers</t>
  </si>
  <si>
    <t>STL</t>
  </si>
  <si>
    <t>TB</t>
  </si>
  <si>
    <t>Tampa Bay Buccaneers</t>
  </si>
  <si>
    <t>TEN</t>
  </si>
  <si>
    <t>WAS</t>
  </si>
  <si>
    <t>Date</t>
  </si>
  <si>
    <t>Season</t>
  </si>
  <si>
    <t>Type</t>
  </si>
  <si>
    <t>Round</t>
  </si>
  <si>
    <t>Team</t>
  </si>
  <si>
    <t>Opponent</t>
  </si>
  <si>
    <t>HomeAway</t>
  </si>
  <si>
    <t>PointsFor</t>
  </si>
  <si>
    <t>PointsAgainst</t>
  </si>
  <si>
    <t>OT</t>
  </si>
  <si>
    <t>OppConf</t>
  </si>
  <si>
    <t>OppDiv</t>
  </si>
  <si>
    <t>ConfG</t>
  </si>
  <si>
    <t>DivG</t>
  </si>
  <si>
    <t>SeasonStart</t>
  </si>
  <si>
    <t>Week</t>
  </si>
  <si>
    <t>GamesPlayed</t>
  </si>
  <si>
    <t>PrevWeekTeam</t>
  </si>
  <si>
    <t>PrevWeekOpp</t>
  </si>
  <si>
    <t>DaysOff</t>
  </si>
  <si>
    <t>OppDaysOff</t>
  </si>
  <si>
    <t>RestAdj</t>
  </si>
  <si>
    <t>PreGmRate</t>
  </si>
  <si>
    <t>OppPreGmRate</t>
  </si>
  <si>
    <t>ExpectedWin</t>
  </si>
  <si>
    <t>MOV</t>
  </si>
  <si>
    <t>Result</t>
  </si>
  <si>
    <t>Accuracy</t>
  </si>
  <si>
    <t>Test</t>
  </si>
  <si>
    <t>SeasonLen</t>
  </si>
  <si>
    <t>K</t>
  </si>
  <si>
    <t>MOVMult</t>
  </si>
  <si>
    <t>POMult</t>
  </si>
  <si>
    <t>Keff</t>
  </si>
  <si>
    <t>RatingChange</t>
  </si>
  <si>
    <t>PostGmRate</t>
  </si>
  <si>
    <t>W</t>
  </si>
  <si>
    <t>L</t>
  </si>
  <si>
    <t>T</t>
  </si>
  <si>
    <t>Season:</t>
  </si>
  <si>
    <t>Auto-detected from the Games sheet - this file should only ever hold one season.</t>
  </si>
  <si>
    <t>Rating</t>
  </si>
  <si>
    <t>R</t>
  </si>
  <si>
    <t>P</t>
  </si>
  <si>
    <t>RS</t>
  </si>
  <si>
    <t>H</t>
  </si>
  <si>
    <t>A</t>
  </si>
  <si>
    <t>WC</t>
  </si>
  <si>
    <t>DV</t>
  </si>
  <si>
    <t>CC</t>
  </si>
  <si>
    <t>SB</t>
  </si>
  <si>
    <t>N</t>
  </si>
  <si>
    <t>Oakland Raiders</t>
  </si>
  <si>
    <t>San Diego Chargers</t>
  </si>
  <si>
    <t>St. Louis Rams</t>
  </si>
  <si>
    <t>Houston Oilers</t>
  </si>
  <si>
    <t>Washington Redskins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</si>
</sst>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color rgb="FF666666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3" borderId="0" xfId="0" applyFill="1"/>
    <xf numFmtId="0" fontId="5" fillId="0" borderId="0" xfId="0" applyFont="1"/>
    <xf numFmtId="0" fontId="6" fillId="0" borderId="0" xfId="0" applyFont="1"/>
    <xf numFmtId="0" fontId="4" fillId="0" borderId="0" xfId="0" applyFon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">
    <dxf>
      <numFmt numFmtId="164" formatCode="m/d/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ms" displayName="Teams" ref="A7:G37">
  <autoFilter ref="A7:G37" xr:uid="{00000000-0009-0000-0100-000001000000}"/>
  <sortState xmlns:xlrd2="http://schemas.microsoft.com/office/spreadsheetml/2017/richdata2" ref="A8:G37">
    <sortCondition ref="B37"/>
  </sortState>
  <tableColumns count="7">
    <tableColumn id="1" xr3:uid="{00000000-0010-0000-0000-000001000000}" name="TeamID"/>
    <tableColumn id="2" xr3:uid="{00000000-0010-0000-0000-000002000000}" name="TeamName"/>
    <tableColumn id="3" xr3:uid="{00000000-0010-0000-0000-000003000000}" name="Conf"/>
    <tableColumn id="4" xr3:uid="{00000000-0010-0000-0000-000004000000}" name="Div"/>
    <tableColumn id="5" xr3:uid="{00000000-0010-0000-0000-000005000000}" name="Pre02Conf"/>
    <tableColumn id="6" xr3:uid="{00000000-0010-0000-0000-000006000000}" name="Pre02Div"/>
    <tableColumn id="7" xr3:uid="{00000000-0010-0000-0000-000007000000}" name="PreseasonRating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ames" displayName="Games" ref="A1:AO503">
  <autoFilter ref="A1:AO503" xr:uid="{00000000-0009-0000-0100-000002000000}"/>
  <tableColumns count="41">
    <tableColumn id="1" xr3:uid="{00000000-0010-0000-0100-000001000000}" name="Date" dataDxfId="0"/>
    <tableColumn id="2" xr3:uid="{00000000-0010-0000-0100-000002000000}" name="Season"/>
    <tableColumn id="3" xr3:uid="{00000000-0010-0000-0100-000003000000}" name="Type"/>
    <tableColumn id="4" xr3:uid="{00000000-0010-0000-0100-000004000000}" name="Round"/>
    <tableColumn id="5" xr3:uid="{00000000-0010-0000-0100-000005000000}" name="Team"/>
    <tableColumn id="6" xr3:uid="{00000000-0010-0000-0100-000006000000}" name="Opponent"/>
    <tableColumn id="7" xr3:uid="{00000000-0010-0000-0100-000007000000}" name="HomeAway"/>
    <tableColumn id="8" xr3:uid="{00000000-0010-0000-0100-000008000000}" name="PointsFor"/>
    <tableColumn id="9" xr3:uid="{00000000-0010-0000-0100-000009000000}" name="PointsAgainst"/>
    <tableColumn id="10" xr3:uid="{00000000-0010-0000-0100-00000A000000}" name="OT"/>
    <tableColumn id="11" xr3:uid="{00000000-0010-0000-0100-00000B000000}" name="Conf"/>
    <tableColumn id="12" xr3:uid="{00000000-0010-0000-0100-00000C000000}" name="OppConf"/>
    <tableColumn id="13" xr3:uid="{00000000-0010-0000-0100-00000D000000}" name="Div"/>
    <tableColumn id="14" xr3:uid="{00000000-0010-0000-0100-00000E000000}" name="OppDiv"/>
    <tableColumn id="15" xr3:uid="{00000000-0010-0000-0100-00000F000000}" name="ConfG"/>
    <tableColumn id="16" xr3:uid="{00000000-0010-0000-0100-000010000000}" name="DivG"/>
    <tableColumn id="17" xr3:uid="{00000000-0010-0000-0100-000011000000}" name="SeasonStart"/>
    <tableColumn id="18" xr3:uid="{00000000-0010-0000-0100-000012000000}" name="Week"/>
    <tableColumn id="19" xr3:uid="{00000000-0010-0000-0100-000013000000}" name="GamesPlayed"/>
    <tableColumn id="20" xr3:uid="{00000000-0010-0000-0100-000014000000}" name="PrevWeekTeam"/>
    <tableColumn id="21" xr3:uid="{00000000-0010-0000-0100-000015000000}" name="PrevWeekOpp"/>
    <tableColumn id="22" xr3:uid="{00000000-0010-0000-0100-000016000000}" name="DaysOff"/>
    <tableColumn id="23" xr3:uid="{00000000-0010-0000-0100-000017000000}" name="OppDaysOff"/>
    <tableColumn id="24" xr3:uid="{00000000-0010-0000-0100-000018000000}" name="RestAdj"/>
    <tableColumn id="25" xr3:uid="{00000000-0010-0000-0100-000019000000}" name="PreGmRate"/>
    <tableColumn id="26" xr3:uid="{00000000-0010-0000-0100-00001A000000}" name="OppPreGmRate"/>
    <tableColumn id="27" xr3:uid="{00000000-0010-0000-0100-00001B000000}" name="ExpectedWin"/>
    <tableColumn id="28" xr3:uid="{00000000-0010-0000-0100-00001C000000}" name="MOV"/>
    <tableColumn id="29" xr3:uid="{00000000-0010-0000-0100-00001D000000}" name="Result"/>
    <tableColumn id="30" xr3:uid="{00000000-0010-0000-0100-00001E000000}" name="Accuracy"/>
    <tableColumn id="31" xr3:uid="{00000000-0010-0000-0100-00001F000000}" name="Test"/>
    <tableColumn id="32" xr3:uid="{00000000-0010-0000-0100-000020000000}" name="SeasonLen"/>
    <tableColumn id="33" xr3:uid="{00000000-0010-0000-0100-000021000000}" name="K"/>
    <tableColumn id="34" xr3:uid="{00000000-0010-0000-0100-000022000000}" name="MOVMult"/>
    <tableColumn id="35" xr3:uid="{00000000-0010-0000-0100-000023000000}" name="POMult"/>
    <tableColumn id="36" xr3:uid="{00000000-0010-0000-0100-000024000000}" name="Keff"/>
    <tableColumn id="37" xr3:uid="{00000000-0010-0000-0100-000025000000}" name="RatingChange"/>
    <tableColumn id="38" xr3:uid="{00000000-0010-0000-0100-000026000000}" name="PostGmRate"/>
    <tableColumn id="39" xr3:uid="{00000000-0010-0000-0100-000027000000}" name="W"/>
    <tableColumn id="40" xr3:uid="{00000000-0010-0000-0100-000028000000}" name="L"/>
    <tableColumn id="41" xr3:uid="{00000000-0010-0000-0100-000029000000}" name="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showGridLines="0" workbookViewId="0"/>
  </sheetViews>
  <sheetFormatPr defaultRowHeight="14.5" x14ac:dyDescent="0.35"/>
  <cols>
    <col min="1" max="1" width="112" customWidth="1"/>
  </cols>
  <sheetData>
    <row r="1" spans="1:1" ht="21" x14ac:dyDescent="0.5">
      <c r="A1" s="5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6" spans="1:1" x14ac:dyDescent="0.35">
      <c r="A6" s="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3" spans="1:1" x14ac:dyDescent="0.35">
      <c r="A13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15</v>
      </c>
    </row>
    <row r="20" spans="1:1" x14ac:dyDescent="0.35">
      <c r="A20" t="s">
        <v>16</v>
      </c>
    </row>
    <row r="21" spans="1:1" x14ac:dyDescent="0.35">
      <c r="A21" t="s">
        <v>17</v>
      </c>
    </row>
    <row r="22" spans="1:1" x14ac:dyDescent="0.35">
      <c r="A22" t="s">
        <v>18</v>
      </c>
    </row>
    <row r="23" spans="1:1" x14ac:dyDescent="0.35">
      <c r="A23" t="s">
        <v>19</v>
      </c>
    </row>
    <row r="25" spans="1:1" x14ac:dyDescent="0.35">
      <c r="A25" s="6" t="s">
        <v>20</v>
      </c>
    </row>
    <row r="26" spans="1:1" x14ac:dyDescent="0.35">
      <c r="A26" t="s">
        <v>21</v>
      </c>
    </row>
    <row r="27" spans="1:1" x14ac:dyDescent="0.35">
      <c r="A27" t="s">
        <v>22</v>
      </c>
    </row>
    <row r="28" spans="1:1" x14ac:dyDescent="0.35">
      <c r="A28" t="s">
        <v>23</v>
      </c>
    </row>
    <row r="29" spans="1:1" x14ac:dyDescent="0.35">
      <c r="A29" t="s">
        <v>24</v>
      </c>
    </row>
    <row r="30" spans="1:1" x14ac:dyDescent="0.35">
      <c r="A30" t="s">
        <v>25</v>
      </c>
    </row>
    <row r="31" spans="1:1" x14ac:dyDescent="0.35">
      <c r="A31" t="s">
        <v>26</v>
      </c>
    </row>
    <row r="32" spans="1:1" x14ac:dyDescent="0.35">
      <c r="A32" t="s">
        <v>27</v>
      </c>
    </row>
    <row r="33" spans="1:1" x14ac:dyDescent="0.35">
      <c r="A33" t="s">
        <v>28</v>
      </c>
    </row>
    <row r="34" spans="1:1" x14ac:dyDescent="0.35">
      <c r="A34" t="s">
        <v>29</v>
      </c>
    </row>
    <row r="35" spans="1:1" x14ac:dyDescent="0.35">
      <c r="A35" t="s">
        <v>30</v>
      </c>
    </row>
    <row r="36" spans="1:1" x14ac:dyDescent="0.35">
      <c r="A36" t="s">
        <v>31</v>
      </c>
    </row>
    <row r="37" spans="1:1" x14ac:dyDescent="0.35">
      <c r="A37" t="s">
        <v>32</v>
      </c>
    </row>
    <row r="38" spans="1:1" x14ac:dyDescent="0.35">
      <c r="A38" t="s">
        <v>33</v>
      </c>
    </row>
    <row r="40" spans="1:1" x14ac:dyDescent="0.35">
      <c r="A40" s="6" t="s">
        <v>34</v>
      </c>
    </row>
    <row r="41" spans="1:1" x14ac:dyDescent="0.35">
      <c r="A41" t="s">
        <v>35</v>
      </c>
    </row>
    <row r="42" spans="1:1" x14ac:dyDescent="0.35">
      <c r="A42" t="s">
        <v>36</v>
      </c>
    </row>
    <row r="43" spans="1:1" x14ac:dyDescent="0.35">
      <c r="A43" t="s">
        <v>37</v>
      </c>
    </row>
    <row r="45" spans="1:1" x14ac:dyDescent="0.35">
      <c r="A45" s="6" t="s">
        <v>38</v>
      </c>
    </row>
    <row r="46" spans="1:1" x14ac:dyDescent="0.35">
      <c r="A46" t="s">
        <v>39</v>
      </c>
    </row>
    <row r="47" spans="1:1" x14ac:dyDescent="0.35">
      <c r="A47" t="s">
        <v>40</v>
      </c>
    </row>
    <row r="49" spans="1:1" x14ac:dyDescent="0.35">
      <c r="A49" s="6" t="s">
        <v>41</v>
      </c>
    </row>
    <row r="50" spans="1:1" x14ac:dyDescent="0.35">
      <c r="A50" t="s">
        <v>42</v>
      </c>
    </row>
    <row r="51" spans="1:1" x14ac:dyDescent="0.35">
      <c r="A51" t="s">
        <v>43</v>
      </c>
    </row>
    <row r="53" spans="1:1" x14ac:dyDescent="0.35">
      <c r="A53" t="s">
        <v>44</v>
      </c>
    </row>
    <row r="54" spans="1:1" x14ac:dyDescent="0.35">
      <c r="A54" t="s">
        <v>45</v>
      </c>
    </row>
    <row r="55" spans="1:1" x14ac:dyDescent="0.35">
      <c r="A55" t="s">
        <v>46</v>
      </c>
    </row>
    <row r="56" spans="1:1" x14ac:dyDescent="0.35">
      <c r="A56" t="s">
        <v>47</v>
      </c>
    </row>
    <row r="57" spans="1:1" x14ac:dyDescent="0.35">
      <c r="A57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defaultRowHeight="14.5" x14ac:dyDescent="0.35"/>
  <cols>
    <col min="1" max="1" width="12" customWidth="1"/>
    <col min="2" max="2" width="10" customWidth="1"/>
    <col min="3" max="3" width="58" customWidth="1"/>
  </cols>
  <sheetData>
    <row r="1" spans="1:3" ht="18.5" x14ac:dyDescent="0.45">
      <c r="A1" s="1" t="s">
        <v>49</v>
      </c>
    </row>
    <row r="2" spans="1:3" x14ac:dyDescent="0.35">
      <c r="A2" s="2" t="s">
        <v>50</v>
      </c>
    </row>
    <row r="3" spans="1:3" x14ac:dyDescent="0.35">
      <c r="A3" s="3" t="s">
        <v>51</v>
      </c>
      <c r="B3" s="3" t="s">
        <v>52</v>
      </c>
      <c r="C3" s="3" t="s">
        <v>53</v>
      </c>
    </row>
    <row r="4" spans="1:3" x14ac:dyDescent="0.35">
      <c r="A4" t="s">
        <v>54</v>
      </c>
      <c r="B4" s="4">
        <v>0.3</v>
      </c>
      <c r="C4" t="s">
        <v>55</v>
      </c>
    </row>
    <row r="5" spans="1:3" x14ac:dyDescent="0.35">
      <c r="A5" t="s">
        <v>56</v>
      </c>
      <c r="B5" s="4">
        <v>1500</v>
      </c>
      <c r="C5" t="s">
        <v>57</v>
      </c>
    </row>
    <row r="6" spans="1:3" x14ac:dyDescent="0.35">
      <c r="A6" t="s">
        <v>58</v>
      </c>
      <c r="B6" s="4">
        <v>72</v>
      </c>
      <c r="C6" t="s">
        <v>59</v>
      </c>
    </row>
    <row r="7" spans="1:3" x14ac:dyDescent="0.35">
      <c r="A7" t="s">
        <v>60</v>
      </c>
      <c r="B7" s="4">
        <v>46</v>
      </c>
      <c r="C7" t="s">
        <v>61</v>
      </c>
    </row>
    <row r="8" spans="1:3" x14ac:dyDescent="0.35">
      <c r="A8" t="s">
        <v>62</v>
      </c>
      <c r="B8" s="4">
        <v>36.200000000000003</v>
      </c>
      <c r="C8" t="s">
        <v>63</v>
      </c>
    </row>
    <row r="9" spans="1:3" x14ac:dyDescent="0.35">
      <c r="A9" t="s">
        <v>64</v>
      </c>
      <c r="B9" s="4">
        <v>6</v>
      </c>
      <c r="C9" t="s">
        <v>65</v>
      </c>
    </row>
    <row r="10" spans="1:3" x14ac:dyDescent="0.35">
      <c r="A10" t="s">
        <v>66</v>
      </c>
      <c r="B10" s="4">
        <v>24</v>
      </c>
      <c r="C10" t="s">
        <v>67</v>
      </c>
    </row>
    <row r="11" spans="1:3" x14ac:dyDescent="0.35">
      <c r="A11" t="s">
        <v>68</v>
      </c>
      <c r="B11" s="4">
        <v>1.1000000000000001</v>
      </c>
      <c r="C11" t="s">
        <v>69</v>
      </c>
    </row>
    <row r="12" spans="1:3" x14ac:dyDescent="0.35">
      <c r="A12" t="s">
        <v>70</v>
      </c>
      <c r="B12" s="4">
        <v>1.02</v>
      </c>
      <c r="C12" t="s">
        <v>71</v>
      </c>
    </row>
    <row r="13" spans="1:3" x14ac:dyDescent="0.35">
      <c r="A13" t="s">
        <v>72</v>
      </c>
      <c r="B13" s="4">
        <v>1.1000000000000001</v>
      </c>
      <c r="C13" t="s">
        <v>73</v>
      </c>
    </row>
    <row r="14" spans="1:3" x14ac:dyDescent="0.35">
      <c r="A14" t="s">
        <v>74</v>
      </c>
      <c r="B14" s="4">
        <v>1.2</v>
      </c>
      <c r="C14" t="s">
        <v>75</v>
      </c>
    </row>
    <row r="15" spans="1:3" x14ac:dyDescent="0.35">
      <c r="A15" t="s">
        <v>76</v>
      </c>
      <c r="B15" s="4">
        <v>1.35</v>
      </c>
      <c r="C15" t="s">
        <v>77</v>
      </c>
    </row>
    <row r="16" spans="1:3" x14ac:dyDescent="0.35">
      <c r="A16" t="s">
        <v>78</v>
      </c>
      <c r="B16" s="4">
        <v>1.5</v>
      </c>
      <c r="C16" t="s">
        <v>79</v>
      </c>
    </row>
    <row r="18" spans="1:1" x14ac:dyDescent="0.35">
      <c r="A18" s="2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workbookViewId="0">
      <pane ySplit="7" topLeftCell="A8" activePane="bottomLeft" state="frozen"/>
      <selection pane="bottomLeft"/>
    </sheetView>
  </sheetViews>
  <sheetFormatPr defaultRowHeight="14.5" x14ac:dyDescent="0.35"/>
  <cols>
    <col min="1" max="1" width="10" customWidth="1"/>
    <col min="2" max="2" width="26" customWidth="1"/>
    <col min="3" max="3" width="8" customWidth="1"/>
    <col min="4" max="4" width="10" customWidth="1"/>
    <col min="5" max="6" width="12" customWidth="1"/>
    <col min="7" max="7" width="15" customWidth="1"/>
  </cols>
  <sheetData>
    <row r="1" spans="1:7" ht="18.5" x14ac:dyDescent="0.45">
      <c r="A1" s="1" t="s">
        <v>81</v>
      </c>
    </row>
    <row r="2" spans="1:7" x14ac:dyDescent="0.35">
      <c r="A2" s="2" t="s">
        <v>82</v>
      </c>
    </row>
    <row r="3" spans="1:7" x14ac:dyDescent="0.35">
      <c r="A3" s="2" t="s">
        <v>83</v>
      </c>
    </row>
    <row r="4" spans="1:7" x14ac:dyDescent="0.35">
      <c r="A4" s="2" t="s">
        <v>84</v>
      </c>
    </row>
    <row r="5" spans="1:7" x14ac:dyDescent="0.35">
      <c r="A5" s="2" t="s">
        <v>85</v>
      </c>
    </row>
    <row r="7" spans="1:7" x14ac:dyDescent="0.35">
      <c r="A7" s="3" t="s">
        <v>86</v>
      </c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</row>
    <row r="8" spans="1:7" x14ac:dyDescent="0.35">
      <c r="A8" t="s">
        <v>93</v>
      </c>
      <c r="B8" t="s">
        <v>94</v>
      </c>
      <c r="C8" t="s">
        <v>95</v>
      </c>
      <c r="D8" t="s">
        <v>96</v>
      </c>
      <c r="E8" t="s">
        <v>95</v>
      </c>
      <c r="F8" t="s">
        <v>97</v>
      </c>
      <c r="G8" s="4">
        <v>1500</v>
      </c>
    </row>
    <row r="9" spans="1:7" x14ac:dyDescent="0.35">
      <c r="A9" t="s">
        <v>98</v>
      </c>
      <c r="B9" t="s">
        <v>99</v>
      </c>
      <c r="C9" t="s">
        <v>95</v>
      </c>
      <c r="D9" t="s">
        <v>100</v>
      </c>
      <c r="E9" t="s">
        <v>95</v>
      </c>
      <c r="F9" t="s">
        <v>96</v>
      </c>
      <c r="G9" s="4">
        <v>1500</v>
      </c>
    </row>
    <row r="10" spans="1:7" x14ac:dyDescent="0.35">
      <c r="A10" t="s">
        <v>101</v>
      </c>
      <c r="B10" t="s">
        <v>102</v>
      </c>
      <c r="C10" t="s">
        <v>103</v>
      </c>
      <c r="D10" t="s">
        <v>104</v>
      </c>
      <c r="E10" t="s">
        <v>103</v>
      </c>
      <c r="F10" t="s">
        <v>105</v>
      </c>
      <c r="G10" s="4">
        <v>1500</v>
      </c>
    </row>
    <row r="11" spans="1:7" x14ac:dyDescent="0.35">
      <c r="A11" t="s">
        <v>106</v>
      </c>
      <c r="B11" t="s">
        <v>107</v>
      </c>
      <c r="C11" t="s">
        <v>103</v>
      </c>
      <c r="D11" t="s">
        <v>97</v>
      </c>
      <c r="E11" t="s">
        <v>103</v>
      </c>
      <c r="F11" t="s">
        <v>97</v>
      </c>
      <c r="G11" s="4">
        <v>1500</v>
      </c>
    </row>
    <row r="12" spans="1:7" x14ac:dyDescent="0.35">
      <c r="A12" t="s">
        <v>108</v>
      </c>
      <c r="B12" t="s">
        <v>109</v>
      </c>
      <c r="C12" t="s">
        <v>95</v>
      </c>
      <c r="D12" t="s">
        <v>100</v>
      </c>
      <c r="E12" t="s">
        <v>95</v>
      </c>
      <c r="F12" t="s">
        <v>96</v>
      </c>
      <c r="G12" s="4">
        <v>1500</v>
      </c>
    </row>
    <row r="13" spans="1:7" x14ac:dyDescent="0.35">
      <c r="A13" t="s">
        <v>110</v>
      </c>
      <c r="B13" t="s">
        <v>111</v>
      </c>
      <c r="C13" t="s">
        <v>95</v>
      </c>
      <c r="D13" t="s">
        <v>104</v>
      </c>
      <c r="E13" t="s">
        <v>95</v>
      </c>
      <c r="F13" t="s">
        <v>105</v>
      </c>
      <c r="G13" s="4">
        <v>1500</v>
      </c>
    </row>
    <row r="14" spans="1:7" x14ac:dyDescent="0.35">
      <c r="A14" t="s">
        <v>112</v>
      </c>
      <c r="B14" t="s">
        <v>113</v>
      </c>
      <c r="C14" t="s">
        <v>103</v>
      </c>
      <c r="D14" t="s">
        <v>104</v>
      </c>
      <c r="E14" t="s">
        <v>103</v>
      </c>
      <c r="F14" t="s">
        <v>105</v>
      </c>
      <c r="G14" s="4">
        <v>1500</v>
      </c>
    </row>
    <row r="15" spans="1:7" x14ac:dyDescent="0.35">
      <c r="A15" t="s">
        <v>114</v>
      </c>
      <c r="B15" t="s">
        <v>115</v>
      </c>
      <c r="C15" t="s">
        <v>95</v>
      </c>
      <c r="D15" t="s">
        <v>97</v>
      </c>
      <c r="E15" t="s">
        <v>95</v>
      </c>
      <c r="F15" t="s">
        <v>97</v>
      </c>
      <c r="G15" s="4">
        <v>1500</v>
      </c>
    </row>
    <row r="16" spans="1:7" x14ac:dyDescent="0.35">
      <c r="A16" t="s">
        <v>116</v>
      </c>
      <c r="B16" t="s">
        <v>117</v>
      </c>
      <c r="C16" t="s">
        <v>103</v>
      </c>
      <c r="D16" t="s">
        <v>96</v>
      </c>
      <c r="E16" t="s">
        <v>103</v>
      </c>
      <c r="F16" t="s">
        <v>96</v>
      </c>
      <c r="G16" s="4">
        <v>1500</v>
      </c>
    </row>
    <row r="17" spans="1:7" x14ac:dyDescent="0.35">
      <c r="A17" t="s">
        <v>118</v>
      </c>
      <c r="B17" t="s">
        <v>119</v>
      </c>
      <c r="C17" t="s">
        <v>95</v>
      </c>
      <c r="D17" t="s">
        <v>104</v>
      </c>
      <c r="E17" t="s">
        <v>95</v>
      </c>
      <c r="F17" t="s">
        <v>105</v>
      </c>
      <c r="G17" s="4">
        <v>1500</v>
      </c>
    </row>
    <row r="18" spans="1:7" x14ac:dyDescent="0.35">
      <c r="A18" t="s">
        <v>120</v>
      </c>
      <c r="B18" t="s">
        <v>121</v>
      </c>
      <c r="C18" t="s">
        <v>95</v>
      </c>
      <c r="D18" t="s">
        <v>104</v>
      </c>
      <c r="E18" t="s">
        <v>95</v>
      </c>
      <c r="F18" t="s">
        <v>105</v>
      </c>
      <c r="G18" s="4">
        <v>1500</v>
      </c>
    </row>
    <row r="19" spans="1:7" x14ac:dyDescent="0.35">
      <c r="A19" t="s">
        <v>153</v>
      </c>
      <c r="B19" t="s">
        <v>210</v>
      </c>
      <c r="C19" t="s">
        <v>103</v>
      </c>
      <c r="D19" t="s">
        <v>100</v>
      </c>
      <c r="E19" t="s">
        <v>103</v>
      </c>
      <c r="F19" t="s">
        <v>105</v>
      </c>
      <c r="G19" s="4">
        <v>1500</v>
      </c>
    </row>
    <row r="20" spans="1:7" x14ac:dyDescent="0.35">
      <c r="A20" t="s">
        <v>122</v>
      </c>
      <c r="B20" t="s">
        <v>123</v>
      </c>
      <c r="C20" t="s">
        <v>103</v>
      </c>
      <c r="D20" t="s">
        <v>100</v>
      </c>
      <c r="E20" t="s">
        <v>103</v>
      </c>
      <c r="F20" t="s">
        <v>97</v>
      </c>
      <c r="G20" s="4">
        <v>1500</v>
      </c>
    </row>
    <row r="21" spans="1:7" x14ac:dyDescent="0.35">
      <c r="A21" t="s">
        <v>124</v>
      </c>
      <c r="B21" t="s">
        <v>125</v>
      </c>
      <c r="C21" t="s">
        <v>103</v>
      </c>
      <c r="D21" t="s">
        <v>100</v>
      </c>
      <c r="E21" t="s">
        <v>103</v>
      </c>
      <c r="F21" t="s">
        <v>105</v>
      </c>
      <c r="G21" s="4">
        <v>1500</v>
      </c>
    </row>
    <row r="22" spans="1:7" x14ac:dyDescent="0.35">
      <c r="A22" t="s">
        <v>126</v>
      </c>
      <c r="B22" t="s">
        <v>127</v>
      </c>
      <c r="C22" t="s">
        <v>103</v>
      </c>
      <c r="D22" t="s">
        <v>96</v>
      </c>
      <c r="E22" t="s">
        <v>103</v>
      </c>
      <c r="F22" t="s">
        <v>96</v>
      </c>
      <c r="G22" s="4">
        <v>1500</v>
      </c>
    </row>
    <row r="23" spans="1:7" x14ac:dyDescent="0.35">
      <c r="A23" t="s">
        <v>128</v>
      </c>
      <c r="B23" t="s">
        <v>129</v>
      </c>
      <c r="C23" t="s">
        <v>103</v>
      </c>
      <c r="D23" t="s">
        <v>97</v>
      </c>
      <c r="E23" t="s">
        <v>103</v>
      </c>
      <c r="F23" t="s">
        <v>97</v>
      </c>
      <c r="G23" s="4">
        <v>1500</v>
      </c>
    </row>
    <row r="24" spans="1:7" x14ac:dyDescent="0.35">
      <c r="A24" t="s">
        <v>130</v>
      </c>
      <c r="B24" t="s">
        <v>131</v>
      </c>
      <c r="C24" t="s">
        <v>95</v>
      </c>
      <c r="D24" t="s">
        <v>104</v>
      </c>
      <c r="E24" t="s">
        <v>95</v>
      </c>
      <c r="F24" t="s">
        <v>105</v>
      </c>
      <c r="G24" s="4">
        <v>1500</v>
      </c>
    </row>
    <row r="25" spans="1:7" x14ac:dyDescent="0.35">
      <c r="A25" t="s">
        <v>132</v>
      </c>
      <c r="B25" t="s">
        <v>133</v>
      </c>
      <c r="C25" t="s">
        <v>103</v>
      </c>
      <c r="D25" t="s">
        <v>97</v>
      </c>
      <c r="E25" t="s">
        <v>103</v>
      </c>
      <c r="F25" t="s">
        <v>97</v>
      </c>
      <c r="G25" s="4">
        <v>1500</v>
      </c>
    </row>
    <row r="26" spans="1:7" x14ac:dyDescent="0.35">
      <c r="A26" t="s">
        <v>134</v>
      </c>
      <c r="B26" t="s">
        <v>135</v>
      </c>
      <c r="C26" t="s">
        <v>95</v>
      </c>
      <c r="D26" t="s">
        <v>100</v>
      </c>
      <c r="E26" t="s">
        <v>95</v>
      </c>
      <c r="F26" t="s">
        <v>96</v>
      </c>
      <c r="G26" s="4">
        <v>1500</v>
      </c>
    </row>
    <row r="27" spans="1:7" x14ac:dyDescent="0.35">
      <c r="A27" t="s">
        <v>136</v>
      </c>
      <c r="B27" t="s">
        <v>137</v>
      </c>
      <c r="C27" t="s">
        <v>95</v>
      </c>
      <c r="D27" t="s">
        <v>97</v>
      </c>
      <c r="E27" t="s">
        <v>95</v>
      </c>
      <c r="F27" t="s">
        <v>97</v>
      </c>
      <c r="G27" s="4">
        <v>1500</v>
      </c>
    </row>
    <row r="28" spans="1:7" x14ac:dyDescent="0.35">
      <c r="A28" t="s">
        <v>138</v>
      </c>
      <c r="B28" t="s">
        <v>139</v>
      </c>
      <c r="C28" t="s">
        <v>103</v>
      </c>
      <c r="D28" t="s">
        <v>97</v>
      </c>
      <c r="E28" t="s">
        <v>103</v>
      </c>
      <c r="F28" t="s">
        <v>97</v>
      </c>
      <c r="G28" s="4">
        <v>1500</v>
      </c>
    </row>
    <row r="29" spans="1:7" x14ac:dyDescent="0.35">
      <c r="A29" t="s">
        <v>140</v>
      </c>
      <c r="B29" t="s">
        <v>207</v>
      </c>
      <c r="C29" t="s">
        <v>103</v>
      </c>
      <c r="D29" t="s">
        <v>96</v>
      </c>
      <c r="E29" t="s">
        <v>103</v>
      </c>
      <c r="F29" t="s">
        <v>96</v>
      </c>
      <c r="G29" s="4">
        <v>1500</v>
      </c>
    </row>
    <row r="30" spans="1:7" x14ac:dyDescent="0.35">
      <c r="A30" t="s">
        <v>141</v>
      </c>
      <c r="B30" t="s">
        <v>142</v>
      </c>
      <c r="C30" t="s">
        <v>95</v>
      </c>
      <c r="D30" t="s">
        <v>97</v>
      </c>
      <c r="E30" t="s">
        <v>95</v>
      </c>
      <c r="F30" t="s">
        <v>97</v>
      </c>
      <c r="G30" s="4">
        <v>1500</v>
      </c>
    </row>
    <row r="31" spans="1:7" x14ac:dyDescent="0.35">
      <c r="A31" t="s">
        <v>143</v>
      </c>
      <c r="B31" t="s">
        <v>144</v>
      </c>
      <c r="C31" t="s">
        <v>103</v>
      </c>
      <c r="D31" t="s">
        <v>104</v>
      </c>
      <c r="E31" t="s">
        <v>103</v>
      </c>
      <c r="F31" t="s">
        <v>105</v>
      </c>
      <c r="G31" s="4">
        <v>1500</v>
      </c>
    </row>
    <row r="32" spans="1:7" x14ac:dyDescent="0.35">
      <c r="A32" t="s">
        <v>145</v>
      </c>
      <c r="B32" t="s">
        <v>208</v>
      </c>
      <c r="C32" t="s">
        <v>103</v>
      </c>
      <c r="D32" t="s">
        <v>96</v>
      </c>
      <c r="E32" t="s">
        <v>103</v>
      </c>
      <c r="F32" t="s">
        <v>96</v>
      </c>
      <c r="G32" s="4">
        <v>1500</v>
      </c>
    </row>
    <row r="33" spans="1:7" x14ac:dyDescent="0.35">
      <c r="A33" t="s">
        <v>148</v>
      </c>
      <c r="B33" t="s">
        <v>149</v>
      </c>
      <c r="C33" t="s">
        <v>95</v>
      </c>
      <c r="D33" t="s">
        <v>96</v>
      </c>
      <c r="E33" t="s">
        <v>95</v>
      </c>
      <c r="F33" t="s">
        <v>96</v>
      </c>
      <c r="G33" s="4">
        <v>1500</v>
      </c>
    </row>
    <row r="34" spans="1:7" x14ac:dyDescent="0.35">
      <c r="A34" t="s">
        <v>146</v>
      </c>
      <c r="B34" t="s">
        <v>147</v>
      </c>
      <c r="C34" t="s">
        <v>95</v>
      </c>
      <c r="D34" t="s">
        <v>96</v>
      </c>
      <c r="E34" t="s">
        <v>103</v>
      </c>
      <c r="F34" t="s">
        <v>96</v>
      </c>
      <c r="G34" s="4">
        <v>1500</v>
      </c>
    </row>
    <row r="35" spans="1:7" x14ac:dyDescent="0.35">
      <c r="A35" t="s">
        <v>150</v>
      </c>
      <c r="B35" t="s">
        <v>209</v>
      </c>
      <c r="C35" t="s">
        <v>95</v>
      </c>
      <c r="D35" t="s">
        <v>96</v>
      </c>
      <c r="E35" t="s">
        <v>95</v>
      </c>
      <c r="F35" t="s">
        <v>96</v>
      </c>
      <c r="G35" s="4">
        <v>1500</v>
      </c>
    </row>
    <row r="36" spans="1:7" x14ac:dyDescent="0.35">
      <c r="A36" t="s">
        <v>151</v>
      </c>
      <c r="B36" t="s">
        <v>152</v>
      </c>
      <c r="C36" t="s">
        <v>95</v>
      </c>
      <c r="D36" t="s">
        <v>100</v>
      </c>
      <c r="E36" t="s">
        <v>95</v>
      </c>
      <c r="F36" t="s">
        <v>105</v>
      </c>
      <c r="G36" s="4">
        <v>1500</v>
      </c>
    </row>
    <row r="37" spans="1:7" x14ac:dyDescent="0.35">
      <c r="A37" t="s">
        <v>154</v>
      </c>
      <c r="B37" t="s">
        <v>211</v>
      </c>
      <c r="C37" t="s">
        <v>95</v>
      </c>
      <c r="D37" t="s">
        <v>97</v>
      </c>
      <c r="E37" t="s">
        <v>95</v>
      </c>
      <c r="F37" t="s">
        <v>97</v>
      </c>
      <c r="G37" s="4">
        <v>1500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50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0" width="11" customWidth="1"/>
    <col min="11" max="41" width="10" customWidth="1"/>
  </cols>
  <sheetData>
    <row r="1" spans="1:41" x14ac:dyDescent="0.35">
      <c r="A1" s="3" t="s">
        <v>155</v>
      </c>
      <c r="B1" s="3" t="s">
        <v>156</v>
      </c>
      <c r="C1" s="3" t="s">
        <v>157</v>
      </c>
      <c r="D1" s="3" t="s">
        <v>158</v>
      </c>
      <c r="E1" s="3" t="s">
        <v>159</v>
      </c>
      <c r="F1" s="3" t="s">
        <v>160</v>
      </c>
      <c r="G1" s="3" t="s">
        <v>161</v>
      </c>
      <c r="H1" s="3" t="s">
        <v>162</v>
      </c>
      <c r="I1" s="3" t="s">
        <v>163</v>
      </c>
      <c r="J1" s="3" t="s">
        <v>164</v>
      </c>
      <c r="K1" s="3" t="s">
        <v>88</v>
      </c>
      <c r="L1" s="3" t="s">
        <v>165</v>
      </c>
      <c r="M1" s="3" t="s">
        <v>89</v>
      </c>
      <c r="N1" s="3" t="s">
        <v>166</v>
      </c>
      <c r="O1" s="3" t="s">
        <v>167</v>
      </c>
      <c r="P1" s="3" t="s">
        <v>168</v>
      </c>
      <c r="Q1" s="3" t="s">
        <v>169</v>
      </c>
      <c r="R1" s="3" t="s">
        <v>170</v>
      </c>
      <c r="S1" s="3" t="s">
        <v>171</v>
      </c>
      <c r="T1" s="3" t="s">
        <v>172</v>
      </c>
      <c r="U1" s="3" t="s">
        <v>173</v>
      </c>
      <c r="V1" s="3" t="s">
        <v>174</v>
      </c>
      <c r="W1" s="3" t="s">
        <v>175</v>
      </c>
      <c r="X1" s="3" t="s">
        <v>176</v>
      </c>
      <c r="Y1" s="3" t="s">
        <v>177</v>
      </c>
      <c r="Z1" s="3" t="s">
        <v>178</v>
      </c>
      <c r="AA1" s="3" t="s">
        <v>179</v>
      </c>
      <c r="AB1" s="3" t="s">
        <v>180</v>
      </c>
      <c r="AC1" s="3" t="s">
        <v>181</v>
      </c>
      <c r="AD1" s="3" t="s">
        <v>182</v>
      </c>
      <c r="AE1" s="3" t="s">
        <v>183</v>
      </c>
      <c r="AF1" s="3" t="s">
        <v>184</v>
      </c>
      <c r="AG1" s="3" t="s">
        <v>185</v>
      </c>
      <c r="AH1" s="3" t="s">
        <v>186</v>
      </c>
      <c r="AI1" s="3" t="s">
        <v>187</v>
      </c>
      <c r="AJ1" s="3" t="s">
        <v>188</v>
      </c>
      <c r="AK1" s="3" t="s">
        <v>189</v>
      </c>
      <c r="AL1" s="3" t="s">
        <v>190</v>
      </c>
      <c r="AM1" s="3" t="s">
        <v>191</v>
      </c>
      <c r="AN1" s="3" t="s">
        <v>192</v>
      </c>
      <c r="AO1" s="3" t="s">
        <v>193</v>
      </c>
    </row>
    <row r="2" spans="1:41" x14ac:dyDescent="0.35">
      <c r="A2" s="8">
        <v>35309</v>
      </c>
      <c r="B2">
        <v>1996</v>
      </c>
      <c r="C2" t="s">
        <v>197</v>
      </c>
      <c r="D2" t="s">
        <v>199</v>
      </c>
      <c r="E2" t="s">
        <v>108</v>
      </c>
      <c r="F2" t="s">
        <v>98</v>
      </c>
      <c r="G2" t="s">
        <v>200</v>
      </c>
      <c r="H2">
        <v>29</v>
      </c>
      <c r="I2">
        <v>6</v>
      </c>
      <c r="J2">
        <v>0</v>
      </c>
      <c r="K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">
        <f>IF(Games[[#This Row],[Team]]="","",IF(Games[[#This Row],[Conf]]=Games[[#This Row],[OppConf]],1,0))</f>
        <v>1</v>
      </c>
      <c r="P2">
        <f>IF(Games[[#This Row],[Team]]="","",IF(AND(Games[[#This Row],[Conf]]=Games[[#This Row],[OppConf]],Games[[#This Row],[Div]]=Games[[#This Row],[OppDiv]]),1,0))</f>
        <v>1</v>
      </c>
      <c r="Q2">
        <f>IF(Games[[#This Row],[Team]]="","",_xlfn.MINIFS(Games[Date],Games[Season],Games[[#This Row],[Season]]))</f>
        <v>35309</v>
      </c>
      <c r="R2">
        <f>IF(Games[[#This Row],[Team]]="","",INT((Games[[#This Row],[Date]]-(Games[[#This Row],[SeasonStart]]-MOD(WEEKDAY(Games[[#This Row],[SeasonStart]],2)-2,7)))/7)+1)</f>
        <v>1</v>
      </c>
      <c r="S2">
        <f>IF(Games[[#This Row],[Team]]="","",COUNTIFS(Games[Team],Games[[#This Row],[Team]],Games[Season],Games[[#This Row],[Season]],Games[Week],"&lt;="&amp;Games[[#This Row],[Week]]))</f>
        <v>1</v>
      </c>
      <c r="T2">
        <f>IF(Games[[#This Row],[Team]]="","",_xlfn.MAXIFS(Games[Week],Games[Team],Games[[#This Row],[Team]],Games[Season],Games[[#This Row],[Season]],Games[Week],"&lt;"&amp;Games[[#This Row],[Week]]))</f>
        <v>0</v>
      </c>
      <c r="U2">
        <f>IF(Games[[#This Row],[Team]]="","",_xlfn.MAXIFS(Games[Week],Games[Team],Games[[#This Row],[Opponent]],Games[Season],Games[[#This Row],[Season]],Games[Week],"&lt;"&amp;Games[[#This Row],[Week]]))</f>
        <v>0</v>
      </c>
      <c r="V2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0.60215809317471691</v>
      </c>
      <c r="AB2">
        <f>IF(Games[[#This Row],[Team]]="","",Games[[#This Row],[PointsFor]]-Games[[#This Row],[PointsAgainst]])</f>
        <v>23</v>
      </c>
      <c r="AC2">
        <f>IF(Games[[#This Row],[Team]]="","",IF(Games[[#This Row],[MOV]]&gt;0,1,IF(Games[[#This Row],[MOV]]=0,0.5,0)))</f>
        <v>1</v>
      </c>
      <c r="AD2">
        <f>IF(Games[[#This Row],[Team]]="","",--(OR(AND(Games[[#This Row],[ExpectedWin]]&gt;=0.5,Games[[#This Row],[Result]]=1),AND(Games[[#This Row],[ExpectedWin]]&lt;0.5,Games[[#This Row],[Result]]=0))))</f>
        <v>1</v>
      </c>
      <c r="AE2">
        <f>IF(Games[[#This Row],[Team]]="","",-(Games[[#This Row],[Result]]*LN(Games[[#This Row],[ExpectedWin]])+(1-Games[[#This Row],[Result]])*LN(1-Games[[#This Row],[ExpectedWin]])))</f>
        <v>0.50723525490310084</v>
      </c>
      <c r="AF2">
        <f>IF(Games[[#This Row],[Team]]="","",IF(Games[[#This Row],[Season]]&gt;=2021,17,16))</f>
        <v>16</v>
      </c>
      <c r="AG2">
        <f>IF(Games[[#This Row],[Team]]="","",KMax-(KMax-KFloor)*MIN(Games[[#This Row],[GamesPlayed]],Games[[#This Row],[SeasonLen]])/Games[[#This Row],[SeasonLen]])</f>
        <v>45.387500000000003</v>
      </c>
      <c r="AH2">
        <f>IF(Games[[#This Row],[Team]]="","",((ABS(Games[[#This Row],[MOV]])+3)^0.8)/(7.5+0.006*ABS(Games[[#This Row],[PreGmRate]]-Games[[#This Row],[OppPreGmRate]]))*IF(Games[[#This Row],[OT]]=1,0.7,1))</f>
        <v>1.8068305082139831</v>
      </c>
      <c r="AI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">
        <f>IF(Games[[#This Row],[Team]]="","",Games[[#This Row],[K]]*IF(Games[[#This Row],[DivG]]=1,DivMult,1)*IF(Games[[#This Row],[ConfG]]=1,ConfMult,1)*Games[[#This Row],[POMult]])</f>
        <v>50.924775000000011</v>
      </c>
      <c r="AK2">
        <f>IF(Games[[#This Row],[Team]]="","",(Games[[#This Row],[Keff]]*Games[[#This Row],[MOVMult]])*(Games[[#This Row],[Result]]-Games[[#This Row],[ExpectedWin]]))</f>
        <v>36.606403425091621</v>
      </c>
      <c r="AL2">
        <f>IF(Games[[#This Row],[Team]]="","",Games[[#This Row],[PreGmRate]]+Games[[#This Row],[RatingChange]])</f>
        <v>1536.6064034250917</v>
      </c>
      <c r="AM2">
        <f>IF(Games[[#This Row],[Team]]="","",IF(Games[[#This Row],[Type]]="R",IF(Games[[#This Row],[Result]]&gt;0.5,1,0),0))</f>
        <v>1</v>
      </c>
      <c r="AN2">
        <f>IF(Games[[#This Row],[Team]]="","",IF(Games[[#This Row],[Type]]="R",IF(Games[[#This Row],[Result]]&lt;0.5,1,0),0))</f>
        <v>0</v>
      </c>
      <c r="AO2">
        <f>IF(Games[[#This Row],[Team]]="","",IF(Games[[#This Row],[Type]]="R",IF(Games[[#This Row],[Result]]=0.5,1,0),0))</f>
        <v>0</v>
      </c>
    </row>
    <row r="3" spans="1:41" x14ac:dyDescent="0.35">
      <c r="A3" s="8">
        <v>35309</v>
      </c>
      <c r="B3">
        <v>1996</v>
      </c>
      <c r="C3" t="s">
        <v>197</v>
      </c>
      <c r="D3" t="s">
        <v>199</v>
      </c>
      <c r="E3" t="s">
        <v>98</v>
      </c>
      <c r="F3" t="s">
        <v>108</v>
      </c>
      <c r="G3" t="s">
        <v>201</v>
      </c>
      <c r="H3">
        <v>6</v>
      </c>
      <c r="I3">
        <v>29</v>
      </c>
      <c r="J3">
        <v>0</v>
      </c>
      <c r="K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">
        <f>IF(Games[[#This Row],[Team]]="","",IF(Games[[#This Row],[Conf]]=Games[[#This Row],[OppConf]],1,0))</f>
        <v>1</v>
      </c>
      <c r="P3">
        <f>IF(Games[[#This Row],[Team]]="","",IF(AND(Games[[#This Row],[Conf]]=Games[[#This Row],[OppConf]],Games[[#This Row],[Div]]=Games[[#This Row],[OppDiv]]),1,0))</f>
        <v>1</v>
      </c>
      <c r="Q3">
        <f>IF(Games[[#This Row],[Team]]="","",_xlfn.MINIFS(Games[Date],Games[Season],Games[[#This Row],[Season]]))</f>
        <v>35309</v>
      </c>
      <c r="R3">
        <f>IF(Games[[#This Row],[Team]]="","",INT((Games[[#This Row],[Date]]-(Games[[#This Row],[SeasonStart]]-MOD(WEEKDAY(Games[[#This Row],[SeasonStart]],2)-2,7)))/7)+1)</f>
        <v>1</v>
      </c>
      <c r="S3">
        <f>IF(Games[[#This Row],[Team]]="","",COUNTIFS(Games[Team],Games[[#This Row],[Team]],Games[Season],Games[[#This Row],[Season]],Games[Week],"&lt;="&amp;Games[[#This Row],[Week]]))</f>
        <v>1</v>
      </c>
      <c r="T3">
        <f>IF(Games[[#This Row],[Team]]="","",_xlfn.MAXIFS(Games[Week],Games[Team],Games[[#This Row],[Team]],Games[Season],Games[[#This Row],[Season]],Games[Week],"&lt;"&amp;Games[[#This Row],[Week]]))</f>
        <v>0</v>
      </c>
      <c r="U3">
        <f>IF(Games[[#This Row],[Team]]="","",_xlfn.MAXIFS(Games[Week],Games[Team],Games[[#This Row],[Opponent]],Games[Season],Games[[#This Row],[Season]],Games[Week],"&lt;"&amp;Games[[#This Row],[Week]]))</f>
        <v>0</v>
      </c>
      <c r="V3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3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0.39784190682528303</v>
      </c>
      <c r="AB3">
        <f>IF(Games[[#This Row],[Team]]="","",Games[[#This Row],[PointsFor]]-Games[[#This Row],[PointsAgainst]])</f>
        <v>-23</v>
      </c>
      <c r="AC3">
        <f>IF(Games[[#This Row],[Team]]="","",IF(Games[[#This Row],[MOV]]&gt;0,1,IF(Games[[#This Row],[MOV]]=0,0.5,0)))</f>
        <v>0</v>
      </c>
      <c r="AD3">
        <f>IF(Games[[#This Row],[Team]]="","",--(OR(AND(Games[[#This Row],[ExpectedWin]]&gt;=0.5,Games[[#This Row],[Result]]=1),AND(Games[[#This Row],[ExpectedWin]]&lt;0.5,Games[[#This Row],[Result]]=0))))</f>
        <v>1</v>
      </c>
      <c r="AE3">
        <f>IF(Games[[#This Row],[Team]]="","",-(Games[[#This Row],[Result]]*LN(Games[[#This Row],[ExpectedWin]])+(1-Games[[#This Row],[Result]])*LN(1-Games[[#This Row],[ExpectedWin]])))</f>
        <v>0.50723525490310062</v>
      </c>
      <c r="AF3">
        <f>IF(Games[[#This Row],[Team]]="","",IF(Games[[#This Row],[Season]]&gt;=2021,17,16))</f>
        <v>16</v>
      </c>
      <c r="AG3">
        <f>IF(Games[[#This Row],[Team]]="","",KMax-(KMax-KFloor)*MIN(Games[[#This Row],[GamesPlayed]],Games[[#This Row],[SeasonLen]])/Games[[#This Row],[SeasonLen]])</f>
        <v>45.387500000000003</v>
      </c>
      <c r="AH3">
        <f>IF(Games[[#This Row],[Team]]="","",((ABS(Games[[#This Row],[MOV]])+3)^0.8)/(7.5+0.006*ABS(Games[[#This Row],[PreGmRate]]-Games[[#This Row],[OppPreGmRate]]))*IF(Games[[#This Row],[OT]]=1,0.7,1))</f>
        <v>1.8068305082139831</v>
      </c>
      <c r="AI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">
        <f>IF(Games[[#This Row],[Team]]="","",Games[[#This Row],[K]]*IF(Games[[#This Row],[DivG]]=1,DivMult,1)*IF(Games[[#This Row],[ConfG]]=1,ConfMult,1)*Games[[#This Row],[POMult]])</f>
        <v>50.924775000000011</v>
      </c>
      <c r="AK3">
        <f>IF(Games[[#This Row],[Team]]="","",(Games[[#This Row],[Keff]]*Games[[#This Row],[MOVMult]])*(Games[[#This Row],[Result]]-Games[[#This Row],[ExpectedWin]]))</f>
        <v>-36.606403425091614</v>
      </c>
      <c r="AL3">
        <f>IF(Games[[#This Row],[Team]]="","",Games[[#This Row],[PreGmRate]]+Games[[#This Row],[RatingChange]])</f>
        <v>1463.3935965749083</v>
      </c>
      <c r="AM3">
        <f>IF(Games[[#This Row],[Team]]="","",IF(Games[[#This Row],[Type]]="R",IF(Games[[#This Row],[Result]]&gt;0.5,1,0),0))</f>
        <v>0</v>
      </c>
      <c r="AN3">
        <f>IF(Games[[#This Row],[Team]]="","",IF(Games[[#This Row],[Type]]="R",IF(Games[[#This Row],[Result]]&lt;0.5,1,0),0))</f>
        <v>1</v>
      </c>
      <c r="AO3">
        <f>IF(Games[[#This Row],[Team]]="","",IF(Games[[#This Row],[Type]]="R",IF(Games[[#This Row],[Result]]=0.5,1,0),0))</f>
        <v>0</v>
      </c>
    </row>
    <row r="4" spans="1:41" x14ac:dyDescent="0.35">
      <c r="A4" s="8">
        <v>35309</v>
      </c>
      <c r="B4">
        <v>1996</v>
      </c>
      <c r="C4" t="s">
        <v>197</v>
      </c>
      <c r="D4" t="s">
        <v>199</v>
      </c>
      <c r="E4" t="s">
        <v>150</v>
      </c>
      <c r="F4" t="s">
        <v>112</v>
      </c>
      <c r="G4" t="s">
        <v>200</v>
      </c>
      <c r="H4">
        <v>26</v>
      </c>
      <c r="I4">
        <v>16</v>
      </c>
      <c r="J4">
        <v>0</v>
      </c>
      <c r="K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">
        <f>IF(Games[[#This Row],[Team]]="","",IF(Games[[#This Row],[Conf]]=Games[[#This Row],[OppConf]],1,0))</f>
        <v>0</v>
      </c>
      <c r="P4">
        <f>IF(Games[[#This Row],[Team]]="","",IF(AND(Games[[#This Row],[Conf]]=Games[[#This Row],[OppConf]],Games[[#This Row],[Div]]=Games[[#This Row],[OppDiv]]),1,0))</f>
        <v>0</v>
      </c>
      <c r="Q4">
        <f>IF(Games[[#This Row],[Team]]="","",_xlfn.MINIFS(Games[Date],Games[Season],Games[[#This Row],[Season]]))</f>
        <v>35309</v>
      </c>
      <c r="R4">
        <f>IF(Games[[#This Row],[Team]]="","",INT((Games[[#This Row],[Date]]-(Games[[#This Row],[SeasonStart]]-MOD(WEEKDAY(Games[[#This Row],[SeasonStart]],2)-2,7)))/7)+1)</f>
        <v>1</v>
      </c>
      <c r="S4">
        <f>IF(Games[[#This Row],[Team]]="","",COUNTIFS(Games[Team],Games[[#This Row],[Team]],Games[Season],Games[[#This Row],[Season]],Games[Week],"&lt;="&amp;Games[[#This Row],[Week]]))</f>
        <v>1</v>
      </c>
      <c r="T4">
        <f>IF(Games[[#This Row],[Team]]="","",_xlfn.MAXIFS(Games[Week],Games[Team],Games[[#This Row],[Team]],Games[Season],Games[[#This Row],[Season]],Games[Week],"&lt;"&amp;Games[[#This Row],[Week]]))</f>
        <v>0</v>
      </c>
      <c r="U4">
        <f>IF(Games[[#This Row],[Team]]="","",_xlfn.MAXIFS(Games[Week],Games[Team],Games[[#This Row],[Opponent]],Games[Season],Games[[#This Row],[Season]],Games[Week],"&lt;"&amp;Games[[#This Row],[Week]]))</f>
        <v>0</v>
      </c>
      <c r="V4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4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0.60215809317471691</v>
      </c>
      <c r="AB4">
        <f>IF(Games[[#This Row],[Team]]="","",Games[[#This Row],[PointsFor]]-Games[[#This Row],[PointsAgainst]])</f>
        <v>10</v>
      </c>
      <c r="AC4">
        <f>IF(Games[[#This Row],[Team]]="","",IF(Games[[#This Row],[MOV]]&gt;0,1,IF(Games[[#This Row],[MOV]]=0,0.5,0)))</f>
        <v>1</v>
      </c>
      <c r="AD4">
        <f>IF(Games[[#This Row],[Team]]="","",--(OR(AND(Games[[#This Row],[ExpectedWin]]&gt;=0.5,Games[[#This Row],[Result]]=1),AND(Games[[#This Row],[ExpectedWin]]&lt;0.5,Games[[#This Row],[Result]]=0))))</f>
        <v>1</v>
      </c>
      <c r="AE4">
        <f>IF(Games[[#This Row],[Team]]="","",-(Games[[#This Row],[Result]]*LN(Games[[#This Row],[ExpectedWin]])+(1-Games[[#This Row],[Result]])*LN(1-Games[[#This Row],[ExpectedWin]])))</f>
        <v>0.50723525490310084</v>
      </c>
      <c r="AF4">
        <f>IF(Games[[#This Row],[Team]]="","",IF(Games[[#This Row],[Season]]&gt;=2021,17,16))</f>
        <v>16</v>
      </c>
      <c r="AG4">
        <f>IF(Games[[#This Row],[Team]]="","",KMax-(KMax-KFloor)*MIN(Games[[#This Row],[GamesPlayed]],Games[[#This Row],[SeasonLen]])/Games[[#This Row],[SeasonLen]])</f>
        <v>45.387500000000003</v>
      </c>
      <c r="AH4">
        <f>IF(Games[[#This Row],[Team]]="","",((ABS(Games[[#This Row],[MOV]])+3)^0.8)/(7.5+0.006*ABS(Games[[#This Row],[PreGmRate]]-Games[[#This Row],[OppPreGmRate]]))*IF(Games[[#This Row],[OT]]=1,0.7,1))</f>
        <v>1.0377516162719294</v>
      </c>
      <c r="AI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">
        <f>IF(Games[[#This Row],[Team]]="","",Games[[#This Row],[K]]*IF(Games[[#This Row],[DivG]]=1,DivMult,1)*IF(Games[[#This Row],[ConfG]]=1,ConfMult,1)*Games[[#This Row],[POMult]])</f>
        <v>45.387500000000003</v>
      </c>
      <c r="AK4">
        <f>IF(Games[[#This Row],[Team]]="","",(Games[[#This Row],[Keff]]*Games[[#This Row],[MOVMult]])*(Games[[#This Row],[Result]]-Games[[#This Row],[ExpectedWin]]))</f>
        <v>18.738732351497575</v>
      </c>
      <c r="AL4">
        <f>IF(Games[[#This Row],[Team]]="","",Games[[#This Row],[PreGmRate]]+Games[[#This Row],[RatingChange]])</f>
        <v>1518.7387323514977</v>
      </c>
      <c r="AM4">
        <f>IF(Games[[#This Row],[Team]]="","",IF(Games[[#This Row],[Type]]="R",IF(Games[[#This Row],[Result]]&gt;0.5,1,0),0))</f>
        <v>1</v>
      </c>
      <c r="AN4">
        <f>IF(Games[[#This Row],[Team]]="","",IF(Games[[#This Row],[Type]]="R",IF(Games[[#This Row],[Result]]&lt;0.5,1,0),0))</f>
        <v>0</v>
      </c>
      <c r="AO4">
        <f>IF(Games[[#This Row],[Team]]="","",IF(Games[[#This Row],[Type]]="R",IF(Games[[#This Row],[Result]]=0.5,1,0),0))</f>
        <v>0</v>
      </c>
    </row>
    <row r="5" spans="1:41" x14ac:dyDescent="0.35">
      <c r="A5" s="8">
        <v>35309</v>
      </c>
      <c r="B5">
        <v>1996</v>
      </c>
      <c r="C5" t="s">
        <v>197</v>
      </c>
      <c r="D5" t="s">
        <v>199</v>
      </c>
      <c r="E5" t="s">
        <v>112</v>
      </c>
      <c r="F5" t="s">
        <v>150</v>
      </c>
      <c r="G5" t="s">
        <v>201</v>
      </c>
      <c r="H5">
        <v>16</v>
      </c>
      <c r="I5">
        <v>26</v>
      </c>
      <c r="J5">
        <v>0</v>
      </c>
      <c r="K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5">
        <f>IF(Games[[#This Row],[Team]]="","",IF(Games[[#This Row],[Conf]]=Games[[#This Row],[OppConf]],1,0))</f>
        <v>0</v>
      </c>
      <c r="P5">
        <f>IF(Games[[#This Row],[Team]]="","",IF(AND(Games[[#This Row],[Conf]]=Games[[#This Row],[OppConf]],Games[[#This Row],[Div]]=Games[[#This Row],[OppDiv]]),1,0))</f>
        <v>0</v>
      </c>
      <c r="Q5">
        <f>IF(Games[[#This Row],[Team]]="","",_xlfn.MINIFS(Games[Date],Games[Season],Games[[#This Row],[Season]]))</f>
        <v>35309</v>
      </c>
      <c r="R5">
        <f>IF(Games[[#This Row],[Team]]="","",INT((Games[[#This Row],[Date]]-(Games[[#This Row],[SeasonStart]]-MOD(WEEKDAY(Games[[#This Row],[SeasonStart]],2)-2,7)))/7)+1)</f>
        <v>1</v>
      </c>
      <c r="S5">
        <f>IF(Games[[#This Row],[Team]]="","",COUNTIFS(Games[Team],Games[[#This Row],[Team]],Games[Season],Games[[#This Row],[Season]],Games[Week],"&lt;="&amp;Games[[#This Row],[Week]]))</f>
        <v>1</v>
      </c>
      <c r="T5">
        <f>IF(Games[[#This Row],[Team]]="","",_xlfn.MAXIFS(Games[Week],Games[Team],Games[[#This Row],[Team]],Games[Season],Games[[#This Row],[Season]],Games[Week],"&lt;"&amp;Games[[#This Row],[Week]]))</f>
        <v>0</v>
      </c>
      <c r="U5">
        <f>IF(Games[[#This Row],[Team]]="","",_xlfn.MAXIFS(Games[Week],Games[Team],Games[[#This Row],[Opponent]],Games[Season],Games[[#This Row],[Season]],Games[Week],"&lt;"&amp;Games[[#This Row],[Week]]))</f>
        <v>0</v>
      </c>
      <c r="V5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5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0.39784190682528303</v>
      </c>
      <c r="AB5">
        <f>IF(Games[[#This Row],[Team]]="","",Games[[#This Row],[PointsFor]]-Games[[#This Row],[PointsAgainst]])</f>
        <v>-10</v>
      </c>
      <c r="AC5">
        <f>IF(Games[[#This Row],[Team]]="","",IF(Games[[#This Row],[MOV]]&gt;0,1,IF(Games[[#This Row],[MOV]]=0,0.5,0)))</f>
        <v>0</v>
      </c>
      <c r="AD5">
        <f>IF(Games[[#This Row],[Team]]="","",--(OR(AND(Games[[#This Row],[ExpectedWin]]&gt;=0.5,Games[[#This Row],[Result]]=1),AND(Games[[#This Row],[ExpectedWin]]&lt;0.5,Games[[#This Row],[Result]]=0))))</f>
        <v>1</v>
      </c>
      <c r="AE5">
        <f>IF(Games[[#This Row],[Team]]="","",-(Games[[#This Row],[Result]]*LN(Games[[#This Row],[ExpectedWin]])+(1-Games[[#This Row],[Result]])*LN(1-Games[[#This Row],[ExpectedWin]])))</f>
        <v>0.50723525490310062</v>
      </c>
      <c r="AF5">
        <f>IF(Games[[#This Row],[Team]]="","",IF(Games[[#This Row],[Season]]&gt;=2021,17,16))</f>
        <v>16</v>
      </c>
      <c r="AG5">
        <f>IF(Games[[#This Row],[Team]]="","",KMax-(KMax-KFloor)*MIN(Games[[#This Row],[GamesPlayed]],Games[[#This Row],[SeasonLen]])/Games[[#This Row],[SeasonLen]])</f>
        <v>45.387500000000003</v>
      </c>
      <c r="AH5">
        <f>IF(Games[[#This Row],[Team]]="","",((ABS(Games[[#This Row],[MOV]])+3)^0.8)/(7.5+0.006*ABS(Games[[#This Row],[PreGmRate]]-Games[[#This Row],[OppPreGmRate]]))*IF(Games[[#This Row],[OT]]=1,0.7,1))</f>
        <v>1.0377516162719294</v>
      </c>
      <c r="AI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">
        <f>IF(Games[[#This Row],[Team]]="","",Games[[#This Row],[K]]*IF(Games[[#This Row],[DivG]]=1,DivMult,1)*IF(Games[[#This Row],[ConfG]]=1,ConfMult,1)*Games[[#This Row],[POMult]])</f>
        <v>45.387500000000003</v>
      </c>
      <c r="AK5">
        <f>IF(Games[[#This Row],[Team]]="","",(Games[[#This Row],[Keff]]*Games[[#This Row],[MOVMult]])*(Games[[#This Row],[Result]]-Games[[#This Row],[ExpectedWin]]))</f>
        <v>-18.738732351497571</v>
      </c>
      <c r="AL5">
        <f>IF(Games[[#This Row],[Team]]="","",Games[[#This Row],[PreGmRate]]+Games[[#This Row],[RatingChange]])</f>
        <v>1481.2612676485023</v>
      </c>
      <c r="AM5">
        <f>IF(Games[[#This Row],[Team]]="","",IF(Games[[#This Row],[Type]]="R",IF(Games[[#This Row],[Result]]&gt;0.5,1,0),0))</f>
        <v>0</v>
      </c>
      <c r="AN5">
        <f>IF(Games[[#This Row],[Team]]="","",IF(Games[[#This Row],[Type]]="R",IF(Games[[#This Row],[Result]]&lt;0.5,1,0),0))</f>
        <v>1</v>
      </c>
      <c r="AO5">
        <f>IF(Games[[#This Row],[Team]]="","",IF(Games[[#This Row],[Type]]="R",IF(Games[[#This Row],[Result]]=0.5,1,0),0))</f>
        <v>0</v>
      </c>
    </row>
    <row r="6" spans="1:41" x14ac:dyDescent="0.35">
      <c r="A6" s="8">
        <v>35309</v>
      </c>
      <c r="B6">
        <v>1996</v>
      </c>
      <c r="C6" t="s">
        <v>197</v>
      </c>
      <c r="D6" t="s">
        <v>199</v>
      </c>
      <c r="E6" t="s">
        <v>122</v>
      </c>
      <c r="F6" t="s">
        <v>93</v>
      </c>
      <c r="G6" t="s">
        <v>200</v>
      </c>
      <c r="H6">
        <v>20</v>
      </c>
      <c r="I6">
        <v>13</v>
      </c>
      <c r="J6">
        <v>0</v>
      </c>
      <c r="K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6">
        <f>IF(Games[[#This Row],[Team]]="","",IF(Games[[#This Row],[Conf]]=Games[[#This Row],[OppConf]],1,0))</f>
        <v>0</v>
      </c>
      <c r="P6">
        <f>IF(Games[[#This Row],[Team]]="","",IF(AND(Games[[#This Row],[Conf]]=Games[[#This Row],[OppConf]],Games[[#This Row],[Div]]=Games[[#This Row],[OppDiv]]),1,0))</f>
        <v>0</v>
      </c>
      <c r="Q6">
        <f>IF(Games[[#This Row],[Team]]="","",_xlfn.MINIFS(Games[Date],Games[Season],Games[[#This Row],[Season]]))</f>
        <v>35309</v>
      </c>
      <c r="R6">
        <f>IF(Games[[#This Row],[Team]]="","",INT((Games[[#This Row],[Date]]-(Games[[#This Row],[SeasonStart]]-MOD(WEEKDAY(Games[[#This Row],[SeasonStart]],2)-2,7)))/7)+1)</f>
        <v>1</v>
      </c>
      <c r="S6">
        <f>IF(Games[[#This Row],[Team]]="","",COUNTIFS(Games[Team],Games[[#This Row],[Team]],Games[Season],Games[[#This Row],[Season]],Games[Week],"&lt;="&amp;Games[[#This Row],[Week]]))</f>
        <v>1</v>
      </c>
      <c r="T6">
        <f>IF(Games[[#This Row],[Team]]="","",_xlfn.MAXIFS(Games[Week],Games[Team],Games[[#This Row],[Team]],Games[Season],Games[[#This Row],[Season]],Games[Week],"&lt;"&amp;Games[[#This Row],[Week]]))</f>
        <v>0</v>
      </c>
      <c r="U6">
        <f>IF(Games[[#This Row],[Team]]="","",_xlfn.MAXIFS(Games[Week],Games[Team],Games[[#This Row],[Opponent]],Games[Season],Games[[#This Row],[Season]],Games[Week],"&lt;"&amp;Games[[#This Row],[Week]]))</f>
        <v>0</v>
      </c>
      <c r="V6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6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0.60215809317471691</v>
      </c>
      <c r="AB6">
        <f>IF(Games[[#This Row],[Team]]="","",Games[[#This Row],[PointsFor]]-Games[[#This Row],[PointsAgainst]])</f>
        <v>7</v>
      </c>
      <c r="AC6">
        <f>IF(Games[[#This Row],[Team]]="","",IF(Games[[#This Row],[MOV]]&gt;0,1,IF(Games[[#This Row],[MOV]]=0,0.5,0)))</f>
        <v>1</v>
      </c>
      <c r="AD6">
        <f>IF(Games[[#This Row],[Team]]="","",--(OR(AND(Games[[#This Row],[ExpectedWin]]&gt;=0.5,Games[[#This Row],[Result]]=1),AND(Games[[#This Row],[ExpectedWin]]&lt;0.5,Games[[#This Row],[Result]]=0))))</f>
        <v>1</v>
      </c>
      <c r="AE6">
        <f>IF(Games[[#This Row],[Team]]="","",-(Games[[#This Row],[Result]]*LN(Games[[#This Row],[ExpectedWin]])+(1-Games[[#This Row],[Result]])*LN(1-Games[[#This Row],[ExpectedWin]])))</f>
        <v>0.50723525490310084</v>
      </c>
      <c r="AF6">
        <f>IF(Games[[#This Row],[Team]]="","",IF(Games[[#This Row],[Season]]&gt;=2021,17,16))</f>
        <v>16</v>
      </c>
      <c r="AG6">
        <f>IF(Games[[#This Row],[Team]]="","",KMax-(KMax-KFloor)*MIN(Games[[#This Row],[GamesPlayed]],Games[[#This Row],[SeasonLen]])/Games[[#This Row],[SeasonLen]])</f>
        <v>45.387500000000003</v>
      </c>
      <c r="AH6">
        <f>IF(Games[[#This Row],[Team]]="","",((ABS(Games[[#This Row],[MOV]])+3)^0.8)/(7.5+0.006*ABS(Games[[#This Row],[PreGmRate]]-Games[[#This Row],[OppPreGmRate]]))*IF(Games[[#This Row],[OT]]=1,0.7,1))</f>
        <v>0.84127645930692452</v>
      </c>
      <c r="AI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">
        <f>IF(Games[[#This Row],[Team]]="","",Games[[#This Row],[K]]*IF(Games[[#This Row],[DivG]]=1,DivMult,1)*IF(Games[[#This Row],[ConfG]]=1,ConfMult,1)*Games[[#This Row],[POMult]])</f>
        <v>45.387500000000003</v>
      </c>
      <c r="AK6">
        <f>IF(Games[[#This Row],[Team]]="","",(Games[[#This Row],[Keff]]*Games[[#This Row],[MOVMult]])*(Games[[#This Row],[Result]]-Games[[#This Row],[ExpectedWin]]))</f>
        <v>15.190970707615961</v>
      </c>
      <c r="AL6">
        <f>IF(Games[[#This Row],[Team]]="","",Games[[#This Row],[PreGmRate]]+Games[[#This Row],[RatingChange]])</f>
        <v>1515.1909707076159</v>
      </c>
      <c r="AM6">
        <f>IF(Games[[#This Row],[Team]]="","",IF(Games[[#This Row],[Type]]="R",IF(Games[[#This Row],[Result]]&gt;0.5,1,0),0))</f>
        <v>1</v>
      </c>
      <c r="AN6">
        <f>IF(Games[[#This Row],[Team]]="","",IF(Games[[#This Row],[Type]]="R",IF(Games[[#This Row],[Result]]&lt;0.5,1,0),0))</f>
        <v>0</v>
      </c>
      <c r="AO6">
        <f>IF(Games[[#This Row],[Team]]="","",IF(Games[[#This Row],[Type]]="R",IF(Games[[#This Row],[Result]]=0.5,1,0),0))</f>
        <v>0</v>
      </c>
    </row>
    <row r="7" spans="1:41" x14ac:dyDescent="0.35">
      <c r="A7" s="8">
        <v>35309</v>
      </c>
      <c r="B7">
        <v>1996</v>
      </c>
      <c r="C7" t="s">
        <v>197</v>
      </c>
      <c r="D7" t="s">
        <v>199</v>
      </c>
      <c r="E7" t="s">
        <v>93</v>
      </c>
      <c r="F7" t="s">
        <v>122</v>
      </c>
      <c r="G7" t="s">
        <v>201</v>
      </c>
      <c r="H7">
        <v>13</v>
      </c>
      <c r="I7">
        <v>20</v>
      </c>
      <c r="J7">
        <v>0</v>
      </c>
      <c r="K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7">
        <f>IF(Games[[#This Row],[Team]]="","",IF(Games[[#This Row],[Conf]]=Games[[#This Row],[OppConf]],1,0))</f>
        <v>0</v>
      </c>
      <c r="P7">
        <f>IF(Games[[#This Row],[Team]]="","",IF(AND(Games[[#This Row],[Conf]]=Games[[#This Row],[OppConf]],Games[[#This Row],[Div]]=Games[[#This Row],[OppDiv]]),1,0))</f>
        <v>0</v>
      </c>
      <c r="Q7">
        <f>IF(Games[[#This Row],[Team]]="","",_xlfn.MINIFS(Games[Date],Games[Season],Games[[#This Row],[Season]]))</f>
        <v>35309</v>
      </c>
      <c r="R7">
        <f>IF(Games[[#This Row],[Team]]="","",INT((Games[[#This Row],[Date]]-(Games[[#This Row],[SeasonStart]]-MOD(WEEKDAY(Games[[#This Row],[SeasonStart]],2)-2,7)))/7)+1)</f>
        <v>1</v>
      </c>
      <c r="S7">
        <f>IF(Games[[#This Row],[Team]]="","",COUNTIFS(Games[Team],Games[[#This Row],[Team]],Games[Season],Games[[#This Row],[Season]],Games[Week],"&lt;="&amp;Games[[#This Row],[Week]]))</f>
        <v>1</v>
      </c>
      <c r="T7">
        <f>IF(Games[[#This Row],[Team]]="","",_xlfn.MAXIFS(Games[Week],Games[Team],Games[[#This Row],[Team]],Games[Season],Games[[#This Row],[Season]],Games[Week],"&lt;"&amp;Games[[#This Row],[Week]]))</f>
        <v>0</v>
      </c>
      <c r="U7">
        <f>IF(Games[[#This Row],[Team]]="","",_xlfn.MAXIFS(Games[Week],Games[Team],Games[[#This Row],[Opponent]],Games[Season],Games[[#This Row],[Season]],Games[Week],"&lt;"&amp;Games[[#This Row],[Week]]))</f>
        <v>0</v>
      </c>
      <c r="V7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7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0.39784190682528303</v>
      </c>
      <c r="AB7">
        <f>IF(Games[[#This Row],[Team]]="","",Games[[#This Row],[PointsFor]]-Games[[#This Row],[PointsAgainst]])</f>
        <v>-7</v>
      </c>
      <c r="AC7">
        <f>IF(Games[[#This Row],[Team]]="","",IF(Games[[#This Row],[MOV]]&gt;0,1,IF(Games[[#This Row],[MOV]]=0,0.5,0)))</f>
        <v>0</v>
      </c>
      <c r="AD7">
        <f>IF(Games[[#This Row],[Team]]="","",--(OR(AND(Games[[#This Row],[ExpectedWin]]&gt;=0.5,Games[[#This Row],[Result]]=1),AND(Games[[#This Row],[ExpectedWin]]&lt;0.5,Games[[#This Row],[Result]]=0))))</f>
        <v>1</v>
      </c>
      <c r="AE7">
        <f>IF(Games[[#This Row],[Team]]="","",-(Games[[#This Row],[Result]]*LN(Games[[#This Row],[ExpectedWin]])+(1-Games[[#This Row],[Result]])*LN(1-Games[[#This Row],[ExpectedWin]])))</f>
        <v>0.50723525490310062</v>
      </c>
      <c r="AF7">
        <f>IF(Games[[#This Row],[Team]]="","",IF(Games[[#This Row],[Season]]&gt;=2021,17,16))</f>
        <v>16</v>
      </c>
      <c r="AG7">
        <f>IF(Games[[#This Row],[Team]]="","",KMax-(KMax-KFloor)*MIN(Games[[#This Row],[GamesPlayed]],Games[[#This Row],[SeasonLen]])/Games[[#This Row],[SeasonLen]])</f>
        <v>45.387500000000003</v>
      </c>
      <c r="AH7">
        <f>IF(Games[[#This Row],[Team]]="","",((ABS(Games[[#This Row],[MOV]])+3)^0.8)/(7.5+0.006*ABS(Games[[#This Row],[PreGmRate]]-Games[[#This Row],[OppPreGmRate]]))*IF(Games[[#This Row],[OT]]=1,0.7,1))</f>
        <v>0.84127645930692452</v>
      </c>
      <c r="AI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">
        <f>IF(Games[[#This Row],[Team]]="","",Games[[#This Row],[K]]*IF(Games[[#This Row],[DivG]]=1,DivMult,1)*IF(Games[[#This Row],[ConfG]]=1,ConfMult,1)*Games[[#This Row],[POMult]])</f>
        <v>45.387500000000003</v>
      </c>
      <c r="AK7">
        <f>IF(Games[[#This Row],[Team]]="","",(Games[[#This Row],[Keff]]*Games[[#This Row],[MOVMult]])*(Games[[#This Row],[Result]]-Games[[#This Row],[ExpectedWin]]))</f>
        <v>-15.190970707615959</v>
      </c>
      <c r="AL7">
        <f>IF(Games[[#This Row],[Team]]="","",Games[[#This Row],[PreGmRate]]+Games[[#This Row],[RatingChange]])</f>
        <v>1484.8090292923841</v>
      </c>
      <c r="AM7">
        <f>IF(Games[[#This Row],[Team]]="","",IF(Games[[#This Row],[Type]]="R",IF(Games[[#This Row],[Result]]&gt;0.5,1,0),0))</f>
        <v>0</v>
      </c>
      <c r="AN7">
        <f>IF(Games[[#This Row],[Team]]="","",IF(Games[[#This Row],[Type]]="R",IF(Games[[#This Row],[Result]]&lt;0.5,1,0),0))</f>
        <v>1</v>
      </c>
      <c r="AO7">
        <f>IF(Games[[#This Row],[Team]]="","",IF(Games[[#This Row],[Type]]="R",IF(Games[[#This Row],[Result]]=0.5,1,0),0))</f>
        <v>0</v>
      </c>
    </row>
    <row r="8" spans="1:41" x14ac:dyDescent="0.35">
      <c r="A8" s="8">
        <v>35309</v>
      </c>
      <c r="B8">
        <v>1996</v>
      </c>
      <c r="C8" t="s">
        <v>197</v>
      </c>
      <c r="D8" t="s">
        <v>199</v>
      </c>
      <c r="E8" t="s">
        <v>130</v>
      </c>
      <c r="F8" t="s">
        <v>118</v>
      </c>
      <c r="G8" t="s">
        <v>200</v>
      </c>
      <c r="H8">
        <v>17</v>
      </c>
      <c r="I8">
        <v>13</v>
      </c>
      <c r="J8">
        <v>0</v>
      </c>
      <c r="K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8">
        <f>IF(Games[[#This Row],[Team]]="","",IF(Games[[#This Row],[Conf]]=Games[[#This Row],[OppConf]],1,0))</f>
        <v>1</v>
      </c>
      <c r="P8">
        <f>IF(Games[[#This Row],[Team]]="","",IF(AND(Games[[#This Row],[Conf]]=Games[[#This Row],[OppConf]],Games[[#This Row],[Div]]=Games[[#This Row],[OppDiv]]),1,0))</f>
        <v>1</v>
      </c>
      <c r="Q8">
        <f>IF(Games[[#This Row],[Team]]="","",_xlfn.MINIFS(Games[Date],Games[Season],Games[[#This Row],[Season]]))</f>
        <v>35309</v>
      </c>
      <c r="R8">
        <f>IF(Games[[#This Row],[Team]]="","",INT((Games[[#This Row],[Date]]-(Games[[#This Row],[SeasonStart]]-MOD(WEEKDAY(Games[[#This Row],[SeasonStart]],2)-2,7)))/7)+1)</f>
        <v>1</v>
      </c>
      <c r="S8">
        <f>IF(Games[[#This Row],[Team]]="","",COUNTIFS(Games[Team],Games[[#This Row],[Team]],Games[Season],Games[[#This Row],[Season]],Games[Week],"&lt;="&amp;Games[[#This Row],[Week]]))</f>
        <v>1</v>
      </c>
      <c r="T8">
        <f>IF(Games[[#This Row],[Team]]="","",_xlfn.MAXIFS(Games[Week],Games[Team],Games[[#This Row],[Team]],Games[Season],Games[[#This Row],[Season]],Games[Week],"&lt;"&amp;Games[[#This Row],[Week]]))</f>
        <v>0</v>
      </c>
      <c r="U8">
        <f>IF(Games[[#This Row],[Team]]="","",_xlfn.MAXIFS(Games[Week],Games[Team],Games[[#This Row],[Opponent]],Games[Season],Games[[#This Row],[Season]],Games[Week],"&lt;"&amp;Games[[#This Row],[Week]]))</f>
        <v>0</v>
      </c>
      <c r="V8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8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0.60215809317471691</v>
      </c>
      <c r="AB8">
        <f>IF(Games[[#This Row],[Team]]="","",Games[[#This Row],[PointsFor]]-Games[[#This Row],[PointsAgainst]])</f>
        <v>4</v>
      </c>
      <c r="AC8">
        <f>IF(Games[[#This Row],[Team]]="","",IF(Games[[#This Row],[MOV]]&gt;0,1,IF(Games[[#This Row],[MOV]]=0,0.5,0)))</f>
        <v>1</v>
      </c>
      <c r="AD8">
        <f>IF(Games[[#This Row],[Team]]="","",--(OR(AND(Games[[#This Row],[ExpectedWin]]&gt;=0.5,Games[[#This Row],[Result]]=1),AND(Games[[#This Row],[ExpectedWin]]&lt;0.5,Games[[#This Row],[Result]]=0))))</f>
        <v>1</v>
      </c>
      <c r="AE8">
        <f>IF(Games[[#This Row],[Team]]="","",-(Games[[#This Row],[Result]]*LN(Games[[#This Row],[ExpectedWin]])+(1-Games[[#This Row],[Result]])*LN(1-Games[[#This Row],[ExpectedWin]])))</f>
        <v>0.50723525490310084</v>
      </c>
      <c r="AF8">
        <f>IF(Games[[#This Row],[Team]]="","",IF(Games[[#This Row],[Season]]&gt;=2021,17,16))</f>
        <v>16</v>
      </c>
      <c r="AG8">
        <f>IF(Games[[#This Row],[Team]]="","",KMax-(KMax-KFloor)*MIN(Games[[#This Row],[GamesPlayed]],Games[[#This Row],[SeasonLen]])/Games[[#This Row],[SeasonLen]])</f>
        <v>45.387500000000003</v>
      </c>
      <c r="AH8">
        <f>IF(Games[[#This Row],[Team]]="","",((ABS(Games[[#This Row],[MOV]])+3)^0.8)/(7.5+0.006*ABS(Games[[#This Row],[PreGmRate]]-Games[[#This Row],[OppPreGmRate]]))*IF(Games[[#This Row],[OT]]=1,0.7,1))</f>
        <v>0.63243685250711557</v>
      </c>
      <c r="AI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">
        <f>IF(Games[[#This Row],[Team]]="","",Games[[#This Row],[K]]*IF(Games[[#This Row],[DivG]]=1,DivMult,1)*IF(Games[[#This Row],[ConfG]]=1,ConfMult,1)*Games[[#This Row],[POMult]])</f>
        <v>50.924775000000011</v>
      </c>
      <c r="AK8">
        <f>IF(Games[[#This Row],[Team]]="","",(Games[[#This Row],[Keff]]*Games[[#This Row],[MOVMult]])*(Games[[#This Row],[Result]]-Games[[#This Row],[ExpectedWin]]))</f>
        <v>12.81317669727372</v>
      </c>
      <c r="AL8">
        <f>IF(Games[[#This Row],[Team]]="","",Games[[#This Row],[PreGmRate]]+Games[[#This Row],[RatingChange]])</f>
        <v>1512.8131766972738</v>
      </c>
      <c r="AM8">
        <f>IF(Games[[#This Row],[Team]]="","",IF(Games[[#This Row],[Type]]="R",IF(Games[[#This Row],[Result]]&gt;0.5,1,0),0))</f>
        <v>1</v>
      </c>
      <c r="AN8">
        <f>IF(Games[[#This Row],[Team]]="","",IF(Games[[#This Row],[Type]]="R",IF(Games[[#This Row],[Result]]&lt;0.5,1,0),0))</f>
        <v>0</v>
      </c>
      <c r="AO8">
        <f>IF(Games[[#This Row],[Team]]="","",IF(Games[[#This Row],[Type]]="R",IF(Games[[#This Row],[Result]]=0.5,1,0),0))</f>
        <v>0</v>
      </c>
    </row>
    <row r="9" spans="1:41" x14ac:dyDescent="0.35">
      <c r="A9" s="8">
        <v>35309</v>
      </c>
      <c r="B9">
        <v>1996</v>
      </c>
      <c r="C9" t="s">
        <v>197</v>
      </c>
      <c r="D9" t="s">
        <v>199</v>
      </c>
      <c r="E9" t="s">
        <v>118</v>
      </c>
      <c r="F9" t="s">
        <v>130</v>
      </c>
      <c r="G9" t="s">
        <v>201</v>
      </c>
      <c r="H9">
        <v>13</v>
      </c>
      <c r="I9">
        <v>17</v>
      </c>
      <c r="J9">
        <v>0</v>
      </c>
      <c r="K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9">
        <f>IF(Games[[#This Row],[Team]]="","",IF(Games[[#This Row],[Conf]]=Games[[#This Row],[OppConf]],1,0))</f>
        <v>1</v>
      </c>
      <c r="P9">
        <f>IF(Games[[#This Row],[Team]]="","",IF(AND(Games[[#This Row],[Conf]]=Games[[#This Row],[OppConf]],Games[[#This Row],[Div]]=Games[[#This Row],[OppDiv]]),1,0))</f>
        <v>1</v>
      </c>
      <c r="Q9">
        <f>IF(Games[[#This Row],[Team]]="","",_xlfn.MINIFS(Games[Date],Games[Season],Games[[#This Row],[Season]]))</f>
        <v>35309</v>
      </c>
      <c r="R9">
        <f>IF(Games[[#This Row],[Team]]="","",INT((Games[[#This Row],[Date]]-(Games[[#This Row],[SeasonStart]]-MOD(WEEKDAY(Games[[#This Row],[SeasonStart]],2)-2,7)))/7)+1)</f>
        <v>1</v>
      </c>
      <c r="S9">
        <f>IF(Games[[#This Row],[Team]]="","",COUNTIFS(Games[Team],Games[[#This Row],[Team]],Games[Season],Games[[#This Row],[Season]],Games[Week],"&lt;="&amp;Games[[#This Row],[Week]]))</f>
        <v>1</v>
      </c>
      <c r="T9">
        <f>IF(Games[[#This Row],[Team]]="","",_xlfn.MAXIFS(Games[Week],Games[Team],Games[[#This Row],[Team]],Games[Season],Games[[#This Row],[Season]],Games[Week],"&lt;"&amp;Games[[#This Row],[Week]]))</f>
        <v>0</v>
      </c>
      <c r="U9">
        <f>IF(Games[[#This Row],[Team]]="","",_xlfn.MAXIFS(Games[Week],Games[Team],Games[[#This Row],[Opponent]],Games[Season],Games[[#This Row],[Season]],Games[Week],"&lt;"&amp;Games[[#This Row],[Week]]))</f>
        <v>0</v>
      </c>
      <c r="V9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9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0.39784190682528303</v>
      </c>
      <c r="AB9">
        <f>IF(Games[[#This Row],[Team]]="","",Games[[#This Row],[PointsFor]]-Games[[#This Row],[PointsAgainst]])</f>
        <v>-4</v>
      </c>
      <c r="AC9">
        <f>IF(Games[[#This Row],[Team]]="","",IF(Games[[#This Row],[MOV]]&gt;0,1,IF(Games[[#This Row],[MOV]]=0,0.5,0)))</f>
        <v>0</v>
      </c>
      <c r="AD9">
        <f>IF(Games[[#This Row],[Team]]="","",--(OR(AND(Games[[#This Row],[ExpectedWin]]&gt;=0.5,Games[[#This Row],[Result]]=1),AND(Games[[#This Row],[ExpectedWin]]&lt;0.5,Games[[#This Row],[Result]]=0))))</f>
        <v>1</v>
      </c>
      <c r="AE9">
        <f>IF(Games[[#This Row],[Team]]="","",-(Games[[#This Row],[Result]]*LN(Games[[#This Row],[ExpectedWin]])+(1-Games[[#This Row],[Result]])*LN(1-Games[[#This Row],[ExpectedWin]])))</f>
        <v>0.50723525490310062</v>
      </c>
      <c r="AF9">
        <f>IF(Games[[#This Row],[Team]]="","",IF(Games[[#This Row],[Season]]&gt;=2021,17,16))</f>
        <v>16</v>
      </c>
      <c r="AG9">
        <f>IF(Games[[#This Row],[Team]]="","",KMax-(KMax-KFloor)*MIN(Games[[#This Row],[GamesPlayed]],Games[[#This Row],[SeasonLen]])/Games[[#This Row],[SeasonLen]])</f>
        <v>45.387500000000003</v>
      </c>
      <c r="AH9">
        <f>IF(Games[[#This Row],[Team]]="","",((ABS(Games[[#This Row],[MOV]])+3)^0.8)/(7.5+0.006*ABS(Games[[#This Row],[PreGmRate]]-Games[[#This Row],[OppPreGmRate]]))*IF(Games[[#This Row],[OT]]=1,0.7,1))</f>
        <v>0.63243685250711557</v>
      </c>
      <c r="AI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">
        <f>IF(Games[[#This Row],[Team]]="","",Games[[#This Row],[K]]*IF(Games[[#This Row],[DivG]]=1,DivMult,1)*IF(Games[[#This Row],[ConfG]]=1,ConfMult,1)*Games[[#This Row],[POMult]])</f>
        <v>50.924775000000011</v>
      </c>
      <c r="AK9">
        <f>IF(Games[[#This Row],[Team]]="","",(Games[[#This Row],[Keff]]*Games[[#This Row],[MOVMult]])*(Games[[#This Row],[Result]]-Games[[#This Row],[ExpectedWin]]))</f>
        <v>-12.813176697273718</v>
      </c>
      <c r="AL9">
        <f>IF(Games[[#This Row],[Team]]="","",Games[[#This Row],[PreGmRate]]+Games[[#This Row],[RatingChange]])</f>
        <v>1487.1868233027262</v>
      </c>
      <c r="AM9">
        <f>IF(Games[[#This Row],[Team]]="","",IF(Games[[#This Row],[Type]]="R",IF(Games[[#This Row],[Result]]&gt;0.5,1,0),0))</f>
        <v>0</v>
      </c>
      <c r="AN9">
        <f>IF(Games[[#This Row],[Team]]="","",IF(Games[[#This Row],[Type]]="R",IF(Games[[#This Row],[Result]]&lt;0.5,1,0),0))</f>
        <v>1</v>
      </c>
      <c r="AO9">
        <f>IF(Games[[#This Row],[Team]]="","",IF(Games[[#This Row],[Type]]="R",IF(Games[[#This Row],[Result]]=0.5,1,0),0))</f>
        <v>0</v>
      </c>
    </row>
    <row r="10" spans="1:41" x14ac:dyDescent="0.35">
      <c r="A10" s="8">
        <v>35309</v>
      </c>
      <c r="B10">
        <v>1996</v>
      </c>
      <c r="C10" t="s">
        <v>197</v>
      </c>
      <c r="D10" t="s">
        <v>199</v>
      </c>
      <c r="E10" t="s">
        <v>124</v>
      </c>
      <c r="F10" t="s">
        <v>143</v>
      </c>
      <c r="G10" t="s">
        <v>200</v>
      </c>
      <c r="H10">
        <v>24</v>
      </c>
      <c r="I10">
        <v>9</v>
      </c>
      <c r="J10">
        <v>0</v>
      </c>
      <c r="K1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0">
        <f>IF(Games[[#This Row],[Team]]="","",IF(Games[[#This Row],[Conf]]=Games[[#This Row],[OppConf]],1,0))</f>
        <v>1</v>
      </c>
      <c r="P10">
        <f>IF(Games[[#This Row],[Team]]="","",IF(AND(Games[[#This Row],[Conf]]=Games[[#This Row],[OppConf]],Games[[#This Row],[Div]]=Games[[#This Row],[OppDiv]]),1,0))</f>
        <v>1</v>
      </c>
      <c r="Q10">
        <f>IF(Games[[#This Row],[Team]]="","",_xlfn.MINIFS(Games[Date],Games[Season],Games[[#This Row],[Season]]))</f>
        <v>35309</v>
      </c>
      <c r="R10">
        <f>IF(Games[[#This Row],[Team]]="","",INT((Games[[#This Row],[Date]]-(Games[[#This Row],[SeasonStart]]-MOD(WEEKDAY(Games[[#This Row],[SeasonStart]],2)-2,7)))/7)+1)</f>
        <v>1</v>
      </c>
      <c r="S10">
        <f>IF(Games[[#This Row],[Team]]="","",COUNTIFS(Games[Team],Games[[#This Row],[Team]],Games[Season],Games[[#This Row],[Season]],Games[Week],"&lt;="&amp;Games[[#This Row],[Week]]))</f>
        <v>1</v>
      </c>
      <c r="T10">
        <f>IF(Games[[#This Row],[Team]]="","",_xlfn.MAXIFS(Games[Week],Games[Team],Games[[#This Row],[Team]],Games[Season],Games[[#This Row],[Season]],Games[Week],"&lt;"&amp;Games[[#This Row],[Week]]))</f>
        <v>0</v>
      </c>
      <c r="U10">
        <f>IF(Games[[#This Row],[Team]]="","",_xlfn.MAXIFS(Games[Week],Games[Team],Games[[#This Row],[Opponent]],Games[Season],Games[[#This Row],[Season]],Games[Week],"&lt;"&amp;Games[[#This Row],[Week]]))</f>
        <v>0</v>
      </c>
      <c r="V10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10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1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1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1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0.60215809317471691</v>
      </c>
      <c r="AB10">
        <f>IF(Games[[#This Row],[Team]]="","",Games[[#This Row],[PointsFor]]-Games[[#This Row],[PointsAgainst]])</f>
        <v>15</v>
      </c>
      <c r="AC10">
        <f>IF(Games[[#This Row],[Team]]="","",IF(Games[[#This Row],[MOV]]&gt;0,1,IF(Games[[#This Row],[MOV]]=0,0.5,0)))</f>
        <v>1</v>
      </c>
      <c r="AD10">
        <f>IF(Games[[#This Row],[Team]]="","",--(OR(AND(Games[[#This Row],[ExpectedWin]]&gt;=0.5,Games[[#This Row],[Result]]=1),AND(Games[[#This Row],[ExpectedWin]]&lt;0.5,Games[[#This Row],[Result]]=0))))</f>
        <v>1</v>
      </c>
      <c r="AE10">
        <f>IF(Games[[#This Row],[Team]]="","",-(Games[[#This Row],[Result]]*LN(Games[[#This Row],[ExpectedWin]])+(1-Games[[#This Row],[Result]])*LN(1-Games[[#This Row],[ExpectedWin]])))</f>
        <v>0.50723525490310084</v>
      </c>
      <c r="AF10">
        <f>IF(Games[[#This Row],[Team]]="","",IF(Games[[#This Row],[Season]]&gt;=2021,17,16))</f>
        <v>16</v>
      </c>
      <c r="AG10">
        <f>IF(Games[[#This Row],[Team]]="","",KMax-(KMax-KFloor)*MIN(Games[[#This Row],[GamesPlayed]],Games[[#This Row],[SeasonLen]])/Games[[#This Row],[SeasonLen]])</f>
        <v>45.387500000000003</v>
      </c>
      <c r="AH10">
        <f>IF(Games[[#This Row],[Team]]="","",((ABS(Games[[#This Row],[MOV]])+3)^0.8)/(7.5+0.006*ABS(Games[[#This Row],[PreGmRate]]-Games[[#This Row],[OppPreGmRate]]))*IF(Games[[#This Row],[OT]]=1,0.7,1))</f>
        <v>1.3463461745354395</v>
      </c>
      <c r="AI1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">
        <f>IF(Games[[#This Row],[Team]]="","",Games[[#This Row],[K]]*IF(Games[[#This Row],[DivG]]=1,DivMult,1)*IF(Games[[#This Row],[ConfG]]=1,ConfMult,1)*Games[[#This Row],[POMult]])</f>
        <v>50.924775000000011</v>
      </c>
      <c r="AK10">
        <f>IF(Games[[#This Row],[Team]]="","",(Games[[#This Row],[Keff]]*Games[[#This Row],[MOVMult]])*(Games[[#This Row],[Result]]-Games[[#This Row],[ExpectedWin]]))</f>
        <v>27.276986408420935</v>
      </c>
      <c r="AL10">
        <f>IF(Games[[#This Row],[Team]]="","",Games[[#This Row],[PreGmRate]]+Games[[#This Row],[RatingChange]])</f>
        <v>1527.276986408421</v>
      </c>
      <c r="AM10">
        <f>IF(Games[[#This Row],[Team]]="","",IF(Games[[#This Row],[Type]]="R",IF(Games[[#This Row],[Result]]&gt;0.5,1,0),0))</f>
        <v>1</v>
      </c>
      <c r="AN10">
        <f>IF(Games[[#This Row],[Team]]="","",IF(Games[[#This Row],[Type]]="R",IF(Games[[#This Row],[Result]]&lt;0.5,1,0),0))</f>
        <v>0</v>
      </c>
      <c r="AO10">
        <f>IF(Games[[#This Row],[Team]]="","",IF(Games[[#This Row],[Type]]="R",IF(Games[[#This Row],[Result]]=0.5,1,0),0))</f>
        <v>0</v>
      </c>
    </row>
    <row r="11" spans="1:41" x14ac:dyDescent="0.35">
      <c r="A11" s="8">
        <v>35309</v>
      </c>
      <c r="B11">
        <v>1996</v>
      </c>
      <c r="C11" t="s">
        <v>197</v>
      </c>
      <c r="D11" t="s">
        <v>199</v>
      </c>
      <c r="E11" t="s">
        <v>143</v>
      </c>
      <c r="F11" t="s">
        <v>124</v>
      </c>
      <c r="G11" t="s">
        <v>201</v>
      </c>
      <c r="H11">
        <v>9</v>
      </c>
      <c r="I11">
        <v>24</v>
      </c>
      <c r="J11">
        <v>0</v>
      </c>
      <c r="K1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1">
        <f>IF(Games[[#This Row],[Team]]="","",IF(Games[[#This Row],[Conf]]=Games[[#This Row],[OppConf]],1,0))</f>
        <v>1</v>
      </c>
      <c r="P11">
        <f>IF(Games[[#This Row],[Team]]="","",IF(AND(Games[[#This Row],[Conf]]=Games[[#This Row],[OppConf]],Games[[#This Row],[Div]]=Games[[#This Row],[OppDiv]]),1,0))</f>
        <v>1</v>
      </c>
      <c r="Q11">
        <f>IF(Games[[#This Row],[Team]]="","",_xlfn.MINIFS(Games[Date],Games[Season],Games[[#This Row],[Season]]))</f>
        <v>35309</v>
      </c>
      <c r="R11">
        <f>IF(Games[[#This Row],[Team]]="","",INT((Games[[#This Row],[Date]]-(Games[[#This Row],[SeasonStart]]-MOD(WEEKDAY(Games[[#This Row],[SeasonStart]],2)-2,7)))/7)+1)</f>
        <v>1</v>
      </c>
      <c r="S11">
        <f>IF(Games[[#This Row],[Team]]="","",COUNTIFS(Games[Team],Games[[#This Row],[Team]],Games[Season],Games[[#This Row],[Season]],Games[Week],"&lt;="&amp;Games[[#This Row],[Week]]))</f>
        <v>1</v>
      </c>
      <c r="T11">
        <f>IF(Games[[#This Row],[Team]]="","",_xlfn.MAXIFS(Games[Week],Games[Team],Games[[#This Row],[Team]],Games[Season],Games[[#This Row],[Season]],Games[Week],"&lt;"&amp;Games[[#This Row],[Week]]))</f>
        <v>0</v>
      </c>
      <c r="U11">
        <f>IF(Games[[#This Row],[Team]]="","",_xlfn.MAXIFS(Games[Week],Games[Team],Games[[#This Row],[Opponent]],Games[Season],Games[[#This Row],[Season]],Games[Week],"&lt;"&amp;Games[[#This Row],[Week]]))</f>
        <v>0</v>
      </c>
      <c r="V11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11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1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1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1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0.39784190682528303</v>
      </c>
      <c r="AB11">
        <f>IF(Games[[#This Row],[Team]]="","",Games[[#This Row],[PointsFor]]-Games[[#This Row],[PointsAgainst]])</f>
        <v>-15</v>
      </c>
      <c r="AC11">
        <f>IF(Games[[#This Row],[Team]]="","",IF(Games[[#This Row],[MOV]]&gt;0,1,IF(Games[[#This Row],[MOV]]=0,0.5,0)))</f>
        <v>0</v>
      </c>
      <c r="AD11">
        <f>IF(Games[[#This Row],[Team]]="","",--(OR(AND(Games[[#This Row],[ExpectedWin]]&gt;=0.5,Games[[#This Row],[Result]]=1),AND(Games[[#This Row],[ExpectedWin]]&lt;0.5,Games[[#This Row],[Result]]=0))))</f>
        <v>1</v>
      </c>
      <c r="AE11">
        <f>IF(Games[[#This Row],[Team]]="","",-(Games[[#This Row],[Result]]*LN(Games[[#This Row],[ExpectedWin]])+(1-Games[[#This Row],[Result]])*LN(1-Games[[#This Row],[ExpectedWin]])))</f>
        <v>0.50723525490310062</v>
      </c>
      <c r="AF11">
        <f>IF(Games[[#This Row],[Team]]="","",IF(Games[[#This Row],[Season]]&gt;=2021,17,16))</f>
        <v>16</v>
      </c>
      <c r="AG11">
        <f>IF(Games[[#This Row],[Team]]="","",KMax-(KMax-KFloor)*MIN(Games[[#This Row],[GamesPlayed]],Games[[#This Row],[SeasonLen]])/Games[[#This Row],[SeasonLen]])</f>
        <v>45.387500000000003</v>
      </c>
      <c r="AH11">
        <f>IF(Games[[#This Row],[Team]]="","",((ABS(Games[[#This Row],[MOV]])+3)^0.8)/(7.5+0.006*ABS(Games[[#This Row],[PreGmRate]]-Games[[#This Row],[OppPreGmRate]]))*IF(Games[[#This Row],[OT]]=1,0.7,1))</f>
        <v>1.3463461745354395</v>
      </c>
      <c r="AI1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">
        <f>IF(Games[[#This Row],[Team]]="","",Games[[#This Row],[K]]*IF(Games[[#This Row],[DivG]]=1,DivMult,1)*IF(Games[[#This Row],[ConfG]]=1,ConfMult,1)*Games[[#This Row],[POMult]])</f>
        <v>50.924775000000011</v>
      </c>
      <c r="AK11">
        <f>IF(Games[[#This Row],[Team]]="","",(Games[[#This Row],[Keff]]*Games[[#This Row],[MOVMult]])*(Games[[#This Row],[Result]]-Games[[#This Row],[ExpectedWin]]))</f>
        <v>-27.276986408420932</v>
      </c>
      <c r="AL11">
        <f>IF(Games[[#This Row],[Team]]="","",Games[[#This Row],[PreGmRate]]+Games[[#This Row],[RatingChange]])</f>
        <v>1472.723013591579</v>
      </c>
      <c r="AM11">
        <f>IF(Games[[#This Row],[Team]]="","",IF(Games[[#This Row],[Type]]="R",IF(Games[[#This Row],[Result]]&gt;0.5,1,0),0))</f>
        <v>0</v>
      </c>
      <c r="AN11">
        <f>IF(Games[[#This Row],[Team]]="","",IF(Games[[#This Row],[Type]]="R",IF(Games[[#This Row],[Result]]&lt;0.5,1,0),0))</f>
        <v>1</v>
      </c>
      <c r="AO11">
        <f>IF(Games[[#This Row],[Team]]="","",IF(Games[[#This Row],[Type]]="R",IF(Games[[#This Row],[Result]]=0.5,1,0),0))</f>
        <v>0</v>
      </c>
    </row>
    <row r="12" spans="1:41" x14ac:dyDescent="0.35">
      <c r="A12" s="8">
        <v>35309</v>
      </c>
      <c r="B12">
        <v>1996</v>
      </c>
      <c r="C12" t="s">
        <v>197</v>
      </c>
      <c r="D12" t="s">
        <v>199</v>
      </c>
      <c r="E12" t="s">
        <v>126</v>
      </c>
      <c r="F12" t="s">
        <v>153</v>
      </c>
      <c r="G12" t="s">
        <v>201</v>
      </c>
      <c r="H12">
        <v>20</v>
      </c>
      <c r="I12">
        <v>19</v>
      </c>
      <c r="J12">
        <v>0</v>
      </c>
      <c r="K1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2">
        <f>IF(Games[[#This Row],[Team]]="","",IF(Games[[#This Row],[Conf]]=Games[[#This Row],[OppConf]],1,0))</f>
        <v>1</v>
      </c>
      <c r="P12">
        <f>IF(Games[[#This Row],[Team]]="","",IF(AND(Games[[#This Row],[Conf]]=Games[[#This Row],[OppConf]],Games[[#This Row],[Div]]=Games[[#This Row],[OppDiv]]),1,0))</f>
        <v>0</v>
      </c>
      <c r="Q12">
        <f>IF(Games[[#This Row],[Team]]="","",_xlfn.MINIFS(Games[Date],Games[Season],Games[[#This Row],[Season]]))</f>
        <v>35309</v>
      </c>
      <c r="R12">
        <f>IF(Games[[#This Row],[Team]]="","",INT((Games[[#This Row],[Date]]-(Games[[#This Row],[SeasonStart]]-MOD(WEEKDAY(Games[[#This Row],[SeasonStart]],2)-2,7)))/7)+1)</f>
        <v>1</v>
      </c>
      <c r="S12">
        <f>IF(Games[[#This Row],[Team]]="","",COUNTIFS(Games[Team],Games[[#This Row],[Team]],Games[Season],Games[[#This Row],[Season]],Games[Week],"&lt;="&amp;Games[[#This Row],[Week]]))</f>
        <v>1</v>
      </c>
      <c r="T12">
        <f>IF(Games[[#This Row],[Team]]="","",_xlfn.MAXIFS(Games[Week],Games[Team],Games[[#This Row],[Team]],Games[Season],Games[[#This Row],[Season]],Games[Week],"&lt;"&amp;Games[[#This Row],[Week]]))</f>
        <v>0</v>
      </c>
      <c r="U12">
        <f>IF(Games[[#This Row],[Team]]="","",_xlfn.MAXIFS(Games[Week],Games[Team],Games[[#This Row],[Opponent]],Games[Season],Games[[#This Row],[Season]],Games[Week],"&lt;"&amp;Games[[#This Row],[Week]]))</f>
        <v>0</v>
      </c>
      <c r="V12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12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1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1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1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0.39784190682528303</v>
      </c>
      <c r="AB12">
        <f>IF(Games[[#This Row],[Team]]="","",Games[[#This Row],[PointsFor]]-Games[[#This Row],[PointsAgainst]])</f>
        <v>1</v>
      </c>
      <c r="AC12">
        <f>IF(Games[[#This Row],[Team]]="","",IF(Games[[#This Row],[MOV]]&gt;0,1,IF(Games[[#This Row],[MOV]]=0,0.5,0)))</f>
        <v>1</v>
      </c>
      <c r="AD12">
        <f>IF(Games[[#This Row],[Team]]="","",--(OR(AND(Games[[#This Row],[ExpectedWin]]&gt;=0.5,Games[[#This Row],[Result]]=1),AND(Games[[#This Row],[ExpectedWin]]&lt;0.5,Games[[#This Row],[Result]]=0))))</f>
        <v>0</v>
      </c>
      <c r="AE12">
        <f>IF(Games[[#This Row],[Team]]="","",-(Games[[#This Row],[Result]]*LN(Games[[#This Row],[ExpectedWin]])+(1-Games[[#This Row],[Result]])*LN(1-Games[[#This Row],[ExpectedWin]])))</f>
        <v>0.9217005716420289</v>
      </c>
      <c r="AF12">
        <f>IF(Games[[#This Row],[Team]]="","",IF(Games[[#This Row],[Season]]&gt;=2021,17,16))</f>
        <v>16</v>
      </c>
      <c r="AG12">
        <f>IF(Games[[#This Row],[Team]]="","",KMax-(KMax-KFloor)*MIN(Games[[#This Row],[GamesPlayed]],Games[[#This Row],[SeasonLen]])/Games[[#This Row],[SeasonLen]])</f>
        <v>45.387500000000003</v>
      </c>
      <c r="AH12">
        <f>IF(Games[[#This Row],[Team]]="","",((ABS(Games[[#This Row],[MOV]])+3)^0.8)/(7.5+0.006*ABS(Games[[#This Row],[PreGmRate]]-Games[[#This Row],[OppPreGmRate]]))*IF(Games[[#This Row],[OT]]=1,0.7,1))</f>
        <v>0.40419108440277279</v>
      </c>
      <c r="AI1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">
        <f>IF(Games[[#This Row],[Team]]="","",Games[[#This Row],[K]]*IF(Games[[#This Row],[DivG]]=1,DivMult,1)*IF(Games[[#This Row],[ConfG]]=1,ConfMult,1)*Games[[#This Row],[POMult]])</f>
        <v>46.295250000000003</v>
      </c>
      <c r="AK12">
        <f>IF(Games[[#This Row],[Team]]="","",(Games[[#This Row],[Keff]]*Games[[#This Row],[MOVMult]])*(Games[[#This Row],[Result]]-Games[[#This Row],[ExpectedWin]]))</f>
        <v>11.267658894329474</v>
      </c>
      <c r="AL12">
        <f>IF(Games[[#This Row],[Team]]="","",Games[[#This Row],[PreGmRate]]+Games[[#This Row],[RatingChange]])</f>
        <v>1511.2676588943295</v>
      </c>
      <c r="AM12">
        <f>IF(Games[[#This Row],[Team]]="","",IF(Games[[#This Row],[Type]]="R",IF(Games[[#This Row],[Result]]&gt;0.5,1,0),0))</f>
        <v>1</v>
      </c>
      <c r="AN12">
        <f>IF(Games[[#This Row],[Team]]="","",IF(Games[[#This Row],[Type]]="R",IF(Games[[#This Row],[Result]]&lt;0.5,1,0),0))</f>
        <v>0</v>
      </c>
      <c r="AO12">
        <f>IF(Games[[#This Row],[Team]]="","",IF(Games[[#This Row],[Type]]="R",IF(Games[[#This Row],[Result]]=0.5,1,0),0))</f>
        <v>0</v>
      </c>
    </row>
    <row r="13" spans="1:41" x14ac:dyDescent="0.35">
      <c r="A13" s="8">
        <v>35309</v>
      </c>
      <c r="B13">
        <v>1996</v>
      </c>
      <c r="C13" t="s">
        <v>197</v>
      </c>
      <c r="D13" t="s">
        <v>199</v>
      </c>
      <c r="E13" t="s">
        <v>153</v>
      </c>
      <c r="F13" t="s">
        <v>126</v>
      </c>
      <c r="G13" t="s">
        <v>200</v>
      </c>
      <c r="H13">
        <v>19</v>
      </c>
      <c r="I13">
        <v>20</v>
      </c>
      <c r="J13">
        <v>0</v>
      </c>
      <c r="K1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3">
        <f>IF(Games[[#This Row],[Team]]="","",IF(Games[[#This Row],[Conf]]=Games[[#This Row],[OppConf]],1,0))</f>
        <v>1</v>
      </c>
      <c r="P13">
        <f>IF(Games[[#This Row],[Team]]="","",IF(AND(Games[[#This Row],[Conf]]=Games[[#This Row],[OppConf]],Games[[#This Row],[Div]]=Games[[#This Row],[OppDiv]]),1,0))</f>
        <v>0</v>
      </c>
      <c r="Q13">
        <f>IF(Games[[#This Row],[Team]]="","",_xlfn.MINIFS(Games[Date],Games[Season],Games[[#This Row],[Season]]))</f>
        <v>35309</v>
      </c>
      <c r="R13">
        <f>IF(Games[[#This Row],[Team]]="","",INT((Games[[#This Row],[Date]]-(Games[[#This Row],[SeasonStart]]-MOD(WEEKDAY(Games[[#This Row],[SeasonStart]],2)-2,7)))/7)+1)</f>
        <v>1</v>
      </c>
      <c r="S13">
        <f>IF(Games[[#This Row],[Team]]="","",COUNTIFS(Games[Team],Games[[#This Row],[Team]],Games[Season],Games[[#This Row],[Season]],Games[Week],"&lt;="&amp;Games[[#This Row],[Week]]))</f>
        <v>1</v>
      </c>
      <c r="T13">
        <f>IF(Games[[#This Row],[Team]]="","",_xlfn.MAXIFS(Games[Week],Games[Team],Games[[#This Row],[Team]],Games[Season],Games[[#This Row],[Season]],Games[Week],"&lt;"&amp;Games[[#This Row],[Week]]))</f>
        <v>0</v>
      </c>
      <c r="U13">
        <f>IF(Games[[#This Row],[Team]]="","",_xlfn.MAXIFS(Games[Week],Games[Team],Games[[#This Row],[Opponent]],Games[Season],Games[[#This Row],[Season]],Games[Week],"&lt;"&amp;Games[[#This Row],[Week]]))</f>
        <v>0</v>
      </c>
      <c r="V13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13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1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1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1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0.60215809317471691</v>
      </c>
      <c r="AB13">
        <f>IF(Games[[#This Row],[Team]]="","",Games[[#This Row],[PointsFor]]-Games[[#This Row],[PointsAgainst]])</f>
        <v>-1</v>
      </c>
      <c r="AC13">
        <f>IF(Games[[#This Row],[Team]]="","",IF(Games[[#This Row],[MOV]]&gt;0,1,IF(Games[[#This Row],[MOV]]=0,0.5,0)))</f>
        <v>0</v>
      </c>
      <c r="AD13">
        <f>IF(Games[[#This Row],[Team]]="","",--(OR(AND(Games[[#This Row],[ExpectedWin]]&gt;=0.5,Games[[#This Row],[Result]]=1),AND(Games[[#This Row],[ExpectedWin]]&lt;0.5,Games[[#This Row],[Result]]=0))))</f>
        <v>0</v>
      </c>
      <c r="AE13">
        <f>IF(Games[[#This Row],[Team]]="","",-(Games[[#This Row],[Result]]*LN(Games[[#This Row],[ExpectedWin]])+(1-Games[[#This Row],[Result]])*LN(1-Games[[#This Row],[ExpectedWin]])))</f>
        <v>0.92170057164202879</v>
      </c>
      <c r="AF13">
        <f>IF(Games[[#This Row],[Team]]="","",IF(Games[[#This Row],[Season]]&gt;=2021,17,16))</f>
        <v>16</v>
      </c>
      <c r="AG13">
        <f>IF(Games[[#This Row],[Team]]="","",KMax-(KMax-KFloor)*MIN(Games[[#This Row],[GamesPlayed]],Games[[#This Row],[SeasonLen]])/Games[[#This Row],[SeasonLen]])</f>
        <v>45.387500000000003</v>
      </c>
      <c r="AH13">
        <f>IF(Games[[#This Row],[Team]]="","",((ABS(Games[[#This Row],[MOV]])+3)^0.8)/(7.5+0.006*ABS(Games[[#This Row],[PreGmRate]]-Games[[#This Row],[OppPreGmRate]]))*IF(Games[[#This Row],[OT]]=1,0.7,1))</f>
        <v>0.40419108440277279</v>
      </c>
      <c r="AI1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">
        <f>IF(Games[[#This Row],[Team]]="","",Games[[#This Row],[K]]*IF(Games[[#This Row],[DivG]]=1,DivMult,1)*IF(Games[[#This Row],[ConfG]]=1,ConfMult,1)*Games[[#This Row],[POMult]])</f>
        <v>46.295250000000003</v>
      </c>
      <c r="AK13">
        <f>IF(Games[[#This Row],[Team]]="","",(Games[[#This Row],[Keff]]*Games[[#This Row],[MOVMult]])*(Games[[#This Row],[Result]]-Games[[#This Row],[ExpectedWin]]))</f>
        <v>-11.267658894329472</v>
      </c>
      <c r="AL13">
        <f>IF(Games[[#This Row],[Team]]="","",Games[[#This Row],[PreGmRate]]+Games[[#This Row],[RatingChange]])</f>
        <v>1488.7323411056705</v>
      </c>
      <c r="AM13">
        <f>IF(Games[[#This Row],[Team]]="","",IF(Games[[#This Row],[Type]]="R",IF(Games[[#This Row],[Result]]&gt;0.5,1,0),0))</f>
        <v>0</v>
      </c>
      <c r="AN13">
        <f>IF(Games[[#This Row],[Team]]="","",IF(Games[[#This Row],[Type]]="R",IF(Games[[#This Row],[Result]]&lt;0.5,1,0),0))</f>
        <v>1</v>
      </c>
      <c r="AO13">
        <f>IF(Games[[#This Row],[Team]]="","",IF(Games[[#This Row],[Type]]="R",IF(Games[[#This Row],[Result]]=0.5,1,0),0))</f>
        <v>0</v>
      </c>
    </row>
    <row r="14" spans="1:41" x14ac:dyDescent="0.35">
      <c r="A14" s="8">
        <v>35309</v>
      </c>
      <c r="B14">
        <v>1996</v>
      </c>
      <c r="C14" t="s">
        <v>197</v>
      </c>
      <c r="D14" t="s">
        <v>199</v>
      </c>
      <c r="E14" t="s">
        <v>141</v>
      </c>
      <c r="F14" t="s">
        <v>154</v>
      </c>
      <c r="G14" t="s">
        <v>201</v>
      </c>
      <c r="H14">
        <v>17</v>
      </c>
      <c r="I14">
        <v>14</v>
      </c>
      <c r="J14">
        <v>0</v>
      </c>
      <c r="K1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4">
        <f>IF(Games[[#This Row],[Team]]="","",IF(Games[[#This Row],[Conf]]=Games[[#This Row],[OppConf]],1,0))</f>
        <v>1</v>
      </c>
      <c r="P14">
        <f>IF(Games[[#This Row],[Team]]="","",IF(AND(Games[[#This Row],[Conf]]=Games[[#This Row],[OppConf]],Games[[#This Row],[Div]]=Games[[#This Row],[OppDiv]]),1,0))</f>
        <v>1</v>
      </c>
      <c r="Q14">
        <f>IF(Games[[#This Row],[Team]]="","",_xlfn.MINIFS(Games[Date],Games[Season],Games[[#This Row],[Season]]))</f>
        <v>35309</v>
      </c>
      <c r="R14">
        <f>IF(Games[[#This Row],[Team]]="","",INT((Games[[#This Row],[Date]]-(Games[[#This Row],[SeasonStart]]-MOD(WEEKDAY(Games[[#This Row],[SeasonStart]],2)-2,7)))/7)+1)</f>
        <v>1</v>
      </c>
      <c r="S14">
        <f>IF(Games[[#This Row],[Team]]="","",COUNTIFS(Games[Team],Games[[#This Row],[Team]],Games[Season],Games[[#This Row],[Season]],Games[Week],"&lt;="&amp;Games[[#This Row],[Week]]))</f>
        <v>1</v>
      </c>
      <c r="T14">
        <f>IF(Games[[#This Row],[Team]]="","",_xlfn.MAXIFS(Games[Week],Games[Team],Games[[#This Row],[Team]],Games[Season],Games[[#This Row],[Season]],Games[Week],"&lt;"&amp;Games[[#This Row],[Week]]))</f>
        <v>0</v>
      </c>
      <c r="U14">
        <f>IF(Games[[#This Row],[Team]]="","",_xlfn.MAXIFS(Games[Week],Games[Team],Games[[#This Row],[Opponent]],Games[Season],Games[[#This Row],[Season]],Games[Week],"&lt;"&amp;Games[[#This Row],[Week]]))</f>
        <v>0</v>
      </c>
      <c r="V14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14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1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1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1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0.39784190682528303</v>
      </c>
      <c r="AB14">
        <f>IF(Games[[#This Row],[Team]]="","",Games[[#This Row],[PointsFor]]-Games[[#This Row],[PointsAgainst]])</f>
        <v>3</v>
      </c>
      <c r="AC14">
        <f>IF(Games[[#This Row],[Team]]="","",IF(Games[[#This Row],[MOV]]&gt;0,1,IF(Games[[#This Row],[MOV]]=0,0.5,0)))</f>
        <v>1</v>
      </c>
      <c r="AD14">
        <f>IF(Games[[#This Row],[Team]]="","",--(OR(AND(Games[[#This Row],[ExpectedWin]]&gt;=0.5,Games[[#This Row],[Result]]=1),AND(Games[[#This Row],[ExpectedWin]]&lt;0.5,Games[[#This Row],[Result]]=0))))</f>
        <v>0</v>
      </c>
      <c r="AE14">
        <f>IF(Games[[#This Row],[Team]]="","",-(Games[[#This Row],[Result]]*LN(Games[[#This Row],[ExpectedWin]])+(1-Games[[#This Row],[Result]])*LN(1-Games[[#This Row],[ExpectedWin]])))</f>
        <v>0.9217005716420289</v>
      </c>
      <c r="AF14">
        <f>IF(Games[[#This Row],[Team]]="","",IF(Games[[#This Row],[Season]]&gt;=2021,17,16))</f>
        <v>16</v>
      </c>
      <c r="AG14">
        <f>IF(Games[[#This Row],[Team]]="","",KMax-(KMax-KFloor)*MIN(Games[[#This Row],[GamesPlayed]],Games[[#This Row],[SeasonLen]])/Games[[#This Row],[SeasonLen]])</f>
        <v>45.387500000000003</v>
      </c>
      <c r="AH14">
        <f>IF(Games[[#This Row],[Team]]="","",((ABS(Games[[#This Row],[MOV]])+3)^0.8)/(7.5+0.006*ABS(Games[[#This Row],[PreGmRate]]-Games[[#This Row],[OppPreGmRate]]))*IF(Games[[#This Row],[OT]]=1,0.7,1))</f>
        <v>0.55906169501726344</v>
      </c>
      <c r="AI1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">
        <f>IF(Games[[#This Row],[Team]]="","",Games[[#This Row],[K]]*IF(Games[[#This Row],[DivG]]=1,DivMult,1)*IF(Games[[#This Row],[ConfG]]=1,ConfMult,1)*Games[[#This Row],[POMult]])</f>
        <v>50.924775000000011</v>
      </c>
      <c r="AK14">
        <f>IF(Games[[#This Row],[Team]]="","",(Games[[#This Row],[Keff]]*Games[[#This Row],[MOVMult]])*(Games[[#This Row],[Result]]-Games[[#This Row],[ExpectedWin]]))</f>
        <v>17.143495727058802</v>
      </c>
      <c r="AL14">
        <f>IF(Games[[#This Row],[Team]]="","",Games[[#This Row],[PreGmRate]]+Games[[#This Row],[RatingChange]])</f>
        <v>1517.1434957270587</v>
      </c>
      <c r="AM14">
        <f>IF(Games[[#This Row],[Team]]="","",IF(Games[[#This Row],[Type]]="R",IF(Games[[#This Row],[Result]]&gt;0.5,1,0),0))</f>
        <v>1</v>
      </c>
      <c r="AN14">
        <f>IF(Games[[#This Row],[Team]]="","",IF(Games[[#This Row],[Type]]="R",IF(Games[[#This Row],[Result]]&lt;0.5,1,0),0))</f>
        <v>0</v>
      </c>
      <c r="AO14">
        <f>IF(Games[[#This Row],[Team]]="","",IF(Games[[#This Row],[Type]]="R",IF(Games[[#This Row],[Result]]=0.5,1,0),0))</f>
        <v>0</v>
      </c>
    </row>
    <row r="15" spans="1:41" x14ac:dyDescent="0.35">
      <c r="A15" s="8">
        <v>35309</v>
      </c>
      <c r="B15">
        <v>1996</v>
      </c>
      <c r="C15" t="s">
        <v>197</v>
      </c>
      <c r="D15" t="s">
        <v>199</v>
      </c>
      <c r="E15" t="s">
        <v>154</v>
      </c>
      <c r="F15" t="s">
        <v>141</v>
      </c>
      <c r="G15" t="s">
        <v>200</v>
      </c>
      <c r="H15">
        <v>14</v>
      </c>
      <c r="I15">
        <v>17</v>
      </c>
      <c r="J15">
        <v>0</v>
      </c>
      <c r="K1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5">
        <f>IF(Games[[#This Row],[Team]]="","",IF(Games[[#This Row],[Conf]]=Games[[#This Row],[OppConf]],1,0))</f>
        <v>1</v>
      </c>
      <c r="P15">
        <f>IF(Games[[#This Row],[Team]]="","",IF(AND(Games[[#This Row],[Conf]]=Games[[#This Row],[OppConf]],Games[[#This Row],[Div]]=Games[[#This Row],[OppDiv]]),1,0))</f>
        <v>1</v>
      </c>
      <c r="Q15">
        <f>IF(Games[[#This Row],[Team]]="","",_xlfn.MINIFS(Games[Date],Games[Season],Games[[#This Row],[Season]]))</f>
        <v>35309</v>
      </c>
      <c r="R15">
        <f>IF(Games[[#This Row],[Team]]="","",INT((Games[[#This Row],[Date]]-(Games[[#This Row],[SeasonStart]]-MOD(WEEKDAY(Games[[#This Row],[SeasonStart]],2)-2,7)))/7)+1)</f>
        <v>1</v>
      </c>
      <c r="S15">
        <f>IF(Games[[#This Row],[Team]]="","",COUNTIFS(Games[Team],Games[[#This Row],[Team]],Games[Season],Games[[#This Row],[Season]],Games[Week],"&lt;="&amp;Games[[#This Row],[Week]]))</f>
        <v>1</v>
      </c>
      <c r="T15">
        <f>IF(Games[[#This Row],[Team]]="","",_xlfn.MAXIFS(Games[Week],Games[Team],Games[[#This Row],[Team]],Games[Season],Games[[#This Row],[Season]],Games[Week],"&lt;"&amp;Games[[#This Row],[Week]]))</f>
        <v>0</v>
      </c>
      <c r="U15">
        <f>IF(Games[[#This Row],[Team]]="","",_xlfn.MAXIFS(Games[Week],Games[Team],Games[[#This Row],[Opponent]],Games[Season],Games[[#This Row],[Season]],Games[Week],"&lt;"&amp;Games[[#This Row],[Week]]))</f>
        <v>0</v>
      </c>
      <c r="V15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15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1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1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1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0.60215809317471691</v>
      </c>
      <c r="AB15">
        <f>IF(Games[[#This Row],[Team]]="","",Games[[#This Row],[PointsFor]]-Games[[#This Row],[PointsAgainst]])</f>
        <v>-3</v>
      </c>
      <c r="AC15">
        <f>IF(Games[[#This Row],[Team]]="","",IF(Games[[#This Row],[MOV]]&gt;0,1,IF(Games[[#This Row],[MOV]]=0,0.5,0)))</f>
        <v>0</v>
      </c>
      <c r="AD15">
        <f>IF(Games[[#This Row],[Team]]="","",--(OR(AND(Games[[#This Row],[ExpectedWin]]&gt;=0.5,Games[[#This Row],[Result]]=1),AND(Games[[#This Row],[ExpectedWin]]&lt;0.5,Games[[#This Row],[Result]]=0))))</f>
        <v>0</v>
      </c>
      <c r="AE15">
        <f>IF(Games[[#This Row],[Team]]="","",-(Games[[#This Row],[Result]]*LN(Games[[#This Row],[ExpectedWin]])+(1-Games[[#This Row],[Result]])*LN(1-Games[[#This Row],[ExpectedWin]])))</f>
        <v>0.92170057164202879</v>
      </c>
      <c r="AF15">
        <f>IF(Games[[#This Row],[Team]]="","",IF(Games[[#This Row],[Season]]&gt;=2021,17,16))</f>
        <v>16</v>
      </c>
      <c r="AG15">
        <f>IF(Games[[#This Row],[Team]]="","",KMax-(KMax-KFloor)*MIN(Games[[#This Row],[GamesPlayed]],Games[[#This Row],[SeasonLen]])/Games[[#This Row],[SeasonLen]])</f>
        <v>45.387500000000003</v>
      </c>
      <c r="AH15">
        <f>IF(Games[[#This Row],[Team]]="","",((ABS(Games[[#This Row],[MOV]])+3)^0.8)/(7.5+0.006*ABS(Games[[#This Row],[PreGmRate]]-Games[[#This Row],[OppPreGmRate]]))*IF(Games[[#This Row],[OT]]=1,0.7,1))</f>
        <v>0.55906169501726344</v>
      </c>
      <c r="AI1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">
        <f>IF(Games[[#This Row],[Team]]="","",Games[[#This Row],[K]]*IF(Games[[#This Row],[DivG]]=1,DivMult,1)*IF(Games[[#This Row],[ConfG]]=1,ConfMult,1)*Games[[#This Row],[POMult]])</f>
        <v>50.924775000000011</v>
      </c>
      <c r="AK15">
        <f>IF(Games[[#This Row],[Team]]="","",(Games[[#This Row],[Keff]]*Games[[#This Row],[MOVMult]])*(Games[[#This Row],[Result]]-Games[[#This Row],[ExpectedWin]]))</f>
        <v>-17.143495727058799</v>
      </c>
      <c r="AL15">
        <f>IF(Games[[#This Row],[Team]]="","",Games[[#This Row],[PreGmRate]]+Games[[#This Row],[RatingChange]])</f>
        <v>1482.8565042729413</v>
      </c>
      <c r="AM15">
        <f>IF(Games[[#This Row],[Team]]="","",IF(Games[[#This Row],[Type]]="R",IF(Games[[#This Row],[Result]]&gt;0.5,1,0),0))</f>
        <v>0</v>
      </c>
      <c r="AN15">
        <f>IF(Games[[#This Row],[Team]]="","",IF(Games[[#This Row],[Type]]="R",IF(Games[[#This Row],[Result]]&lt;0.5,1,0),0))</f>
        <v>1</v>
      </c>
      <c r="AO15">
        <f>IF(Games[[#This Row],[Team]]="","",IF(Games[[#This Row],[Type]]="R",IF(Games[[#This Row],[Result]]=0.5,1,0),0))</f>
        <v>0</v>
      </c>
    </row>
    <row r="16" spans="1:41" x14ac:dyDescent="0.35">
      <c r="A16" s="8">
        <v>35309</v>
      </c>
      <c r="B16">
        <v>1996</v>
      </c>
      <c r="C16" t="s">
        <v>197</v>
      </c>
      <c r="D16" t="s">
        <v>199</v>
      </c>
      <c r="E16" t="s">
        <v>101</v>
      </c>
      <c r="F16" t="s">
        <v>140</v>
      </c>
      <c r="G16" t="s">
        <v>200</v>
      </c>
      <c r="H16">
        <v>19</v>
      </c>
      <c r="I16">
        <v>14</v>
      </c>
      <c r="J16">
        <v>0</v>
      </c>
      <c r="K1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6">
        <f>IF(Games[[#This Row],[Team]]="","",IF(Games[[#This Row],[Conf]]=Games[[#This Row],[OppConf]],1,0))</f>
        <v>1</v>
      </c>
      <c r="P16">
        <f>IF(Games[[#This Row],[Team]]="","",IF(AND(Games[[#This Row],[Conf]]=Games[[#This Row],[OppConf]],Games[[#This Row],[Div]]=Games[[#This Row],[OppDiv]]),1,0))</f>
        <v>0</v>
      </c>
      <c r="Q16">
        <f>IF(Games[[#This Row],[Team]]="","",_xlfn.MINIFS(Games[Date],Games[Season],Games[[#This Row],[Season]]))</f>
        <v>35309</v>
      </c>
      <c r="R16">
        <f>IF(Games[[#This Row],[Team]]="","",INT((Games[[#This Row],[Date]]-(Games[[#This Row],[SeasonStart]]-MOD(WEEKDAY(Games[[#This Row],[SeasonStart]],2)-2,7)))/7)+1)</f>
        <v>1</v>
      </c>
      <c r="S16">
        <f>IF(Games[[#This Row],[Team]]="","",COUNTIFS(Games[Team],Games[[#This Row],[Team]],Games[Season],Games[[#This Row],[Season]],Games[Week],"&lt;="&amp;Games[[#This Row],[Week]]))</f>
        <v>1</v>
      </c>
      <c r="T16">
        <f>IF(Games[[#This Row],[Team]]="","",_xlfn.MAXIFS(Games[Week],Games[Team],Games[[#This Row],[Team]],Games[Season],Games[[#This Row],[Season]],Games[Week],"&lt;"&amp;Games[[#This Row],[Week]]))</f>
        <v>0</v>
      </c>
      <c r="U16">
        <f>IF(Games[[#This Row],[Team]]="","",_xlfn.MAXIFS(Games[Week],Games[Team],Games[[#This Row],[Opponent]],Games[Season],Games[[#This Row],[Season]],Games[Week],"&lt;"&amp;Games[[#This Row],[Week]]))</f>
        <v>0</v>
      </c>
      <c r="V16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16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1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1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1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0.60215809317471691</v>
      </c>
      <c r="AB16">
        <f>IF(Games[[#This Row],[Team]]="","",Games[[#This Row],[PointsFor]]-Games[[#This Row],[PointsAgainst]])</f>
        <v>5</v>
      </c>
      <c r="AC16">
        <f>IF(Games[[#This Row],[Team]]="","",IF(Games[[#This Row],[MOV]]&gt;0,1,IF(Games[[#This Row],[MOV]]=0,0.5,0)))</f>
        <v>1</v>
      </c>
      <c r="AD16">
        <f>IF(Games[[#This Row],[Team]]="","",--(OR(AND(Games[[#This Row],[ExpectedWin]]&gt;=0.5,Games[[#This Row],[Result]]=1),AND(Games[[#This Row],[ExpectedWin]]&lt;0.5,Games[[#This Row],[Result]]=0))))</f>
        <v>1</v>
      </c>
      <c r="AE16">
        <f>IF(Games[[#This Row],[Team]]="","",-(Games[[#This Row],[Result]]*LN(Games[[#This Row],[ExpectedWin]])+(1-Games[[#This Row],[Result]])*LN(1-Games[[#This Row],[ExpectedWin]])))</f>
        <v>0.50723525490310084</v>
      </c>
      <c r="AF16">
        <f>IF(Games[[#This Row],[Team]]="","",IF(Games[[#This Row],[Season]]&gt;=2021,17,16))</f>
        <v>16</v>
      </c>
      <c r="AG16">
        <f>IF(Games[[#This Row],[Team]]="","",KMax-(KMax-KFloor)*MIN(Games[[#This Row],[GamesPlayed]],Games[[#This Row],[SeasonLen]])/Games[[#This Row],[SeasonLen]])</f>
        <v>45.387500000000003</v>
      </c>
      <c r="AH16">
        <f>IF(Games[[#This Row],[Team]]="","",((ABS(Games[[#This Row],[MOV]])+3)^0.8)/(7.5+0.006*ABS(Games[[#This Row],[PreGmRate]]-Games[[#This Row],[OppPreGmRate]]))*IF(Games[[#This Row],[OT]]=1,0.7,1))</f>
        <v>0.70373755241221025</v>
      </c>
      <c r="AI1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">
        <f>IF(Games[[#This Row],[Team]]="","",Games[[#This Row],[K]]*IF(Games[[#This Row],[DivG]]=1,DivMult,1)*IF(Games[[#This Row],[ConfG]]=1,ConfMult,1)*Games[[#This Row],[POMult]])</f>
        <v>46.295250000000003</v>
      </c>
      <c r="AK16">
        <f>IF(Games[[#This Row],[Team]]="","",(Games[[#This Row],[Keff]]*Games[[#This Row],[MOVMult]])*(Games[[#This Row],[Result]]-Games[[#This Row],[ExpectedWin]]))</f>
        <v>12.961572328337169</v>
      </c>
      <c r="AL16">
        <f>IF(Games[[#This Row],[Team]]="","",Games[[#This Row],[PreGmRate]]+Games[[#This Row],[RatingChange]])</f>
        <v>1512.9615723283371</v>
      </c>
      <c r="AM16">
        <f>IF(Games[[#This Row],[Team]]="","",IF(Games[[#This Row],[Type]]="R",IF(Games[[#This Row],[Result]]&gt;0.5,1,0),0))</f>
        <v>1</v>
      </c>
      <c r="AN16">
        <f>IF(Games[[#This Row],[Team]]="","",IF(Games[[#This Row],[Type]]="R",IF(Games[[#This Row],[Result]]&lt;0.5,1,0),0))</f>
        <v>0</v>
      </c>
      <c r="AO16">
        <f>IF(Games[[#This Row],[Team]]="","",IF(Games[[#This Row],[Type]]="R",IF(Games[[#This Row],[Result]]=0.5,1,0),0))</f>
        <v>0</v>
      </c>
    </row>
    <row r="17" spans="1:41" x14ac:dyDescent="0.35">
      <c r="A17" s="8">
        <v>35309</v>
      </c>
      <c r="B17">
        <v>1996</v>
      </c>
      <c r="C17" t="s">
        <v>197</v>
      </c>
      <c r="D17" t="s">
        <v>199</v>
      </c>
      <c r="E17" t="s">
        <v>140</v>
      </c>
      <c r="F17" t="s">
        <v>101</v>
      </c>
      <c r="G17" t="s">
        <v>201</v>
      </c>
      <c r="H17">
        <v>14</v>
      </c>
      <c r="I17">
        <v>19</v>
      </c>
      <c r="J17">
        <v>0</v>
      </c>
      <c r="K1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7">
        <f>IF(Games[[#This Row],[Team]]="","",IF(Games[[#This Row],[Conf]]=Games[[#This Row],[OppConf]],1,0))</f>
        <v>1</v>
      </c>
      <c r="P17">
        <f>IF(Games[[#This Row],[Team]]="","",IF(AND(Games[[#This Row],[Conf]]=Games[[#This Row],[OppConf]],Games[[#This Row],[Div]]=Games[[#This Row],[OppDiv]]),1,0))</f>
        <v>0</v>
      </c>
      <c r="Q17">
        <f>IF(Games[[#This Row],[Team]]="","",_xlfn.MINIFS(Games[Date],Games[Season],Games[[#This Row],[Season]]))</f>
        <v>35309</v>
      </c>
      <c r="R17">
        <f>IF(Games[[#This Row],[Team]]="","",INT((Games[[#This Row],[Date]]-(Games[[#This Row],[SeasonStart]]-MOD(WEEKDAY(Games[[#This Row],[SeasonStart]],2)-2,7)))/7)+1)</f>
        <v>1</v>
      </c>
      <c r="S17">
        <f>IF(Games[[#This Row],[Team]]="","",COUNTIFS(Games[Team],Games[[#This Row],[Team]],Games[Season],Games[[#This Row],[Season]],Games[Week],"&lt;="&amp;Games[[#This Row],[Week]]))</f>
        <v>1</v>
      </c>
      <c r="T17">
        <f>IF(Games[[#This Row],[Team]]="","",_xlfn.MAXIFS(Games[Week],Games[Team],Games[[#This Row],[Team]],Games[Season],Games[[#This Row],[Season]],Games[Week],"&lt;"&amp;Games[[#This Row],[Week]]))</f>
        <v>0</v>
      </c>
      <c r="U17">
        <f>IF(Games[[#This Row],[Team]]="","",_xlfn.MAXIFS(Games[Week],Games[Team],Games[[#This Row],[Opponent]],Games[Season],Games[[#This Row],[Season]],Games[Week],"&lt;"&amp;Games[[#This Row],[Week]]))</f>
        <v>0</v>
      </c>
      <c r="V17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17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1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1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1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0.39784190682528303</v>
      </c>
      <c r="AB17">
        <f>IF(Games[[#This Row],[Team]]="","",Games[[#This Row],[PointsFor]]-Games[[#This Row],[PointsAgainst]])</f>
        <v>-5</v>
      </c>
      <c r="AC17">
        <f>IF(Games[[#This Row],[Team]]="","",IF(Games[[#This Row],[MOV]]&gt;0,1,IF(Games[[#This Row],[MOV]]=0,0.5,0)))</f>
        <v>0</v>
      </c>
      <c r="AD17">
        <f>IF(Games[[#This Row],[Team]]="","",--(OR(AND(Games[[#This Row],[ExpectedWin]]&gt;=0.5,Games[[#This Row],[Result]]=1),AND(Games[[#This Row],[ExpectedWin]]&lt;0.5,Games[[#This Row],[Result]]=0))))</f>
        <v>1</v>
      </c>
      <c r="AE17">
        <f>IF(Games[[#This Row],[Team]]="","",-(Games[[#This Row],[Result]]*LN(Games[[#This Row],[ExpectedWin]])+(1-Games[[#This Row],[Result]])*LN(1-Games[[#This Row],[ExpectedWin]])))</f>
        <v>0.50723525490310062</v>
      </c>
      <c r="AF17">
        <f>IF(Games[[#This Row],[Team]]="","",IF(Games[[#This Row],[Season]]&gt;=2021,17,16))</f>
        <v>16</v>
      </c>
      <c r="AG17">
        <f>IF(Games[[#This Row],[Team]]="","",KMax-(KMax-KFloor)*MIN(Games[[#This Row],[GamesPlayed]],Games[[#This Row],[SeasonLen]])/Games[[#This Row],[SeasonLen]])</f>
        <v>45.387500000000003</v>
      </c>
      <c r="AH17">
        <f>IF(Games[[#This Row],[Team]]="","",((ABS(Games[[#This Row],[MOV]])+3)^0.8)/(7.5+0.006*ABS(Games[[#This Row],[PreGmRate]]-Games[[#This Row],[OppPreGmRate]]))*IF(Games[[#This Row],[OT]]=1,0.7,1))</f>
        <v>0.70373755241221025</v>
      </c>
      <c r="AI1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">
        <f>IF(Games[[#This Row],[Team]]="","",Games[[#This Row],[K]]*IF(Games[[#This Row],[DivG]]=1,DivMult,1)*IF(Games[[#This Row],[ConfG]]=1,ConfMult,1)*Games[[#This Row],[POMult]])</f>
        <v>46.295250000000003</v>
      </c>
      <c r="AK17">
        <f>IF(Games[[#This Row],[Team]]="","",(Games[[#This Row],[Keff]]*Games[[#This Row],[MOVMult]])*(Games[[#This Row],[Result]]-Games[[#This Row],[ExpectedWin]]))</f>
        <v>-12.961572328337168</v>
      </c>
      <c r="AL17">
        <f>IF(Games[[#This Row],[Team]]="","",Games[[#This Row],[PreGmRate]]+Games[[#This Row],[RatingChange]])</f>
        <v>1487.0384276716629</v>
      </c>
      <c r="AM17">
        <f>IF(Games[[#This Row],[Team]]="","",IF(Games[[#This Row],[Type]]="R",IF(Games[[#This Row],[Result]]&gt;0.5,1,0),0))</f>
        <v>0</v>
      </c>
      <c r="AN17">
        <f>IF(Games[[#This Row],[Team]]="","",IF(Games[[#This Row],[Type]]="R",IF(Games[[#This Row],[Result]]&lt;0.5,1,0),0))</f>
        <v>1</v>
      </c>
      <c r="AO17">
        <f>IF(Games[[#This Row],[Team]]="","",IF(Games[[#This Row],[Type]]="R",IF(Games[[#This Row],[Result]]=0.5,1,0),0))</f>
        <v>0</v>
      </c>
    </row>
    <row r="18" spans="1:41" x14ac:dyDescent="0.35">
      <c r="A18" s="8">
        <v>35309</v>
      </c>
      <c r="B18">
        <v>1996</v>
      </c>
      <c r="C18" t="s">
        <v>197</v>
      </c>
      <c r="D18" t="s">
        <v>199</v>
      </c>
      <c r="E18" t="s">
        <v>116</v>
      </c>
      <c r="F18" t="s">
        <v>138</v>
      </c>
      <c r="G18" t="s">
        <v>200</v>
      </c>
      <c r="H18">
        <v>31</v>
      </c>
      <c r="I18">
        <v>6</v>
      </c>
      <c r="J18">
        <v>0</v>
      </c>
      <c r="K1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8">
        <f>IF(Games[[#This Row],[Team]]="","",IF(Games[[#This Row],[Conf]]=Games[[#This Row],[OppConf]],1,0))</f>
        <v>1</v>
      </c>
      <c r="P18">
        <f>IF(Games[[#This Row],[Team]]="","",IF(AND(Games[[#This Row],[Conf]]=Games[[#This Row],[OppConf]],Games[[#This Row],[Div]]=Games[[#This Row],[OppDiv]]),1,0))</f>
        <v>0</v>
      </c>
      <c r="Q18">
        <f>IF(Games[[#This Row],[Team]]="","",_xlfn.MINIFS(Games[Date],Games[Season],Games[[#This Row],[Season]]))</f>
        <v>35309</v>
      </c>
      <c r="R18">
        <f>IF(Games[[#This Row],[Team]]="","",INT((Games[[#This Row],[Date]]-(Games[[#This Row],[SeasonStart]]-MOD(WEEKDAY(Games[[#This Row],[SeasonStart]],2)-2,7)))/7)+1)</f>
        <v>1</v>
      </c>
      <c r="S18">
        <f>IF(Games[[#This Row],[Team]]="","",COUNTIFS(Games[Team],Games[[#This Row],[Team]],Games[Season],Games[[#This Row],[Season]],Games[Week],"&lt;="&amp;Games[[#This Row],[Week]]))</f>
        <v>1</v>
      </c>
      <c r="T18">
        <f>IF(Games[[#This Row],[Team]]="","",_xlfn.MAXIFS(Games[Week],Games[Team],Games[[#This Row],[Team]],Games[Season],Games[[#This Row],[Season]],Games[Week],"&lt;"&amp;Games[[#This Row],[Week]]))</f>
        <v>0</v>
      </c>
      <c r="U18">
        <f>IF(Games[[#This Row],[Team]]="","",_xlfn.MAXIFS(Games[Week],Games[Team],Games[[#This Row],[Opponent]],Games[Season],Games[[#This Row],[Season]],Games[Week],"&lt;"&amp;Games[[#This Row],[Week]]))</f>
        <v>0</v>
      </c>
      <c r="V18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18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1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1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1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0.60215809317471691</v>
      </c>
      <c r="AB18">
        <f>IF(Games[[#This Row],[Team]]="","",Games[[#This Row],[PointsFor]]-Games[[#This Row],[PointsAgainst]])</f>
        <v>25</v>
      </c>
      <c r="AC18">
        <f>IF(Games[[#This Row],[Team]]="","",IF(Games[[#This Row],[MOV]]&gt;0,1,IF(Games[[#This Row],[MOV]]=0,0.5,0)))</f>
        <v>1</v>
      </c>
      <c r="AD18">
        <f>IF(Games[[#This Row],[Team]]="","",--(OR(AND(Games[[#This Row],[ExpectedWin]]&gt;=0.5,Games[[#This Row],[Result]]=1),AND(Games[[#This Row],[ExpectedWin]]&lt;0.5,Games[[#This Row],[Result]]=0))))</f>
        <v>1</v>
      </c>
      <c r="AE18">
        <f>IF(Games[[#This Row],[Team]]="","",-(Games[[#This Row],[Result]]*LN(Games[[#This Row],[ExpectedWin]])+(1-Games[[#This Row],[Result]])*LN(1-Games[[#This Row],[ExpectedWin]])))</f>
        <v>0.50723525490310084</v>
      </c>
      <c r="AF18">
        <f>IF(Games[[#This Row],[Team]]="","",IF(Games[[#This Row],[Season]]&gt;=2021,17,16))</f>
        <v>16</v>
      </c>
      <c r="AG18">
        <f>IF(Games[[#This Row],[Team]]="","",KMax-(KMax-KFloor)*MIN(Games[[#This Row],[GamesPlayed]],Games[[#This Row],[SeasonLen]])/Games[[#This Row],[SeasonLen]])</f>
        <v>45.387500000000003</v>
      </c>
      <c r="AH18">
        <f>IF(Games[[#This Row],[Team]]="","",((ABS(Games[[#This Row],[MOV]])+3)^0.8)/(7.5+0.006*ABS(Games[[#This Row],[PreGmRate]]-Games[[#This Row],[OppPreGmRate]]))*IF(Games[[#This Row],[OT]]=1,0.7,1))</f>
        <v>1.9171900292334565</v>
      </c>
      <c r="AI1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">
        <f>IF(Games[[#This Row],[Team]]="","",Games[[#This Row],[K]]*IF(Games[[#This Row],[DivG]]=1,DivMult,1)*IF(Games[[#This Row],[ConfG]]=1,ConfMult,1)*Games[[#This Row],[POMult]])</f>
        <v>46.295250000000003</v>
      </c>
      <c r="AK18">
        <f>IF(Games[[#This Row],[Team]]="","",(Games[[#This Row],[Keff]]*Games[[#This Row],[MOVMult]])*(Games[[#This Row],[Result]]-Games[[#This Row],[ExpectedWin]]))</f>
        <v>35.311171253968652</v>
      </c>
      <c r="AL18">
        <f>IF(Games[[#This Row],[Team]]="","",Games[[#This Row],[PreGmRate]]+Games[[#This Row],[RatingChange]])</f>
        <v>1535.3111712539687</v>
      </c>
      <c r="AM18">
        <f>IF(Games[[#This Row],[Team]]="","",IF(Games[[#This Row],[Type]]="R",IF(Games[[#This Row],[Result]]&gt;0.5,1,0),0))</f>
        <v>1</v>
      </c>
      <c r="AN18">
        <f>IF(Games[[#This Row],[Team]]="","",IF(Games[[#This Row],[Type]]="R",IF(Games[[#This Row],[Result]]&lt;0.5,1,0),0))</f>
        <v>0</v>
      </c>
      <c r="AO18">
        <f>IF(Games[[#This Row],[Team]]="","",IF(Games[[#This Row],[Type]]="R",IF(Games[[#This Row],[Result]]=0.5,1,0),0))</f>
        <v>0</v>
      </c>
    </row>
    <row r="19" spans="1:41" x14ac:dyDescent="0.35">
      <c r="A19" s="8">
        <v>35309</v>
      </c>
      <c r="B19">
        <v>1996</v>
      </c>
      <c r="C19" t="s">
        <v>197</v>
      </c>
      <c r="D19" t="s">
        <v>199</v>
      </c>
      <c r="E19" t="s">
        <v>138</v>
      </c>
      <c r="F19" t="s">
        <v>116</v>
      </c>
      <c r="G19" t="s">
        <v>201</v>
      </c>
      <c r="H19">
        <v>6</v>
      </c>
      <c r="I19">
        <v>31</v>
      </c>
      <c r="J19">
        <v>0</v>
      </c>
      <c r="K1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9">
        <f>IF(Games[[#This Row],[Team]]="","",IF(Games[[#This Row],[Conf]]=Games[[#This Row],[OppConf]],1,0))</f>
        <v>1</v>
      </c>
      <c r="P19">
        <f>IF(Games[[#This Row],[Team]]="","",IF(AND(Games[[#This Row],[Conf]]=Games[[#This Row],[OppConf]],Games[[#This Row],[Div]]=Games[[#This Row],[OppDiv]]),1,0))</f>
        <v>0</v>
      </c>
      <c r="Q19">
        <f>IF(Games[[#This Row],[Team]]="","",_xlfn.MINIFS(Games[Date],Games[Season],Games[[#This Row],[Season]]))</f>
        <v>35309</v>
      </c>
      <c r="R19">
        <f>IF(Games[[#This Row],[Team]]="","",INT((Games[[#This Row],[Date]]-(Games[[#This Row],[SeasonStart]]-MOD(WEEKDAY(Games[[#This Row],[SeasonStart]],2)-2,7)))/7)+1)</f>
        <v>1</v>
      </c>
      <c r="S19">
        <f>IF(Games[[#This Row],[Team]]="","",COUNTIFS(Games[Team],Games[[#This Row],[Team]],Games[Season],Games[[#This Row],[Season]],Games[Week],"&lt;="&amp;Games[[#This Row],[Week]]))</f>
        <v>1</v>
      </c>
      <c r="T19">
        <f>IF(Games[[#This Row],[Team]]="","",_xlfn.MAXIFS(Games[Week],Games[Team],Games[[#This Row],[Team]],Games[Season],Games[[#This Row],[Season]],Games[Week],"&lt;"&amp;Games[[#This Row],[Week]]))</f>
        <v>0</v>
      </c>
      <c r="U19">
        <f>IF(Games[[#This Row],[Team]]="","",_xlfn.MAXIFS(Games[Week],Games[Team],Games[[#This Row],[Opponent]],Games[Season],Games[[#This Row],[Season]],Games[Week],"&lt;"&amp;Games[[#This Row],[Week]]))</f>
        <v>0</v>
      </c>
      <c r="V19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19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1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1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1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0.39784190682528303</v>
      </c>
      <c r="AB19">
        <f>IF(Games[[#This Row],[Team]]="","",Games[[#This Row],[PointsFor]]-Games[[#This Row],[PointsAgainst]])</f>
        <v>-25</v>
      </c>
      <c r="AC19">
        <f>IF(Games[[#This Row],[Team]]="","",IF(Games[[#This Row],[MOV]]&gt;0,1,IF(Games[[#This Row],[MOV]]=0,0.5,0)))</f>
        <v>0</v>
      </c>
      <c r="AD19">
        <f>IF(Games[[#This Row],[Team]]="","",--(OR(AND(Games[[#This Row],[ExpectedWin]]&gt;=0.5,Games[[#This Row],[Result]]=1),AND(Games[[#This Row],[ExpectedWin]]&lt;0.5,Games[[#This Row],[Result]]=0))))</f>
        <v>1</v>
      </c>
      <c r="AE19">
        <f>IF(Games[[#This Row],[Team]]="","",-(Games[[#This Row],[Result]]*LN(Games[[#This Row],[ExpectedWin]])+(1-Games[[#This Row],[Result]])*LN(1-Games[[#This Row],[ExpectedWin]])))</f>
        <v>0.50723525490310062</v>
      </c>
      <c r="AF19">
        <f>IF(Games[[#This Row],[Team]]="","",IF(Games[[#This Row],[Season]]&gt;=2021,17,16))</f>
        <v>16</v>
      </c>
      <c r="AG19">
        <f>IF(Games[[#This Row],[Team]]="","",KMax-(KMax-KFloor)*MIN(Games[[#This Row],[GamesPlayed]],Games[[#This Row],[SeasonLen]])/Games[[#This Row],[SeasonLen]])</f>
        <v>45.387500000000003</v>
      </c>
      <c r="AH19">
        <f>IF(Games[[#This Row],[Team]]="","",((ABS(Games[[#This Row],[MOV]])+3)^0.8)/(7.5+0.006*ABS(Games[[#This Row],[PreGmRate]]-Games[[#This Row],[OppPreGmRate]]))*IF(Games[[#This Row],[OT]]=1,0.7,1))</f>
        <v>1.9171900292334565</v>
      </c>
      <c r="AI1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">
        <f>IF(Games[[#This Row],[Team]]="","",Games[[#This Row],[K]]*IF(Games[[#This Row],[DivG]]=1,DivMult,1)*IF(Games[[#This Row],[ConfG]]=1,ConfMult,1)*Games[[#This Row],[POMult]])</f>
        <v>46.295250000000003</v>
      </c>
      <c r="AK19">
        <f>IF(Games[[#This Row],[Team]]="","",(Games[[#This Row],[Keff]]*Games[[#This Row],[MOVMult]])*(Games[[#This Row],[Result]]-Games[[#This Row],[ExpectedWin]]))</f>
        <v>-35.311171253968652</v>
      </c>
      <c r="AL19">
        <f>IF(Games[[#This Row],[Team]]="","",Games[[#This Row],[PreGmRate]]+Games[[#This Row],[RatingChange]])</f>
        <v>1464.6888287460313</v>
      </c>
      <c r="AM19">
        <f>IF(Games[[#This Row],[Team]]="","",IF(Games[[#This Row],[Type]]="R",IF(Games[[#This Row],[Result]]&gt;0.5,1,0),0))</f>
        <v>0</v>
      </c>
      <c r="AN19">
        <f>IF(Games[[#This Row],[Team]]="","",IF(Games[[#This Row],[Type]]="R",IF(Games[[#This Row],[Result]]&lt;0.5,1,0),0))</f>
        <v>1</v>
      </c>
      <c r="AO19">
        <f>IF(Games[[#This Row],[Team]]="","",IF(Games[[#This Row],[Type]]="R",IF(Games[[#This Row],[Result]]=0.5,1,0),0))</f>
        <v>0</v>
      </c>
    </row>
    <row r="20" spans="1:41" x14ac:dyDescent="0.35">
      <c r="A20" s="8">
        <v>35309</v>
      </c>
      <c r="B20">
        <v>1996</v>
      </c>
      <c r="C20" t="s">
        <v>197</v>
      </c>
      <c r="D20" t="s">
        <v>199</v>
      </c>
      <c r="E20" t="s">
        <v>120</v>
      </c>
      <c r="F20" t="s">
        <v>151</v>
      </c>
      <c r="G20" t="s">
        <v>201</v>
      </c>
      <c r="H20">
        <v>34</v>
      </c>
      <c r="I20">
        <v>3</v>
      </c>
      <c r="J20">
        <v>0</v>
      </c>
      <c r="K2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0">
        <f>IF(Games[[#This Row],[Team]]="","",IF(Games[[#This Row],[Conf]]=Games[[#This Row],[OppConf]],1,0))</f>
        <v>1</v>
      </c>
      <c r="P20">
        <f>IF(Games[[#This Row],[Team]]="","",IF(AND(Games[[#This Row],[Conf]]=Games[[#This Row],[OppConf]],Games[[#This Row],[Div]]=Games[[#This Row],[OppDiv]]),1,0))</f>
        <v>1</v>
      </c>
      <c r="Q20">
        <f>IF(Games[[#This Row],[Team]]="","",_xlfn.MINIFS(Games[Date],Games[Season],Games[[#This Row],[Season]]))</f>
        <v>35309</v>
      </c>
      <c r="R20">
        <f>IF(Games[[#This Row],[Team]]="","",INT((Games[[#This Row],[Date]]-(Games[[#This Row],[SeasonStart]]-MOD(WEEKDAY(Games[[#This Row],[SeasonStart]],2)-2,7)))/7)+1)</f>
        <v>1</v>
      </c>
      <c r="S20">
        <f>IF(Games[[#This Row],[Team]]="","",COUNTIFS(Games[Team],Games[[#This Row],[Team]],Games[Season],Games[[#This Row],[Season]],Games[Week],"&lt;="&amp;Games[[#This Row],[Week]]))</f>
        <v>1</v>
      </c>
      <c r="T20">
        <f>IF(Games[[#This Row],[Team]]="","",_xlfn.MAXIFS(Games[Week],Games[Team],Games[[#This Row],[Team]],Games[Season],Games[[#This Row],[Season]],Games[Week],"&lt;"&amp;Games[[#This Row],[Week]]))</f>
        <v>0</v>
      </c>
      <c r="U20">
        <f>IF(Games[[#This Row],[Team]]="","",_xlfn.MAXIFS(Games[Week],Games[Team],Games[[#This Row],[Opponent]],Games[Season],Games[[#This Row],[Season]],Games[Week],"&lt;"&amp;Games[[#This Row],[Week]]))</f>
        <v>0</v>
      </c>
      <c r="V20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0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2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2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0.39784190682528303</v>
      </c>
      <c r="AB20">
        <f>IF(Games[[#This Row],[Team]]="","",Games[[#This Row],[PointsFor]]-Games[[#This Row],[PointsAgainst]])</f>
        <v>31</v>
      </c>
      <c r="AC20">
        <f>IF(Games[[#This Row],[Team]]="","",IF(Games[[#This Row],[MOV]]&gt;0,1,IF(Games[[#This Row],[MOV]]=0,0.5,0)))</f>
        <v>1</v>
      </c>
      <c r="AD20">
        <f>IF(Games[[#This Row],[Team]]="","",--(OR(AND(Games[[#This Row],[ExpectedWin]]&gt;=0.5,Games[[#This Row],[Result]]=1),AND(Games[[#This Row],[ExpectedWin]]&lt;0.5,Games[[#This Row],[Result]]=0))))</f>
        <v>0</v>
      </c>
      <c r="AE20">
        <f>IF(Games[[#This Row],[Team]]="","",-(Games[[#This Row],[Result]]*LN(Games[[#This Row],[ExpectedWin]])+(1-Games[[#This Row],[Result]])*LN(1-Games[[#This Row],[ExpectedWin]])))</f>
        <v>0.9217005716420289</v>
      </c>
      <c r="AF20">
        <f>IF(Games[[#This Row],[Team]]="","",IF(Games[[#This Row],[Season]]&gt;=2021,17,16))</f>
        <v>16</v>
      </c>
      <c r="AG20">
        <f>IF(Games[[#This Row],[Team]]="","",KMax-(KMax-KFloor)*MIN(Games[[#This Row],[GamesPlayed]],Games[[#This Row],[SeasonLen]])/Games[[#This Row],[SeasonLen]])</f>
        <v>45.387500000000003</v>
      </c>
      <c r="AH20">
        <f>IF(Games[[#This Row],[Team]]="","",((ABS(Games[[#This Row],[MOV]])+3)^0.8)/(7.5+0.006*ABS(Games[[#This Row],[PreGmRate]]-Games[[#This Row],[OppPreGmRate]]))*IF(Games[[#This Row],[OT]]=1,0.7,1))</f>
        <v>2.2393494490417982</v>
      </c>
      <c r="AI2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">
        <f>IF(Games[[#This Row],[Team]]="","",Games[[#This Row],[K]]*IF(Games[[#This Row],[DivG]]=1,DivMult,1)*IF(Games[[#This Row],[ConfG]]=1,ConfMult,1)*Games[[#This Row],[POMult]])</f>
        <v>50.924775000000011</v>
      </c>
      <c r="AK20">
        <f>IF(Games[[#This Row],[Team]]="","",(Games[[#This Row],[Keff]]*Games[[#This Row],[MOVMult]])*(Games[[#This Row],[Result]]-Games[[#This Row],[ExpectedWin]]))</f>
        <v>68.669125524427287</v>
      </c>
      <c r="AL20">
        <f>IF(Games[[#This Row],[Team]]="","",Games[[#This Row],[PreGmRate]]+Games[[#This Row],[RatingChange]])</f>
        <v>1568.6691255244273</v>
      </c>
      <c r="AM20">
        <f>IF(Games[[#This Row],[Team]]="","",IF(Games[[#This Row],[Type]]="R",IF(Games[[#This Row],[Result]]&gt;0.5,1,0),0))</f>
        <v>1</v>
      </c>
      <c r="AN20">
        <f>IF(Games[[#This Row],[Team]]="","",IF(Games[[#This Row],[Type]]="R",IF(Games[[#This Row],[Result]]&lt;0.5,1,0),0))</f>
        <v>0</v>
      </c>
      <c r="AO20">
        <f>IF(Games[[#This Row],[Team]]="","",IF(Games[[#This Row],[Type]]="R",IF(Games[[#This Row],[Result]]=0.5,1,0),0))</f>
        <v>0</v>
      </c>
    </row>
    <row r="21" spans="1:41" x14ac:dyDescent="0.35">
      <c r="A21" s="8">
        <v>35309</v>
      </c>
      <c r="B21">
        <v>1996</v>
      </c>
      <c r="C21" t="s">
        <v>197</v>
      </c>
      <c r="D21" t="s">
        <v>199</v>
      </c>
      <c r="E21" t="s">
        <v>151</v>
      </c>
      <c r="F21" t="s">
        <v>120</v>
      </c>
      <c r="G21" t="s">
        <v>200</v>
      </c>
      <c r="H21">
        <v>3</v>
      </c>
      <c r="I21">
        <v>34</v>
      </c>
      <c r="J21">
        <v>0</v>
      </c>
      <c r="K2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1">
        <f>IF(Games[[#This Row],[Team]]="","",IF(Games[[#This Row],[Conf]]=Games[[#This Row],[OppConf]],1,0))</f>
        <v>1</v>
      </c>
      <c r="P21">
        <f>IF(Games[[#This Row],[Team]]="","",IF(AND(Games[[#This Row],[Conf]]=Games[[#This Row],[OppConf]],Games[[#This Row],[Div]]=Games[[#This Row],[OppDiv]]),1,0))</f>
        <v>1</v>
      </c>
      <c r="Q21">
        <f>IF(Games[[#This Row],[Team]]="","",_xlfn.MINIFS(Games[Date],Games[Season],Games[[#This Row],[Season]]))</f>
        <v>35309</v>
      </c>
      <c r="R21">
        <f>IF(Games[[#This Row],[Team]]="","",INT((Games[[#This Row],[Date]]-(Games[[#This Row],[SeasonStart]]-MOD(WEEKDAY(Games[[#This Row],[SeasonStart]],2)-2,7)))/7)+1)</f>
        <v>1</v>
      </c>
      <c r="S21">
        <f>IF(Games[[#This Row],[Team]]="","",COUNTIFS(Games[Team],Games[[#This Row],[Team]],Games[Season],Games[[#This Row],[Season]],Games[Week],"&lt;="&amp;Games[[#This Row],[Week]]))</f>
        <v>1</v>
      </c>
      <c r="T21">
        <f>IF(Games[[#This Row],[Team]]="","",_xlfn.MAXIFS(Games[Week],Games[Team],Games[[#This Row],[Team]],Games[Season],Games[[#This Row],[Season]],Games[Week],"&lt;"&amp;Games[[#This Row],[Week]]))</f>
        <v>0</v>
      </c>
      <c r="U21">
        <f>IF(Games[[#This Row],[Team]]="","",_xlfn.MAXIFS(Games[Week],Games[Team],Games[[#This Row],[Opponent]],Games[Season],Games[[#This Row],[Season]],Games[Week],"&lt;"&amp;Games[[#This Row],[Week]]))</f>
        <v>0</v>
      </c>
      <c r="V21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1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2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2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0.60215809317471691</v>
      </c>
      <c r="AB21">
        <f>IF(Games[[#This Row],[Team]]="","",Games[[#This Row],[PointsFor]]-Games[[#This Row],[PointsAgainst]])</f>
        <v>-31</v>
      </c>
      <c r="AC21">
        <f>IF(Games[[#This Row],[Team]]="","",IF(Games[[#This Row],[MOV]]&gt;0,1,IF(Games[[#This Row],[MOV]]=0,0.5,0)))</f>
        <v>0</v>
      </c>
      <c r="AD21">
        <f>IF(Games[[#This Row],[Team]]="","",--(OR(AND(Games[[#This Row],[ExpectedWin]]&gt;=0.5,Games[[#This Row],[Result]]=1),AND(Games[[#This Row],[ExpectedWin]]&lt;0.5,Games[[#This Row],[Result]]=0))))</f>
        <v>0</v>
      </c>
      <c r="AE21">
        <f>IF(Games[[#This Row],[Team]]="","",-(Games[[#This Row],[Result]]*LN(Games[[#This Row],[ExpectedWin]])+(1-Games[[#This Row],[Result]])*LN(1-Games[[#This Row],[ExpectedWin]])))</f>
        <v>0.92170057164202879</v>
      </c>
      <c r="AF21">
        <f>IF(Games[[#This Row],[Team]]="","",IF(Games[[#This Row],[Season]]&gt;=2021,17,16))</f>
        <v>16</v>
      </c>
      <c r="AG21">
        <f>IF(Games[[#This Row],[Team]]="","",KMax-(KMax-KFloor)*MIN(Games[[#This Row],[GamesPlayed]],Games[[#This Row],[SeasonLen]])/Games[[#This Row],[SeasonLen]])</f>
        <v>45.387500000000003</v>
      </c>
      <c r="AH21">
        <f>IF(Games[[#This Row],[Team]]="","",((ABS(Games[[#This Row],[MOV]])+3)^0.8)/(7.5+0.006*ABS(Games[[#This Row],[PreGmRate]]-Games[[#This Row],[OppPreGmRate]]))*IF(Games[[#This Row],[OT]]=1,0.7,1))</f>
        <v>2.2393494490417982</v>
      </c>
      <c r="AI2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">
        <f>IF(Games[[#This Row],[Team]]="","",Games[[#This Row],[K]]*IF(Games[[#This Row],[DivG]]=1,DivMult,1)*IF(Games[[#This Row],[ConfG]]=1,ConfMult,1)*Games[[#This Row],[POMult]])</f>
        <v>50.924775000000011</v>
      </c>
      <c r="AK21">
        <f>IF(Games[[#This Row],[Team]]="","",(Games[[#This Row],[Keff]]*Games[[#This Row],[MOVMult]])*(Games[[#This Row],[Result]]-Games[[#This Row],[ExpectedWin]]))</f>
        <v>-68.669125524427287</v>
      </c>
      <c r="AL21">
        <f>IF(Games[[#This Row],[Team]]="","",Games[[#This Row],[PreGmRate]]+Games[[#This Row],[RatingChange]])</f>
        <v>1431.3308744755727</v>
      </c>
      <c r="AM21">
        <f>IF(Games[[#This Row],[Team]]="","",IF(Games[[#This Row],[Type]]="R",IF(Games[[#This Row],[Result]]&gt;0.5,1,0),0))</f>
        <v>0</v>
      </c>
      <c r="AN21">
        <f>IF(Games[[#This Row],[Team]]="","",IF(Games[[#This Row],[Type]]="R",IF(Games[[#This Row],[Result]]&lt;0.5,1,0),0))</f>
        <v>1</v>
      </c>
      <c r="AO21">
        <f>IF(Games[[#This Row],[Team]]="","",IF(Games[[#This Row],[Type]]="R",IF(Games[[#This Row],[Result]]=0.5,1,0),0))</f>
        <v>0</v>
      </c>
    </row>
    <row r="22" spans="1:41" x14ac:dyDescent="0.35">
      <c r="A22" s="8">
        <v>35309</v>
      </c>
      <c r="B22">
        <v>1996</v>
      </c>
      <c r="C22" t="s">
        <v>197</v>
      </c>
      <c r="D22" t="s">
        <v>199</v>
      </c>
      <c r="E22" t="s">
        <v>128</v>
      </c>
      <c r="F22" t="s">
        <v>132</v>
      </c>
      <c r="G22" t="s">
        <v>200</v>
      </c>
      <c r="H22">
        <v>24</v>
      </c>
      <c r="I22">
        <v>10</v>
      </c>
      <c r="J22">
        <v>0</v>
      </c>
      <c r="K2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2">
        <f>IF(Games[[#This Row],[Team]]="","",IF(Games[[#This Row],[Conf]]=Games[[#This Row],[OppConf]],1,0))</f>
        <v>1</v>
      </c>
      <c r="P22">
        <f>IF(Games[[#This Row],[Team]]="","",IF(AND(Games[[#This Row],[Conf]]=Games[[#This Row],[OppConf]],Games[[#This Row],[Div]]=Games[[#This Row],[OppDiv]]),1,0))</f>
        <v>1</v>
      </c>
      <c r="Q22">
        <f>IF(Games[[#This Row],[Team]]="","",_xlfn.MINIFS(Games[Date],Games[Season],Games[[#This Row],[Season]]))</f>
        <v>35309</v>
      </c>
      <c r="R22">
        <f>IF(Games[[#This Row],[Team]]="","",INT((Games[[#This Row],[Date]]-(Games[[#This Row],[SeasonStart]]-MOD(WEEKDAY(Games[[#This Row],[SeasonStart]],2)-2,7)))/7)+1)</f>
        <v>1</v>
      </c>
      <c r="S22">
        <f>IF(Games[[#This Row],[Team]]="","",COUNTIFS(Games[Team],Games[[#This Row],[Team]],Games[Season],Games[[#This Row],[Season]],Games[Week],"&lt;="&amp;Games[[#This Row],[Week]]))</f>
        <v>1</v>
      </c>
      <c r="T22">
        <f>IF(Games[[#This Row],[Team]]="","",_xlfn.MAXIFS(Games[Week],Games[Team],Games[[#This Row],[Team]],Games[Season],Games[[#This Row],[Season]],Games[Week],"&lt;"&amp;Games[[#This Row],[Week]]))</f>
        <v>0</v>
      </c>
      <c r="U22">
        <f>IF(Games[[#This Row],[Team]]="","",_xlfn.MAXIFS(Games[Week],Games[Team],Games[[#This Row],[Opponent]],Games[Season],Games[[#This Row],[Season]],Games[Week],"&lt;"&amp;Games[[#This Row],[Week]]))</f>
        <v>0</v>
      </c>
      <c r="V22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2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2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2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0.60215809317471691</v>
      </c>
      <c r="AB22">
        <f>IF(Games[[#This Row],[Team]]="","",Games[[#This Row],[PointsFor]]-Games[[#This Row],[PointsAgainst]])</f>
        <v>14</v>
      </c>
      <c r="AC22">
        <f>IF(Games[[#This Row],[Team]]="","",IF(Games[[#This Row],[MOV]]&gt;0,1,IF(Games[[#This Row],[MOV]]=0,0.5,0)))</f>
        <v>1</v>
      </c>
      <c r="AD22">
        <f>IF(Games[[#This Row],[Team]]="","",--(OR(AND(Games[[#This Row],[ExpectedWin]]&gt;=0.5,Games[[#This Row],[Result]]=1),AND(Games[[#This Row],[ExpectedWin]]&lt;0.5,Games[[#This Row],[Result]]=0))))</f>
        <v>1</v>
      </c>
      <c r="AE22">
        <f>IF(Games[[#This Row],[Team]]="","",-(Games[[#This Row],[Result]]*LN(Games[[#This Row],[ExpectedWin]])+(1-Games[[#This Row],[Result]])*LN(1-Games[[#This Row],[ExpectedWin]])))</f>
        <v>0.50723525490310084</v>
      </c>
      <c r="AF22">
        <f>IF(Games[[#This Row],[Team]]="","",IF(Games[[#This Row],[Season]]&gt;=2021,17,16))</f>
        <v>16</v>
      </c>
      <c r="AG22">
        <f>IF(Games[[#This Row],[Team]]="","",KMax-(KMax-KFloor)*MIN(Games[[#This Row],[GamesPlayed]],Games[[#This Row],[SeasonLen]])/Games[[#This Row],[SeasonLen]])</f>
        <v>45.387500000000003</v>
      </c>
      <c r="AH22">
        <f>IF(Games[[#This Row],[Team]]="","",((ABS(Games[[#This Row],[MOV]])+3)^0.8)/(7.5+0.006*ABS(Games[[#This Row],[PreGmRate]]-Games[[#This Row],[OppPreGmRate]]))*IF(Games[[#This Row],[OT]]=1,0.7,1))</f>
        <v>1.2861685141889152</v>
      </c>
      <c r="AI2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">
        <f>IF(Games[[#This Row],[Team]]="","",Games[[#This Row],[K]]*IF(Games[[#This Row],[DivG]]=1,DivMult,1)*IF(Games[[#This Row],[ConfG]]=1,ConfMult,1)*Games[[#This Row],[POMult]])</f>
        <v>50.924775000000011</v>
      </c>
      <c r="AK22">
        <f>IF(Games[[#This Row],[Team]]="","",(Games[[#This Row],[Keff]]*Games[[#This Row],[MOVMult]])*(Games[[#This Row],[Result]]-Games[[#This Row],[ExpectedWin]]))</f>
        <v>26.057786432657565</v>
      </c>
      <c r="AL22">
        <f>IF(Games[[#This Row],[Team]]="","",Games[[#This Row],[PreGmRate]]+Games[[#This Row],[RatingChange]])</f>
        <v>1526.0577864326576</v>
      </c>
      <c r="AM22">
        <f>IF(Games[[#This Row],[Team]]="","",IF(Games[[#This Row],[Type]]="R",IF(Games[[#This Row],[Result]]&gt;0.5,1,0),0))</f>
        <v>1</v>
      </c>
      <c r="AN22">
        <f>IF(Games[[#This Row],[Team]]="","",IF(Games[[#This Row],[Type]]="R",IF(Games[[#This Row],[Result]]&lt;0.5,1,0),0))</f>
        <v>0</v>
      </c>
      <c r="AO22">
        <f>IF(Games[[#This Row],[Team]]="","",IF(Games[[#This Row],[Type]]="R",IF(Games[[#This Row],[Result]]=0.5,1,0),0))</f>
        <v>0</v>
      </c>
    </row>
    <row r="23" spans="1:41" x14ac:dyDescent="0.35">
      <c r="A23" s="8">
        <v>35309</v>
      </c>
      <c r="B23">
        <v>1996</v>
      </c>
      <c r="C23" t="s">
        <v>197</v>
      </c>
      <c r="D23" t="s">
        <v>199</v>
      </c>
      <c r="E23" t="s">
        <v>132</v>
      </c>
      <c r="F23" t="s">
        <v>128</v>
      </c>
      <c r="G23" t="s">
        <v>201</v>
      </c>
      <c r="H23">
        <v>10</v>
      </c>
      <c r="I23">
        <v>24</v>
      </c>
      <c r="J23">
        <v>0</v>
      </c>
      <c r="K2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3">
        <f>IF(Games[[#This Row],[Team]]="","",IF(Games[[#This Row],[Conf]]=Games[[#This Row],[OppConf]],1,0))</f>
        <v>1</v>
      </c>
      <c r="P23">
        <f>IF(Games[[#This Row],[Team]]="","",IF(AND(Games[[#This Row],[Conf]]=Games[[#This Row],[OppConf]],Games[[#This Row],[Div]]=Games[[#This Row],[OppDiv]]),1,0))</f>
        <v>1</v>
      </c>
      <c r="Q23">
        <f>IF(Games[[#This Row],[Team]]="","",_xlfn.MINIFS(Games[Date],Games[Season],Games[[#This Row],[Season]]))</f>
        <v>35309</v>
      </c>
      <c r="R23">
        <f>IF(Games[[#This Row],[Team]]="","",INT((Games[[#This Row],[Date]]-(Games[[#This Row],[SeasonStart]]-MOD(WEEKDAY(Games[[#This Row],[SeasonStart]],2)-2,7)))/7)+1)</f>
        <v>1</v>
      </c>
      <c r="S23">
        <f>IF(Games[[#This Row],[Team]]="","",COUNTIFS(Games[Team],Games[[#This Row],[Team]],Games[Season],Games[[#This Row],[Season]],Games[Week],"&lt;="&amp;Games[[#This Row],[Week]]))</f>
        <v>1</v>
      </c>
      <c r="T23">
        <f>IF(Games[[#This Row],[Team]]="","",_xlfn.MAXIFS(Games[Week],Games[Team],Games[[#This Row],[Team]],Games[Season],Games[[#This Row],[Season]],Games[Week],"&lt;"&amp;Games[[#This Row],[Week]]))</f>
        <v>0</v>
      </c>
      <c r="U23">
        <f>IF(Games[[#This Row],[Team]]="","",_xlfn.MAXIFS(Games[Week],Games[Team],Games[[#This Row],[Opponent]],Games[Season],Games[[#This Row],[Season]],Games[Week],"&lt;"&amp;Games[[#This Row],[Week]]))</f>
        <v>0</v>
      </c>
      <c r="V23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3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2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2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0.39784190682528303</v>
      </c>
      <c r="AB23">
        <f>IF(Games[[#This Row],[Team]]="","",Games[[#This Row],[PointsFor]]-Games[[#This Row],[PointsAgainst]])</f>
        <v>-14</v>
      </c>
      <c r="AC23">
        <f>IF(Games[[#This Row],[Team]]="","",IF(Games[[#This Row],[MOV]]&gt;0,1,IF(Games[[#This Row],[MOV]]=0,0.5,0)))</f>
        <v>0</v>
      </c>
      <c r="AD23">
        <f>IF(Games[[#This Row],[Team]]="","",--(OR(AND(Games[[#This Row],[ExpectedWin]]&gt;=0.5,Games[[#This Row],[Result]]=1),AND(Games[[#This Row],[ExpectedWin]]&lt;0.5,Games[[#This Row],[Result]]=0))))</f>
        <v>1</v>
      </c>
      <c r="AE23">
        <f>IF(Games[[#This Row],[Team]]="","",-(Games[[#This Row],[Result]]*LN(Games[[#This Row],[ExpectedWin]])+(1-Games[[#This Row],[Result]])*LN(1-Games[[#This Row],[ExpectedWin]])))</f>
        <v>0.50723525490310062</v>
      </c>
      <c r="AF23">
        <f>IF(Games[[#This Row],[Team]]="","",IF(Games[[#This Row],[Season]]&gt;=2021,17,16))</f>
        <v>16</v>
      </c>
      <c r="AG23">
        <f>IF(Games[[#This Row],[Team]]="","",KMax-(KMax-KFloor)*MIN(Games[[#This Row],[GamesPlayed]],Games[[#This Row],[SeasonLen]])/Games[[#This Row],[SeasonLen]])</f>
        <v>45.387500000000003</v>
      </c>
      <c r="AH23">
        <f>IF(Games[[#This Row],[Team]]="","",((ABS(Games[[#This Row],[MOV]])+3)^0.8)/(7.5+0.006*ABS(Games[[#This Row],[PreGmRate]]-Games[[#This Row],[OppPreGmRate]]))*IF(Games[[#This Row],[OT]]=1,0.7,1))</f>
        <v>1.2861685141889152</v>
      </c>
      <c r="AI2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">
        <f>IF(Games[[#This Row],[Team]]="","",Games[[#This Row],[K]]*IF(Games[[#This Row],[DivG]]=1,DivMult,1)*IF(Games[[#This Row],[ConfG]]=1,ConfMult,1)*Games[[#This Row],[POMult]])</f>
        <v>50.924775000000011</v>
      </c>
      <c r="AK23">
        <f>IF(Games[[#This Row],[Team]]="","",(Games[[#This Row],[Keff]]*Games[[#This Row],[MOVMult]])*(Games[[#This Row],[Result]]-Games[[#This Row],[ExpectedWin]]))</f>
        <v>-26.057786432657561</v>
      </c>
      <c r="AL23">
        <f>IF(Games[[#This Row],[Team]]="","",Games[[#This Row],[PreGmRate]]+Games[[#This Row],[RatingChange]])</f>
        <v>1473.9422135673424</v>
      </c>
      <c r="AM23">
        <f>IF(Games[[#This Row],[Team]]="","",IF(Games[[#This Row],[Type]]="R",IF(Games[[#This Row],[Result]]&gt;0.5,1,0),0))</f>
        <v>0</v>
      </c>
      <c r="AN23">
        <f>IF(Games[[#This Row],[Team]]="","",IF(Games[[#This Row],[Type]]="R",IF(Games[[#This Row],[Result]]&lt;0.5,1,0),0))</f>
        <v>1</v>
      </c>
      <c r="AO23">
        <f>IF(Games[[#This Row],[Team]]="","",IF(Games[[#This Row],[Type]]="R",IF(Games[[#This Row],[Result]]=0.5,1,0),0))</f>
        <v>0</v>
      </c>
    </row>
    <row r="24" spans="1:41" x14ac:dyDescent="0.35">
      <c r="A24" s="8">
        <v>35309</v>
      </c>
      <c r="B24">
        <v>1996</v>
      </c>
      <c r="C24" t="s">
        <v>197</v>
      </c>
      <c r="D24" t="s">
        <v>199</v>
      </c>
      <c r="E24" t="s">
        <v>148</v>
      </c>
      <c r="F24" t="s">
        <v>134</v>
      </c>
      <c r="G24" t="s">
        <v>200</v>
      </c>
      <c r="H24">
        <v>27</v>
      </c>
      <c r="I24">
        <v>11</v>
      </c>
      <c r="J24">
        <v>0</v>
      </c>
      <c r="K2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4">
        <f>IF(Games[[#This Row],[Team]]="","",IF(Games[[#This Row],[Conf]]=Games[[#This Row],[OppConf]],1,0))</f>
        <v>1</v>
      </c>
      <c r="P24">
        <f>IF(Games[[#This Row],[Team]]="","",IF(AND(Games[[#This Row],[Conf]]=Games[[#This Row],[OppConf]],Games[[#This Row],[Div]]=Games[[#This Row],[OppDiv]]),1,0))</f>
        <v>1</v>
      </c>
      <c r="Q24">
        <f>IF(Games[[#This Row],[Team]]="","",_xlfn.MINIFS(Games[Date],Games[Season],Games[[#This Row],[Season]]))</f>
        <v>35309</v>
      </c>
      <c r="R24">
        <f>IF(Games[[#This Row],[Team]]="","",INT((Games[[#This Row],[Date]]-(Games[[#This Row],[SeasonStart]]-MOD(WEEKDAY(Games[[#This Row],[SeasonStart]],2)-2,7)))/7)+1)</f>
        <v>1</v>
      </c>
      <c r="S24">
        <f>IF(Games[[#This Row],[Team]]="","",COUNTIFS(Games[Team],Games[[#This Row],[Team]],Games[Season],Games[[#This Row],[Season]],Games[Week],"&lt;="&amp;Games[[#This Row],[Week]]))</f>
        <v>1</v>
      </c>
      <c r="T24">
        <f>IF(Games[[#This Row],[Team]]="","",_xlfn.MAXIFS(Games[Week],Games[Team],Games[[#This Row],[Team]],Games[Season],Games[[#This Row],[Season]],Games[Week],"&lt;"&amp;Games[[#This Row],[Week]]))</f>
        <v>0</v>
      </c>
      <c r="U24">
        <f>IF(Games[[#This Row],[Team]]="","",_xlfn.MAXIFS(Games[Week],Games[Team],Games[[#This Row],[Opponent]],Games[Season],Games[[#This Row],[Season]],Games[Week],"&lt;"&amp;Games[[#This Row],[Week]]))</f>
        <v>0</v>
      </c>
      <c r="V24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4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2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2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0.60215809317471691</v>
      </c>
      <c r="AB24">
        <f>IF(Games[[#This Row],[Team]]="","",Games[[#This Row],[PointsFor]]-Games[[#This Row],[PointsAgainst]])</f>
        <v>16</v>
      </c>
      <c r="AC24">
        <f>IF(Games[[#This Row],[Team]]="","",IF(Games[[#This Row],[MOV]]&gt;0,1,IF(Games[[#This Row],[MOV]]=0,0.5,0)))</f>
        <v>1</v>
      </c>
      <c r="AD24">
        <f>IF(Games[[#This Row],[Team]]="","",--(OR(AND(Games[[#This Row],[ExpectedWin]]&gt;=0.5,Games[[#This Row],[Result]]=1),AND(Games[[#This Row],[ExpectedWin]]&lt;0.5,Games[[#This Row],[Result]]=0))))</f>
        <v>1</v>
      </c>
      <c r="AE24">
        <f>IF(Games[[#This Row],[Team]]="","",-(Games[[#This Row],[Result]]*LN(Games[[#This Row],[ExpectedWin]])+(1-Games[[#This Row],[Result]])*LN(1-Games[[#This Row],[ExpectedWin]])))</f>
        <v>0.50723525490310084</v>
      </c>
      <c r="AF24">
        <f>IF(Games[[#This Row],[Team]]="","",IF(Games[[#This Row],[Season]]&gt;=2021,17,16))</f>
        <v>16</v>
      </c>
      <c r="AG24">
        <f>IF(Games[[#This Row],[Team]]="","",KMax-(KMax-KFloor)*MIN(Games[[#This Row],[GamesPlayed]],Games[[#This Row],[SeasonLen]])/Games[[#This Row],[SeasonLen]])</f>
        <v>45.387500000000003</v>
      </c>
      <c r="AH24">
        <f>IF(Games[[#This Row],[Team]]="","",((ABS(Games[[#This Row],[MOV]])+3)^0.8)/(7.5+0.006*ABS(Games[[#This Row],[PreGmRate]]-Games[[#This Row],[OppPreGmRate]]))*IF(Games[[#This Row],[OT]]=1,0.7,1))</f>
        <v>1.4058585204984975</v>
      </c>
      <c r="AI2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">
        <f>IF(Games[[#This Row],[Team]]="","",Games[[#This Row],[K]]*IF(Games[[#This Row],[DivG]]=1,DivMult,1)*IF(Games[[#This Row],[ConfG]]=1,ConfMult,1)*Games[[#This Row],[POMult]])</f>
        <v>50.924775000000011</v>
      </c>
      <c r="AK24">
        <f>IF(Games[[#This Row],[Team]]="","",(Games[[#This Row],[Keff]]*Games[[#This Row],[MOVMult]])*(Games[[#This Row],[Result]]-Games[[#This Row],[ExpectedWin]]))</f>
        <v>28.482707108394482</v>
      </c>
      <c r="AL24">
        <f>IF(Games[[#This Row],[Team]]="","",Games[[#This Row],[PreGmRate]]+Games[[#This Row],[RatingChange]])</f>
        <v>1528.4827071083944</v>
      </c>
      <c r="AM24">
        <f>IF(Games[[#This Row],[Team]]="","",IF(Games[[#This Row],[Type]]="R",IF(Games[[#This Row],[Result]]&gt;0.5,1,0),0))</f>
        <v>1</v>
      </c>
      <c r="AN24">
        <f>IF(Games[[#This Row],[Team]]="","",IF(Games[[#This Row],[Type]]="R",IF(Games[[#This Row],[Result]]&lt;0.5,1,0),0))</f>
        <v>0</v>
      </c>
      <c r="AO24">
        <f>IF(Games[[#This Row],[Team]]="","",IF(Games[[#This Row],[Type]]="R",IF(Games[[#This Row],[Result]]=0.5,1,0),0))</f>
        <v>0</v>
      </c>
    </row>
    <row r="25" spans="1:41" x14ac:dyDescent="0.35">
      <c r="A25" s="8">
        <v>35309</v>
      </c>
      <c r="B25">
        <v>1996</v>
      </c>
      <c r="C25" t="s">
        <v>197</v>
      </c>
      <c r="D25" t="s">
        <v>199</v>
      </c>
      <c r="E25" t="s">
        <v>134</v>
      </c>
      <c r="F25" t="s">
        <v>148</v>
      </c>
      <c r="G25" t="s">
        <v>201</v>
      </c>
      <c r="H25">
        <v>11</v>
      </c>
      <c r="I25">
        <v>27</v>
      </c>
      <c r="J25">
        <v>0</v>
      </c>
      <c r="K2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5">
        <f>IF(Games[[#This Row],[Team]]="","",IF(Games[[#This Row],[Conf]]=Games[[#This Row],[OppConf]],1,0))</f>
        <v>1</v>
      </c>
      <c r="P25">
        <f>IF(Games[[#This Row],[Team]]="","",IF(AND(Games[[#This Row],[Conf]]=Games[[#This Row],[OppConf]],Games[[#This Row],[Div]]=Games[[#This Row],[OppDiv]]),1,0))</f>
        <v>1</v>
      </c>
      <c r="Q25">
        <f>IF(Games[[#This Row],[Team]]="","",_xlfn.MINIFS(Games[Date],Games[Season],Games[[#This Row],[Season]]))</f>
        <v>35309</v>
      </c>
      <c r="R25">
        <f>IF(Games[[#This Row],[Team]]="","",INT((Games[[#This Row],[Date]]-(Games[[#This Row],[SeasonStart]]-MOD(WEEKDAY(Games[[#This Row],[SeasonStart]],2)-2,7)))/7)+1)</f>
        <v>1</v>
      </c>
      <c r="S25">
        <f>IF(Games[[#This Row],[Team]]="","",COUNTIFS(Games[Team],Games[[#This Row],[Team]],Games[Season],Games[[#This Row],[Season]],Games[Week],"&lt;="&amp;Games[[#This Row],[Week]]))</f>
        <v>1</v>
      </c>
      <c r="T25">
        <f>IF(Games[[#This Row],[Team]]="","",_xlfn.MAXIFS(Games[Week],Games[Team],Games[[#This Row],[Team]],Games[Season],Games[[#This Row],[Season]],Games[Week],"&lt;"&amp;Games[[#This Row],[Week]]))</f>
        <v>0</v>
      </c>
      <c r="U25">
        <f>IF(Games[[#This Row],[Team]]="","",_xlfn.MAXIFS(Games[Week],Games[Team],Games[[#This Row],[Opponent]],Games[Season],Games[[#This Row],[Season]],Games[Week],"&lt;"&amp;Games[[#This Row],[Week]]))</f>
        <v>0</v>
      </c>
      <c r="V25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5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2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2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0.39784190682528303</v>
      </c>
      <c r="AB25">
        <f>IF(Games[[#This Row],[Team]]="","",Games[[#This Row],[PointsFor]]-Games[[#This Row],[PointsAgainst]])</f>
        <v>-16</v>
      </c>
      <c r="AC25">
        <f>IF(Games[[#This Row],[Team]]="","",IF(Games[[#This Row],[MOV]]&gt;0,1,IF(Games[[#This Row],[MOV]]=0,0.5,0)))</f>
        <v>0</v>
      </c>
      <c r="AD25">
        <f>IF(Games[[#This Row],[Team]]="","",--(OR(AND(Games[[#This Row],[ExpectedWin]]&gt;=0.5,Games[[#This Row],[Result]]=1),AND(Games[[#This Row],[ExpectedWin]]&lt;0.5,Games[[#This Row],[Result]]=0))))</f>
        <v>1</v>
      </c>
      <c r="AE25">
        <f>IF(Games[[#This Row],[Team]]="","",-(Games[[#This Row],[Result]]*LN(Games[[#This Row],[ExpectedWin]])+(1-Games[[#This Row],[Result]])*LN(1-Games[[#This Row],[ExpectedWin]])))</f>
        <v>0.50723525490310062</v>
      </c>
      <c r="AF25">
        <f>IF(Games[[#This Row],[Team]]="","",IF(Games[[#This Row],[Season]]&gt;=2021,17,16))</f>
        <v>16</v>
      </c>
      <c r="AG25">
        <f>IF(Games[[#This Row],[Team]]="","",KMax-(KMax-KFloor)*MIN(Games[[#This Row],[GamesPlayed]],Games[[#This Row],[SeasonLen]])/Games[[#This Row],[SeasonLen]])</f>
        <v>45.387500000000003</v>
      </c>
      <c r="AH25">
        <f>IF(Games[[#This Row],[Team]]="","",((ABS(Games[[#This Row],[MOV]])+3)^0.8)/(7.5+0.006*ABS(Games[[#This Row],[PreGmRate]]-Games[[#This Row],[OppPreGmRate]]))*IF(Games[[#This Row],[OT]]=1,0.7,1))</f>
        <v>1.4058585204984975</v>
      </c>
      <c r="AI2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">
        <f>IF(Games[[#This Row],[Team]]="","",Games[[#This Row],[K]]*IF(Games[[#This Row],[DivG]]=1,DivMult,1)*IF(Games[[#This Row],[ConfG]]=1,ConfMult,1)*Games[[#This Row],[POMult]])</f>
        <v>50.924775000000011</v>
      </c>
      <c r="AK25">
        <f>IF(Games[[#This Row],[Team]]="","",(Games[[#This Row],[Keff]]*Games[[#This Row],[MOVMult]])*(Games[[#This Row],[Result]]-Games[[#This Row],[ExpectedWin]]))</f>
        <v>-28.482707108394479</v>
      </c>
      <c r="AL25">
        <f>IF(Games[[#This Row],[Team]]="","",Games[[#This Row],[PreGmRate]]+Games[[#This Row],[RatingChange]])</f>
        <v>1471.5172928916056</v>
      </c>
      <c r="AM25">
        <f>IF(Games[[#This Row],[Team]]="","",IF(Games[[#This Row],[Type]]="R",IF(Games[[#This Row],[Result]]&gt;0.5,1,0),0))</f>
        <v>0</v>
      </c>
      <c r="AN25">
        <f>IF(Games[[#This Row],[Team]]="","",IF(Games[[#This Row],[Type]]="R",IF(Games[[#This Row],[Result]]&lt;0.5,1,0),0))</f>
        <v>1</v>
      </c>
      <c r="AO25">
        <f>IF(Games[[#This Row],[Team]]="","",IF(Games[[#This Row],[Type]]="R",IF(Games[[#This Row],[Result]]=0.5,1,0),0))</f>
        <v>0</v>
      </c>
    </row>
    <row r="26" spans="1:41" x14ac:dyDescent="0.35">
      <c r="A26" s="8">
        <v>35309</v>
      </c>
      <c r="B26">
        <v>1996</v>
      </c>
      <c r="C26" t="s">
        <v>197</v>
      </c>
      <c r="D26" t="s">
        <v>199</v>
      </c>
      <c r="E26" t="s">
        <v>145</v>
      </c>
      <c r="F26" t="s">
        <v>146</v>
      </c>
      <c r="G26" t="s">
        <v>200</v>
      </c>
      <c r="H26">
        <v>29</v>
      </c>
      <c r="I26">
        <v>7</v>
      </c>
      <c r="J26">
        <v>0</v>
      </c>
      <c r="K2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6">
        <f>IF(Games[[#This Row],[Team]]="","",IF(Games[[#This Row],[Conf]]=Games[[#This Row],[OppConf]],1,0))</f>
        <v>1</v>
      </c>
      <c r="P26">
        <f>IF(Games[[#This Row],[Team]]="","",IF(AND(Games[[#This Row],[Conf]]=Games[[#This Row],[OppConf]],Games[[#This Row],[Div]]=Games[[#This Row],[OppDiv]]),1,0))</f>
        <v>1</v>
      </c>
      <c r="Q26">
        <f>IF(Games[[#This Row],[Team]]="","",_xlfn.MINIFS(Games[Date],Games[Season],Games[[#This Row],[Season]]))</f>
        <v>35309</v>
      </c>
      <c r="R26">
        <f>IF(Games[[#This Row],[Team]]="","",INT((Games[[#This Row],[Date]]-(Games[[#This Row],[SeasonStart]]-MOD(WEEKDAY(Games[[#This Row],[SeasonStart]],2)-2,7)))/7)+1)</f>
        <v>1</v>
      </c>
      <c r="S26">
        <f>IF(Games[[#This Row],[Team]]="","",COUNTIFS(Games[Team],Games[[#This Row],[Team]],Games[Season],Games[[#This Row],[Season]],Games[Week],"&lt;="&amp;Games[[#This Row],[Week]]))</f>
        <v>1</v>
      </c>
      <c r="T26">
        <f>IF(Games[[#This Row],[Team]]="","",_xlfn.MAXIFS(Games[Week],Games[Team],Games[[#This Row],[Team]],Games[Season],Games[[#This Row],[Season]],Games[Week],"&lt;"&amp;Games[[#This Row],[Week]]))</f>
        <v>0</v>
      </c>
      <c r="U26">
        <f>IF(Games[[#This Row],[Team]]="","",_xlfn.MAXIFS(Games[Week],Games[Team],Games[[#This Row],[Opponent]],Games[Season],Games[[#This Row],[Season]],Games[Week],"&lt;"&amp;Games[[#This Row],[Week]]))</f>
        <v>0</v>
      </c>
      <c r="V26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6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2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2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0.60215809317471691</v>
      </c>
      <c r="AB26">
        <f>IF(Games[[#This Row],[Team]]="","",Games[[#This Row],[PointsFor]]-Games[[#This Row],[PointsAgainst]])</f>
        <v>22</v>
      </c>
      <c r="AC26">
        <f>IF(Games[[#This Row],[Team]]="","",IF(Games[[#This Row],[MOV]]&gt;0,1,IF(Games[[#This Row],[MOV]]=0,0.5,0)))</f>
        <v>1</v>
      </c>
      <c r="AD26">
        <f>IF(Games[[#This Row],[Team]]="","",--(OR(AND(Games[[#This Row],[ExpectedWin]]&gt;=0.5,Games[[#This Row],[Result]]=1),AND(Games[[#This Row],[ExpectedWin]]&lt;0.5,Games[[#This Row],[Result]]=0))))</f>
        <v>1</v>
      </c>
      <c r="AE26">
        <f>IF(Games[[#This Row],[Team]]="","",-(Games[[#This Row],[Result]]*LN(Games[[#This Row],[ExpectedWin]])+(1-Games[[#This Row],[Result]])*LN(1-Games[[#This Row],[ExpectedWin]])))</f>
        <v>0.50723525490310084</v>
      </c>
      <c r="AF26">
        <f>IF(Games[[#This Row],[Team]]="","",IF(Games[[#This Row],[Season]]&gt;=2021,17,16))</f>
        <v>16</v>
      </c>
      <c r="AG26">
        <f>IF(Games[[#This Row],[Team]]="","",KMax-(KMax-KFloor)*MIN(Games[[#This Row],[GamesPlayed]],Games[[#This Row],[SeasonLen]])/Games[[#This Row],[SeasonLen]])</f>
        <v>45.387500000000003</v>
      </c>
      <c r="AH26">
        <f>IF(Games[[#This Row],[Team]]="","",((ABS(Games[[#This Row],[MOV]])+3)^0.8)/(7.5+0.006*ABS(Games[[#This Row],[PreGmRate]]-Games[[#This Row],[OppPreGmRate]]))*IF(Games[[#This Row],[OT]]=1,0.7,1))</f>
        <v>1.7510185362691784</v>
      </c>
      <c r="AI2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">
        <f>IF(Games[[#This Row],[Team]]="","",Games[[#This Row],[K]]*IF(Games[[#This Row],[DivG]]=1,DivMult,1)*IF(Games[[#This Row],[ConfG]]=1,ConfMult,1)*Games[[#This Row],[POMult]])</f>
        <v>50.924775000000011</v>
      </c>
      <c r="AK26">
        <f>IF(Games[[#This Row],[Team]]="","",(Games[[#This Row],[Keff]]*Games[[#This Row],[MOVMult]])*(Games[[#This Row],[Result]]-Games[[#This Row],[ExpectedWin]]))</f>
        <v>35.475652338216868</v>
      </c>
      <c r="AL26">
        <f>IF(Games[[#This Row],[Team]]="","",Games[[#This Row],[PreGmRate]]+Games[[#This Row],[RatingChange]])</f>
        <v>1535.4756523382168</v>
      </c>
      <c r="AM26">
        <f>IF(Games[[#This Row],[Team]]="","",IF(Games[[#This Row],[Type]]="R",IF(Games[[#This Row],[Result]]&gt;0.5,1,0),0))</f>
        <v>1</v>
      </c>
      <c r="AN26">
        <f>IF(Games[[#This Row],[Team]]="","",IF(Games[[#This Row],[Type]]="R",IF(Games[[#This Row],[Result]]&lt;0.5,1,0),0))</f>
        <v>0</v>
      </c>
      <c r="AO26">
        <f>IF(Games[[#This Row],[Team]]="","",IF(Games[[#This Row],[Type]]="R",IF(Games[[#This Row],[Result]]=0.5,1,0),0))</f>
        <v>0</v>
      </c>
    </row>
    <row r="27" spans="1:41" x14ac:dyDescent="0.35">
      <c r="A27" s="8">
        <v>35309</v>
      </c>
      <c r="B27">
        <v>1996</v>
      </c>
      <c r="C27" t="s">
        <v>197</v>
      </c>
      <c r="D27" t="s">
        <v>199</v>
      </c>
      <c r="E27" t="s">
        <v>146</v>
      </c>
      <c r="F27" t="s">
        <v>145</v>
      </c>
      <c r="G27" t="s">
        <v>201</v>
      </c>
      <c r="H27">
        <v>7</v>
      </c>
      <c r="I27">
        <v>29</v>
      </c>
      <c r="J27">
        <v>0</v>
      </c>
      <c r="K2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7">
        <f>IF(Games[[#This Row],[Team]]="","",IF(Games[[#This Row],[Conf]]=Games[[#This Row],[OppConf]],1,0))</f>
        <v>1</v>
      </c>
      <c r="P27">
        <f>IF(Games[[#This Row],[Team]]="","",IF(AND(Games[[#This Row],[Conf]]=Games[[#This Row],[OppConf]],Games[[#This Row],[Div]]=Games[[#This Row],[OppDiv]]),1,0))</f>
        <v>1</v>
      </c>
      <c r="Q27">
        <f>IF(Games[[#This Row],[Team]]="","",_xlfn.MINIFS(Games[Date],Games[Season],Games[[#This Row],[Season]]))</f>
        <v>35309</v>
      </c>
      <c r="R27">
        <f>IF(Games[[#This Row],[Team]]="","",INT((Games[[#This Row],[Date]]-(Games[[#This Row],[SeasonStart]]-MOD(WEEKDAY(Games[[#This Row],[SeasonStart]],2)-2,7)))/7)+1)</f>
        <v>1</v>
      </c>
      <c r="S27">
        <f>IF(Games[[#This Row],[Team]]="","",COUNTIFS(Games[Team],Games[[#This Row],[Team]],Games[Season],Games[[#This Row],[Season]],Games[Week],"&lt;="&amp;Games[[#This Row],[Week]]))</f>
        <v>1</v>
      </c>
      <c r="T27">
        <f>IF(Games[[#This Row],[Team]]="","",_xlfn.MAXIFS(Games[Week],Games[Team],Games[[#This Row],[Team]],Games[Season],Games[[#This Row],[Season]],Games[Week],"&lt;"&amp;Games[[#This Row],[Week]]))</f>
        <v>0</v>
      </c>
      <c r="U27">
        <f>IF(Games[[#This Row],[Team]]="","",_xlfn.MAXIFS(Games[Week],Games[Team],Games[[#This Row],[Opponent]],Games[Season],Games[[#This Row],[Season]],Games[Week],"&lt;"&amp;Games[[#This Row],[Week]]))</f>
        <v>0</v>
      </c>
      <c r="V27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7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2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2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0.39784190682528303</v>
      </c>
      <c r="AB27">
        <f>IF(Games[[#This Row],[Team]]="","",Games[[#This Row],[PointsFor]]-Games[[#This Row],[PointsAgainst]])</f>
        <v>-22</v>
      </c>
      <c r="AC27">
        <f>IF(Games[[#This Row],[Team]]="","",IF(Games[[#This Row],[MOV]]&gt;0,1,IF(Games[[#This Row],[MOV]]=0,0.5,0)))</f>
        <v>0</v>
      </c>
      <c r="AD27">
        <f>IF(Games[[#This Row],[Team]]="","",--(OR(AND(Games[[#This Row],[ExpectedWin]]&gt;=0.5,Games[[#This Row],[Result]]=1),AND(Games[[#This Row],[ExpectedWin]]&lt;0.5,Games[[#This Row],[Result]]=0))))</f>
        <v>1</v>
      </c>
      <c r="AE27">
        <f>IF(Games[[#This Row],[Team]]="","",-(Games[[#This Row],[Result]]*LN(Games[[#This Row],[ExpectedWin]])+(1-Games[[#This Row],[Result]])*LN(1-Games[[#This Row],[ExpectedWin]])))</f>
        <v>0.50723525490310062</v>
      </c>
      <c r="AF27">
        <f>IF(Games[[#This Row],[Team]]="","",IF(Games[[#This Row],[Season]]&gt;=2021,17,16))</f>
        <v>16</v>
      </c>
      <c r="AG27">
        <f>IF(Games[[#This Row],[Team]]="","",KMax-(KMax-KFloor)*MIN(Games[[#This Row],[GamesPlayed]],Games[[#This Row],[SeasonLen]])/Games[[#This Row],[SeasonLen]])</f>
        <v>45.387500000000003</v>
      </c>
      <c r="AH27">
        <f>IF(Games[[#This Row],[Team]]="","",((ABS(Games[[#This Row],[MOV]])+3)^0.8)/(7.5+0.006*ABS(Games[[#This Row],[PreGmRate]]-Games[[#This Row],[OppPreGmRate]]))*IF(Games[[#This Row],[OT]]=1,0.7,1))</f>
        <v>1.7510185362691784</v>
      </c>
      <c r="AI2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">
        <f>IF(Games[[#This Row],[Team]]="","",Games[[#This Row],[K]]*IF(Games[[#This Row],[DivG]]=1,DivMult,1)*IF(Games[[#This Row],[ConfG]]=1,ConfMult,1)*Games[[#This Row],[POMult]])</f>
        <v>50.924775000000011</v>
      </c>
      <c r="AK27">
        <f>IF(Games[[#This Row],[Team]]="","",(Games[[#This Row],[Keff]]*Games[[#This Row],[MOVMult]])*(Games[[#This Row],[Result]]-Games[[#This Row],[ExpectedWin]]))</f>
        <v>-35.475652338216861</v>
      </c>
      <c r="AL27">
        <f>IF(Games[[#This Row],[Team]]="","",Games[[#This Row],[PreGmRate]]+Games[[#This Row],[RatingChange]])</f>
        <v>1464.5243476617832</v>
      </c>
      <c r="AM27">
        <f>IF(Games[[#This Row],[Team]]="","",IF(Games[[#This Row],[Type]]="R",IF(Games[[#This Row],[Result]]&gt;0.5,1,0),0))</f>
        <v>0</v>
      </c>
      <c r="AN27">
        <f>IF(Games[[#This Row],[Team]]="","",IF(Games[[#This Row],[Type]]="R",IF(Games[[#This Row],[Result]]&lt;0.5,1,0),0))</f>
        <v>1</v>
      </c>
      <c r="AO27">
        <f>IF(Games[[#This Row],[Team]]="","",IF(Games[[#This Row],[Type]]="R",IF(Games[[#This Row],[Result]]=0.5,1,0),0))</f>
        <v>0</v>
      </c>
    </row>
    <row r="28" spans="1:41" x14ac:dyDescent="0.35">
      <c r="A28" s="8">
        <v>35309</v>
      </c>
      <c r="B28">
        <v>1996</v>
      </c>
      <c r="C28" t="s">
        <v>197</v>
      </c>
      <c r="D28" t="s">
        <v>199</v>
      </c>
      <c r="E28" t="s">
        <v>106</v>
      </c>
      <c r="F28" t="s">
        <v>136</v>
      </c>
      <c r="G28" t="s">
        <v>201</v>
      </c>
      <c r="H28">
        <v>23</v>
      </c>
      <c r="I28">
        <v>20</v>
      </c>
      <c r="J28">
        <v>1</v>
      </c>
      <c r="K2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8">
        <f>IF(Games[[#This Row],[Team]]="","",IF(Games[[#This Row],[Conf]]=Games[[#This Row],[OppConf]],1,0))</f>
        <v>0</v>
      </c>
      <c r="P28">
        <f>IF(Games[[#This Row],[Team]]="","",IF(AND(Games[[#This Row],[Conf]]=Games[[#This Row],[OppConf]],Games[[#This Row],[Div]]=Games[[#This Row],[OppDiv]]),1,0))</f>
        <v>0</v>
      </c>
      <c r="Q28">
        <f>IF(Games[[#This Row],[Team]]="","",_xlfn.MINIFS(Games[Date],Games[Season],Games[[#This Row],[Season]]))</f>
        <v>35309</v>
      </c>
      <c r="R28">
        <f>IF(Games[[#This Row],[Team]]="","",INT((Games[[#This Row],[Date]]-(Games[[#This Row],[SeasonStart]]-MOD(WEEKDAY(Games[[#This Row],[SeasonStart]],2)-2,7)))/7)+1)</f>
        <v>1</v>
      </c>
      <c r="S28">
        <f>IF(Games[[#This Row],[Team]]="","",COUNTIFS(Games[Team],Games[[#This Row],[Team]],Games[Season],Games[[#This Row],[Season]],Games[Week],"&lt;="&amp;Games[[#This Row],[Week]]))</f>
        <v>1</v>
      </c>
      <c r="T28">
        <f>IF(Games[[#This Row],[Team]]="","",_xlfn.MAXIFS(Games[Week],Games[Team],Games[[#This Row],[Team]],Games[Season],Games[[#This Row],[Season]],Games[Week],"&lt;"&amp;Games[[#This Row],[Week]]))</f>
        <v>0</v>
      </c>
      <c r="U28">
        <f>IF(Games[[#This Row],[Team]]="","",_xlfn.MAXIFS(Games[Week],Games[Team],Games[[#This Row],[Opponent]],Games[Season],Games[[#This Row],[Season]],Games[Week],"&lt;"&amp;Games[[#This Row],[Week]]))</f>
        <v>0</v>
      </c>
      <c r="V28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8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2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2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0.39784190682528303</v>
      </c>
      <c r="AB28">
        <f>IF(Games[[#This Row],[Team]]="","",Games[[#This Row],[PointsFor]]-Games[[#This Row],[PointsAgainst]])</f>
        <v>3</v>
      </c>
      <c r="AC28">
        <f>IF(Games[[#This Row],[Team]]="","",IF(Games[[#This Row],[MOV]]&gt;0,1,IF(Games[[#This Row],[MOV]]=0,0.5,0)))</f>
        <v>1</v>
      </c>
      <c r="AD28">
        <f>IF(Games[[#This Row],[Team]]="","",--(OR(AND(Games[[#This Row],[ExpectedWin]]&gt;=0.5,Games[[#This Row],[Result]]=1),AND(Games[[#This Row],[ExpectedWin]]&lt;0.5,Games[[#This Row],[Result]]=0))))</f>
        <v>0</v>
      </c>
      <c r="AE28">
        <f>IF(Games[[#This Row],[Team]]="","",-(Games[[#This Row],[Result]]*LN(Games[[#This Row],[ExpectedWin]])+(1-Games[[#This Row],[Result]])*LN(1-Games[[#This Row],[ExpectedWin]])))</f>
        <v>0.9217005716420289</v>
      </c>
      <c r="AF28">
        <f>IF(Games[[#This Row],[Team]]="","",IF(Games[[#This Row],[Season]]&gt;=2021,17,16))</f>
        <v>16</v>
      </c>
      <c r="AG28">
        <f>IF(Games[[#This Row],[Team]]="","",KMax-(KMax-KFloor)*MIN(Games[[#This Row],[GamesPlayed]],Games[[#This Row],[SeasonLen]])/Games[[#This Row],[SeasonLen]])</f>
        <v>45.387500000000003</v>
      </c>
      <c r="AH28">
        <f>IF(Games[[#This Row],[Team]]="","",((ABS(Games[[#This Row],[MOV]])+3)^0.8)/(7.5+0.006*ABS(Games[[#This Row],[PreGmRate]]-Games[[#This Row],[OppPreGmRate]]))*IF(Games[[#This Row],[OT]]=1,0.7,1))</f>
        <v>0.39134318651208438</v>
      </c>
      <c r="AI2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">
        <f>IF(Games[[#This Row],[Team]]="","",Games[[#This Row],[K]]*IF(Games[[#This Row],[DivG]]=1,DivMult,1)*IF(Games[[#This Row],[ConfG]]=1,ConfMult,1)*Games[[#This Row],[POMult]])</f>
        <v>45.387500000000003</v>
      </c>
      <c r="AK28">
        <f>IF(Games[[#This Row],[Team]]="","",(Games[[#This Row],[Keff]]*Games[[#This Row],[MOVMult]])*(Games[[#This Row],[Result]]-Games[[#This Row],[ExpectedWin]]))</f>
        <v>10.695585569466273</v>
      </c>
      <c r="AL28">
        <f>IF(Games[[#This Row],[Team]]="","",Games[[#This Row],[PreGmRate]]+Games[[#This Row],[RatingChange]])</f>
        <v>1510.6955855694662</v>
      </c>
      <c r="AM28">
        <f>IF(Games[[#This Row],[Team]]="","",IF(Games[[#This Row],[Type]]="R",IF(Games[[#This Row],[Result]]&gt;0.5,1,0),0))</f>
        <v>1</v>
      </c>
      <c r="AN28">
        <f>IF(Games[[#This Row],[Team]]="","",IF(Games[[#This Row],[Type]]="R",IF(Games[[#This Row],[Result]]&lt;0.5,1,0),0))</f>
        <v>0</v>
      </c>
      <c r="AO28">
        <f>IF(Games[[#This Row],[Team]]="","",IF(Games[[#This Row],[Type]]="R",IF(Games[[#This Row],[Result]]=0.5,1,0),0))</f>
        <v>0</v>
      </c>
    </row>
    <row r="29" spans="1:41" x14ac:dyDescent="0.35">
      <c r="A29" s="8">
        <v>35309</v>
      </c>
      <c r="B29">
        <v>1996</v>
      </c>
      <c r="C29" t="s">
        <v>197</v>
      </c>
      <c r="D29" t="s">
        <v>199</v>
      </c>
      <c r="E29" t="s">
        <v>136</v>
      </c>
      <c r="F29" t="s">
        <v>106</v>
      </c>
      <c r="G29" t="s">
        <v>200</v>
      </c>
      <c r="H29">
        <v>20</v>
      </c>
      <c r="I29">
        <v>23</v>
      </c>
      <c r="J29">
        <v>1</v>
      </c>
      <c r="K2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9">
        <f>IF(Games[[#This Row],[Team]]="","",IF(Games[[#This Row],[Conf]]=Games[[#This Row],[OppConf]],1,0))</f>
        <v>0</v>
      </c>
      <c r="P29">
        <f>IF(Games[[#This Row],[Team]]="","",IF(AND(Games[[#This Row],[Conf]]=Games[[#This Row],[OppConf]],Games[[#This Row],[Div]]=Games[[#This Row],[OppDiv]]),1,0))</f>
        <v>0</v>
      </c>
      <c r="Q29">
        <f>IF(Games[[#This Row],[Team]]="","",_xlfn.MINIFS(Games[Date],Games[Season],Games[[#This Row],[Season]]))</f>
        <v>35309</v>
      </c>
      <c r="R29">
        <f>IF(Games[[#This Row],[Team]]="","",INT((Games[[#This Row],[Date]]-(Games[[#This Row],[SeasonStart]]-MOD(WEEKDAY(Games[[#This Row],[SeasonStart]],2)-2,7)))/7)+1)</f>
        <v>1</v>
      </c>
      <c r="S29">
        <f>IF(Games[[#This Row],[Team]]="","",COUNTIFS(Games[Team],Games[[#This Row],[Team]],Games[Season],Games[[#This Row],[Season]],Games[Week],"&lt;="&amp;Games[[#This Row],[Week]]))</f>
        <v>1</v>
      </c>
      <c r="T29">
        <f>IF(Games[[#This Row],[Team]]="","",_xlfn.MAXIFS(Games[Week],Games[Team],Games[[#This Row],[Team]],Games[Season],Games[[#This Row],[Season]],Games[Week],"&lt;"&amp;Games[[#This Row],[Week]]))</f>
        <v>0</v>
      </c>
      <c r="U29">
        <f>IF(Games[[#This Row],[Team]]="","",_xlfn.MAXIFS(Games[Week],Games[Team],Games[[#This Row],[Opponent]],Games[Season],Games[[#This Row],[Season]],Games[Week],"&lt;"&amp;Games[[#This Row],[Week]]))</f>
        <v>0</v>
      </c>
      <c r="V29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9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2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2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0.60215809317471691</v>
      </c>
      <c r="AB29">
        <f>IF(Games[[#This Row],[Team]]="","",Games[[#This Row],[PointsFor]]-Games[[#This Row],[PointsAgainst]])</f>
        <v>-3</v>
      </c>
      <c r="AC29">
        <f>IF(Games[[#This Row],[Team]]="","",IF(Games[[#This Row],[MOV]]&gt;0,1,IF(Games[[#This Row],[MOV]]=0,0.5,0)))</f>
        <v>0</v>
      </c>
      <c r="AD29">
        <f>IF(Games[[#This Row],[Team]]="","",--(OR(AND(Games[[#This Row],[ExpectedWin]]&gt;=0.5,Games[[#This Row],[Result]]=1),AND(Games[[#This Row],[ExpectedWin]]&lt;0.5,Games[[#This Row],[Result]]=0))))</f>
        <v>0</v>
      </c>
      <c r="AE29">
        <f>IF(Games[[#This Row],[Team]]="","",-(Games[[#This Row],[Result]]*LN(Games[[#This Row],[ExpectedWin]])+(1-Games[[#This Row],[Result]])*LN(1-Games[[#This Row],[ExpectedWin]])))</f>
        <v>0.92170057164202879</v>
      </c>
      <c r="AF29">
        <f>IF(Games[[#This Row],[Team]]="","",IF(Games[[#This Row],[Season]]&gt;=2021,17,16))</f>
        <v>16</v>
      </c>
      <c r="AG29">
        <f>IF(Games[[#This Row],[Team]]="","",KMax-(KMax-KFloor)*MIN(Games[[#This Row],[GamesPlayed]],Games[[#This Row],[SeasonLen]])/Games[[#This Row],[SeasonLen]])</f>
        <v>45.387500000000003</v>
      </c>
      <c r="AH29">
        <f>IF(Games[[#This Row],[Team]]="","",((ABS(Games[[#This Row],[MOV]])+3)^0.8)/(7.5+0.006*ABS(Games[[#This Row],[PreGmRate]]-Games[[#This Row],[OppPreGmRate]]))*IF(Games[[#This Row],[OT]]=1,0.7,1))</f>
        <v>0.39134318651208438</v>
      </c>
      <c r="AI2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">
        <f>IF(Games[[#This Row],[Team]]="","",Games[[#This Row],[K]]*IF(Games[[#This Row],[DivG]]=1,DivMult,1)*IF(Games[[#This Row],[ConfG]]=1,ConfMult,1)*Games[[#This Row],[POMult]])</f>
        <v>45.387500000000003</v>
      </c>
      <c r="AK29">
        <f>IF(Games[[#This Row],[Team]]="","",(Games[[#This Row],[Keff]]*Games[[#This Row],[MOVMult]])*(Games[[#This Row],[Result]]-Games[[#This Row],[ExpectedWin]]))</f>
        <v>-10.695585569466271</v>
      </c>
      <c r="AL29">
        <f>IF(Games[[#This Row],[Team]]="","",Games[[#This Row],[PreGmRate]]+Games[[#This Row],[RatingChange]])</f>
        <v>1489.3044144305338</v>
      </c>
      <c r="AM29">
        <f>IF(Games[[#This Row],[Team]]="","",IF(Games[[#This Row],[Type]]="R",IF(Games[[#This Row],[Result]]&gt;0.5,1,0),0))</f>
        <v>0</v>
      </c>
      <c r="AN29">
        <f>IF(Games[[#This Row],[Team]]="","",IF(Games[[#This Row],[Type]]="R",IF(Games[[#This Row],[Result]]&lt;0.5,1,0),0))</f>
        <v>1</v>
      </c>
      <c r="AO29">
        <f>IF(Games[[#This Row],[Team]]="","",IF(Games[[#This Row],[Type]]="R",IF(Games[[#This Row],[Result]]=0.5,1,0),0))</f>
        <v>0</v>
      </c>
    </row>
    <row r="30" spans="1:41" x14ac:dyDescent="0.35">
      <c r="A30" s="8">
        <v>35310</v>
      </c>
      <c r="B30">
        <v>1996</v>
      </c>
      <c r="C30" t="s">
        <v>197</v>
      </c>
      <c r="D30" t="s">
        <v>199</v>
      </c>
      <c r="E30" t="s">
        <v>110</v>
      </c>
      <c r="F30" t="s">
        <v>114</v>
      </c>
      <c r="G30" t="s">
        <v>200</v>
      </c>
      <c r="H30">
        <v>22</v>
      </c>
      <c r="I30">
        <v>6</v>
      </c>
      <c r="J30">
        <v>0</v>
      </c>
      <c r="K3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0">
        <f>IF(Games[[#This Row],[Team]]="","",IF(Games[[#This Row],[Conf]]=Games[[#This Row],[OppConf]],1,0))</f>
        <v>1</v>
      </c>
      <c r="P30">
        <f>IF(Games[[#This Row],[Team]]="","",IF(AND(Games[[#This Row],[Conf]]=Games[[#This Row],[OppConf]],Games[[#This Row],[Div]]=Games[[#This Row],[OppDiv]]),1,0))</f>
        <v>0</v>
      </c>
      <c r="Q30">
        <f>IF(Games[[#This Row],[Team]]="","",_xlfn.MINIFS(Games[Date],Games[Season],Games[[#This Row],[Season]]))</f>
        <v>35309</v>
      </c>
      <c r="R30">
        <f>IF(Games[[#This Row],[Team]]="","",INT((Games[[#This Row],[Date]]-(Games[[#This Row],[SeasonStart]]-MOD(WEEKDAY(Games[[#This Row],[SeasonStart]],2)-2,7)))/7)+1)</f>
        <v>1</v>
      </c>
      <c r="S30">
        <f>IF(Games[[#This Row],[Team]]="","",COUNTIFS(Games[Team],Games[[#This Row],[Team]],Games[Season],Games[[#This Row],[Season]],Games[Week],"&lt;="&amp;Games[[#This Row],[Week]]))</f>
        <v>1</v>
      </c>
      <c r="T30">
        <f>IF(Games[[#This Row],[Team]]="","",_xlfn.MAXIFS(Games[Week],Games[Team],Games[[#This Row],[Team]],Games[Season],Games[[#This Row],[Season]],Games[Week],"&lt;"&amp;Games[[#This Row],[Week]]))</f>
        <v>0</v>
      </c>
      <c r="U30">
        <f>IF(Games[[#This Row],[Team]]="","",_xlfn.MAXIFS(Games[Week],Games[Team],Games[[#This Row],[Opponent]],Games[Season],Games[[#This Row],[Season]],Games[Week],"&lt;"&amp;Games[[#This Row],[Week]]))</f>
        <v>0</v>
      </c>
      <c r="V30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30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3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3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3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0.60215809317471691</v>
      </c>
      <c r="AB30">
        <f>IF(Games[[#This Row],[Team]]="","",Games[[#This Row],[PointsFor]]-Games[[#This Row],[PointsAgainst]])</f>
        <v>16</v>
      </c>
      <c r="AC30">
        <f>IF(Games[[#This Row],[Team]]="","",IF(Games[[#This Row],[MOV]]&gt;0,1,IF(Games[[#This Row],[MOV]]=0,0.5,0)))</f>
        <v>1</v>
      </c>
      <c r="AD30">
        <f>IF(Games[[#This Row],[Team]]="","",--(OR(AND(Games[[#This Row],[ExpectedWin]]&gt;=0.5,Games[[#This Row],[Result]]=1),AND(Games[[#This Row],[ExpectedWin]]&lt;0.5,Games[[#This Row],[Result]]=0))))</f>
        <v>1</v>
      </c>
      <c r="AE30">
        <f>IF(Games[[#This Row],[Team]]="","",-(Games[[#This Row],[Result]]*LN(Games[[#This Row],[ExpectedWin]])+(1-Games[[#This Row],[Result]])*LN(1-Games[[#This Row],[ExpectedWin]])))</f>
        <v>0.50723525490310084</v>
      </c>
      <c r="AF30">
        <f>IF(Games[[#This Row],[Team]]="","",IF(Games[[#This Row],[Season]]&gt;=2021,17,16))</f>
        <v>16</v>
      </c>
      <c r="AG30">
        <f>IF(Games[[#This Row],[Team]]="","",KMax-(KMax-KFloor)*MIN(Games[[#This Row],[GamesPlayed]],Games[[#This Row],[SeasonLen]])/Games[[#This Row],[SeasonLen]])</f>
        <v>45.387500000000003</v>
      </c>
      <c r="AH30">
        <f>IF(Games[[#This Row],[Team]]="","",((ABS(Games[[#This Row],[MOV]])+3)^0.8)/(7.5+0.006*ABS(Games[[#This Row],[PreGmRate]]-Games[[#This Row],[OppPreGmRate]]))*IF(Games[[#This Row],[OT]]=1,0.7,1))</f>
        <v>1.4058585204984975</v>
      </c>
      <c r="AI3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">
        <f>IF(Games[[#This Row],[Team]]="","",Games[[#This Row],[K]]*IF(Games[[#This Row],[DivG]]=1,DivMult,1)*IF(Games[[#This Row],[ConfG]]=1,ConfMult,1)*Games[[#This Row],[POMult]])</f>
        <v>46.295250000000003</v>
      </c>
      <c r="AK30">
        <f>IF(Games[[#This Row],[Team]]="","",(Games[[#This Row],[Keff]]*Games[[#This Row],[MOVMult]])*(Games[[#This Row],[Result]]-Games[[#This Row],[ExpectedWin]]))</f>
        <v>25.893370098540434</v>
      </c>
      <c r="AL30">
        <f>IF(Games[[#This Row],[Team]]="","",Games[[#This Row],[PreGmRate]]+Games[[#This Row],[RatingChange]])</f>
        <v>1525.8933700985403</v>
      </c>
      <c r="AM30">
        <f>IF(Games[[#This Row],[Team]]="","",IF(Games[[#This Row],[Type]]="R",IF(Games[[#This Row],[Result]]&gt;0.5,1,0),0))</f>
        <v>1</v>
      </c>
      <c r="AN30">
        <f>IF(Games[[#This Row],[Team]]="","",IF(Games[[#This Row],[Type]]="R",IF(Games[[#This Row],[Result]]&lt;0.5,1,0),0))</f>
        <v>0</v>
      </c>
      <c r="AO30">
        <f>IF(Games[[#This Row],[Team]]="","",IF(Games[[#This Row],[Type]]="R",IF(Games[[#This Row],[Result]]=0.5,1,0),0))</f>
        <v>0</v>
      </c>
    </row>
    <row r="31" spans="1:41" x14ac:dyDescent="0.35">
      <c r="A31" s="8">
        <v>35310</v>
      </c>
      <c r="B31">
        <v>1996</v>
      </c>
      <c r="C31" t="s">
        <v>197</v>
      </c>
      <c r="D31" t="s">
        <v>199</v>
      </c>
      <c r="E31" t="s">
        <v>114</v>
      </c>
      <c r="F31" t="s">
        <v>110</v>
      </c>
      <c r="G31" t="s">
        <v>201</v>
      </c>
      <c r="H31">
        <v>6</v>
      </c>
      <c r="I31">
        <v>22</v>
      </c>
      <c r="J31">
        <v>0</v>
      </c>
      <c r="K3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1">
        <f>IF(Games[[#This Row],[Team]]="","",IF(Games[[#This Row],[Conf]]=Games[[#This Row],[OppConf]],1,0))</f>
        <v>1</v>
      </c>
      <c r="P31">
        <f>IF(Games[[#This Row],[Team]]="","",IF(AND(Games[[#This Row],[Conf]]=Games[[#This Row],[OppConf]],Games[[#This Row],[Div]]=Games[[#This Row],[OppDiv]]),1,0))</f>
        <v>0</v>
      </c>
      <c r="Q31">
        <f>IF(Games[[#This Row],[Team]]="","",_xlfn.MINIFS(Games[Date],Games[Season],Games[[#This Row],[Season]]))</f>
        <v>35309</v>
      </c>
      <c r="R31">
        <f>IF(Games[[#This Row],[Team]]="","",INT((Games[[#This Row],[Date]]-(Games[[#This Row],[SeasonStart]]-MOD(WEEKDAY(Games[[#This Row],[SeasonStart]],2)-2,7)))/7)+1)</f>
        <v>1</v>
      </c>
      <c r="S31">
        <f>IF(Games[[#This Row],[Team]]="","",COUNTIFS(Games[Team],Games[[#This Row],[Team]],Games[Season],Games[[#This Row],[Season]],Games[Week],"&lt;="&amp;Games[[#This Row],[Week]]))</f>
        <v>1</v>
      </c>
      <c r="T31">
        <f>IF(Games[[#This Row],[Team]]="","",_xlfn.MAXIFS(Games[Week],Games[Team],Games[[#This Row],[Team]],Games[Season],Games[[#This Row],[Season]],Games[Week],"&lt;"&amp;Games[[#This Row],[Week]]))</f>
        <v>0</v>
      </c>
      <c r="U31">
        <f>IF(Games[[#This Row],[Team]]="","",_xlfn.MAXIFS(Games[Week],Games[Team],Games[[#This Row],[Opponent]],Games[Season],Games[[#This Row],[Season]],Games[Week],"&lt;"&amp;Games[[#This Row],[Week]]))</f>
        <v>0</v>
      </c>
      <c r="V31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31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3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</v>
      </c>
      <c r="Z3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</v>
      </c>
      <c r="AA3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0.39784190682528303</v>
      </c>
      <c r="AB31">
        <f>IF(Games[[#This Row],[Team]]="","",Games[[#This Row],[PointsFor]]-Games[[#This Row],[PointsAgainst]])</f>
        <v>-16</v>
      </c>
      <c r="AC31">
        <f>IF(Games[[#This Row],[Team]]="","",IF(Games[[#This Row],[MOV]]&gt;0,1,IF(Games[[#This Row],[MOV]]=0,0.5,0)))</f>
        <v>0</v>
      </c>
      <c r="AD31">
        <f>IF(Games[[#This Row],[Team]]="","",--(OR(AND(Games[[#This Row],[ExpectedWin]]&gt;=0.5,Games[[#This Row],[Result]]=1),AND(Games[[#This Row],[ExpectedWin]]&lt;0.5,Games[[#This Row],[Result]]=0))))</f>
        <v>1</v>
      </c>
      <c r="AE31">
        <f>IF(Games[[#This Row],[Team]]="","",-(Games[[#This Row],[Result]]*LN(Games[[#This Row],[ExpectedWin]])+(1-Games[[#This Row],[Result]])*LN(1-Games[[#This Row],[ExpectedWin]])))</f>
        <v>0.50723525490310062</v>
      </c>
      <c r="AF31">
        <f>IF(Games[[#This Row],[Team]]="","",IF(Games[[#This Row],[Season]]&gt;=2021,17,16))</f>
        <v>16</v>
      </c>
      <c r="AG31">
        <f>IF(Games[[#This Row],[Team]]="","",KMax-(KMax-KFloor)*MIN(Games[[#This Row],[GamesPlayed]],Games[[#This Row],[SeasonLen]])/Games[[#This Row],[SeasonLen]])</f>
        <v>45.387500000000003</v>
      </c>
      <c r="AH31">
        <f>IF(Games[[#This Row],[Team]]="","",((ABS(Games[[#This Row],[MOV]])+3)^0.8)/(7.5+0.006*ABS(Games[[#This Row],[PreGmRate]]-Games[[#This Row],[OppPreGmRate]]))*IF(Games[[#This Row],[OT]]=1,0.7,1))</f>
        <v>1.4058585204984975</v>
      </c>
      <c r="AI3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">
        <f>IF(Games[[#This Row],[Team]]="","",Games[[#This Row],[K]]*IF(Games[[#This Row],[DivG]]=1,DivMult,1)*IF(Games[[#This Row],[ConfG]]=1,ConfMult,1)*Games[[#This Row],[POMult]])</f>
        <v>46.295250000000003</v>
      </c>
      <c r="AK31">
        <f>IF(Games[[#This Row],[Team]]="","",(Games[[#This Row],[Keff]]*Games[[#This Row],[MOVMult]])*(Games[[#This Row],[Result]]-Games[[#This Row],[ExpectedWin]]))</f>
        <v>-25.89337009854043</v>
      </c>
      <c r="AL31">
        <f>IF(Games[[#This Row],[Team]]="","",Games[[#This Row],[PreGmRate]]+Games[[#This Row],[RatingChange]])</f>
        <v>1474.1066299014597</v>
      </c>
      <c r="AM31">
        <f>IF(Games[[#This Row],[Team]]="","",IF(Games[[#This Row],[Type]]="R",IF(Games[[#This Row],[Result]]&gt;0.5,1,0),0))</f>
        <v>0</v>
      </c>
      <c r="AN31">
        <f>IF(Games[[#This Row],[Team]]="","",IF(Games[[#This Row],[Type]]="R",IF(Games[[#This Row],[Result]]&lt;0.5,1,0),0))</f>
        <v>1</v>
      </c>
      <c r="AO31">
        <f>IF(Games[[#This Row],[Team]]="","",IF(Games[[#This Row],[Type]]="R",IF(Games[[#This Row],[Result]]=0.5,1,0),0))</f>
        <v>0</v>
      </c>
    </row>
    <row r="32" spans="1:41" x14ac:dyDescent="0.35">
      <c r="A32" s="8">
        <v>35316</v>
      </c>
      <c r="B32">
        <v>1996</v>
      </c>
      <c r="C32" t="s">
        <v>197</v>
      </c>
      <c r="D32" t="s">
        <v>199</v>
      </c>
      <c r="E32" t="s">
        <v>130</v>
      </c>
      <c r="F32" t="s">
        <v>98</v>
      </c>
      <c r="G32" t="s">
        <v>201</v>
      </c>
      <c r="H32">
        <v>23</v>
      </c>
      <c r="I32">
        <v>17</v>
      </c>
      <c r="J32">
        <v>0</v>
      </c>
      <c r="K3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2">
        <f>IF(Games[[#This Row],[Team]]="","",IF(Games[[#This Row],[Conf]]=Games[[#This Row],[OppConf]],1,0))</f>
        <v>1</v>
      </c>
      <c r="P32">
        <f>IF(Games[[#This Row],[Team]]="","",IF(AND(Games[[#This Row],[Conf]]=Games[[#This Row],[OppConf]],Games[[#This Row],[Div]]=Games[[#This Row],[OppDiv]]),1,0))</f>
        <v>0</v>
      </c>
      <c r="Q32">
        <f>IF(Games[[#This Row],[Team]]="","",_xlfn.MINIFS(Games[Date],Games[Season],Games[[#This Row],[Season]]))</f>
        <v>35309</v>
      </c>
      <c r="R32">
        <f>IF(Games[[#This Row],[Team]]="","",INT((Games[[#This Row],[Date]]-(Games[[#This Row],[SeasonStart]]-MOD(WEEKDAY(Games[[#This Row],[SeasonStart]],2)-2,7)))/7)+1)</f>
        <v>2</v>
      </c>
      <c r="S32">
        <f>IF(Games[[#This Row],[Team]]="","",COUNTIFS(Games[Team],Games[[#This Row],[Team]],Games[Season],Games[[#This Row],[Season]],Games[Week],"&lt;="&amp;Games[[#This Row],[Week]]))</f>
        <v>2</v>
      </c>
      <c r="T32">
        <f>IF(Games[[#This Row],[Team]]="","",_xlfn.MAXIFS(Games[Week],Games[Team],Games[[#This Row],[Team]],Games[Season],Games[[#This Row],[Season]],Games[Week],"&lt;"&amp;Games[[#This Row],[Week]]))</f>
        <v>1</v>
      </c>
      <c r="U32">
        <f>IF(Games[[#This Row],[Team]]="","",_xlfn.MAXIFS(Games[Week],Games[Team],Games[[#This Row],[Opponent]],Games[Season],Games[[#This Row],[Season]],Games[Week],"&lt;"&amp;Games[[#This Row],[Week]]))</f>
        <v>1</v>
      </c>
      <c r="V3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1512.8131766972738</v>
      </c>
      <c r="Z3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1463.3935965749083</v>
      </c>
      <c r="AA3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0.4675498396956797</v>
      </c>
      <c r="AB32">
        <f>IF(Games[[#This Row],[Team]]="","",Games[[#This Row],[PointsFor]]-Games[[#This Row],[PointsAgainst]])</f>
        <v>6</v>
      </c>
      <c r="AC32">
        <f>IF(Games[[#This Row],[Team]]="","",IF(Games[[#This Row],[MOV]]&gt;0,1,IF(Games[[#This Row],[MOV]]=0,0.5,0)))</f>
        <v>1</v>
      </c>
      <c r="AD32">
        <f>IF(Games[[#This Row],[Team]]="","",--(OR(AND(Games[[#This Row],[ExpectedWin]]&gt;=0.5,Games[[#This Row],[Result]]=1),AND(Games[[#This Row],[ExpectedWin]]&lt;0.5,Games[[#This Row],[Result]]=0))))</f>
        <v>0</v>
      </c>
      <c r="AE32">
        <f>IF(Games[[#This Row],[Team]]="","",-(Games[[#This Row],[Result]]*LN(Games[[#This Row],[ExpectedWin]])+(1-Games[[#This Row],[Result]])*LN(1-Games[[#This Row],[ExpectedWin]])))</f>
        <v>0.76024932696101233</v>
      </c>
      <c r="AF32">
        <f>IF(Games[[#This Row],[Team]]="","",IF(Games[[#This Row],[Season]]&gt;=2021,17,16))</f>
        <v>16</v>
      </c>
      <c r="AG32">
        <f>IF(Games[[#This Row],[Team]]="","",KMax-(KMax-KFloor)*MIN(Games[[#This Row],[GamesPlayed]],Games[[#This Row],[SeasonLen]])/Games[[#This Row],[SeasonLen]])</f>
        <v>44.774999999999999</v>
      </c>
      <c r="AH32">
        <f>IF(Games[[#This Row],[Team]]="","",((ABS(Games[[#This Row],[MOV]])+3)^0.8)/(7.5+0.006*ABS(Games[[#This Row],[PreGmRate]]-Games[[#This Row],[OppPreGmRate]]))*IF(Games[[#This Row],[OT]]=1,0.7,1))</f>
        <v>0.74386367363716221</v>
      </c>
      <c r="AI3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">
        <f>IF(Games[[#This Row],[Team]]="","",Games[[#This Row],[K]]*IF(Games[[#This Row],[DivG]]=1,DivMult,1)*IF(Games[[#This Row],[ConfG]]=1,ConfMult,1)*Games[[#This Row],[POMult]])</f>
        <v>45.670499999999997</v>
      </c>
      <c r="AK32">
        <f>IF(Games[[#This Row],[Team]]="","",(Games[[#This Row],[Keff]]*Games[[#This Row],[MOVMult]])*(Games[[#This Row],[Result]]-Games[[#This Row],[ExpectedWin]]))</f>
        <v>18.088730110058865</v>
      </c>
      <c r="AL32">
        <f>IF(Games[[#This Row],[Team]]="","",Games[[#This Row],[PreGmRate]]+Games[[#This Row],[RatingChange]])</f>
        <v>1530.9019068073326</v>
      </c>
      <c r="AM32">
        <f>IF(Games[[#This Row],[Team]]="","",IF(Games[[#This Row],[Type]]="R",IF(Games[[#This Row],[Result]]&gt;0.5,1,0),0))</f>
        <v>1</v>
      </c>
      <c r="AN32">
        <f>IF(Games[[#This Row],[Team]]="","",IF(Games[[#This Row],[Type]]="R",IF(Games[[#This Row],[Result]]&lt;0.5,1,0),0))</f>
        <v>0</v>
      </c>
      <c r="AO32">
        <f>IF(Games[[#This Row],[Team]]="","",IF(Games[[#This Row],[Type]]="R",IF(Games[[#This Row],[Result]]=0.5,1,0),0))</f>
        <v>0</v>
      </c>
    </row>
    <row r="33" spans="1:41" x14ac:dyDescent="0.35">
      <c r="A33" s="8">
        <v>35316</v>
      </c>
      <c r="B33">
        <v>1996</v>
      </c>
      <c r="C33" t="s">
        <v>197</v>
      </c>
      <c r="D33" t="s">
        <v>199</v>
      </c>
      <c r="E33" t="s">
        <v>98</v>
      </c>
      <c r="F33" t="s">
        <v>130</v>
      </c>
      <c r="G33" t="s">
        <v>200</v>
      </c>
      <c r="H33">
        <v>17</v>
      </c>
      <c r="I33">
        <v>23</v>
      </c>
      <c r="J33">
        <v>0</v>
      </c>
      <c r="K3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3">
        <f>IF(Games[[#This Row],[Team]]="","",IF(Games[[#This Row],[Conf]]=Games[[#This Row],[OppConf]],1,0))</f>
        <v>1</v>
      </c>
      <c r="P33">
        <f>IF(Games[[#This Row],[Team]]="","",IF(AND(Games[[#This Row],[Conf]]=Games[[#This Row],[OppConf]],Games[[#This Row],[Div]]=Games[[#This Row],[OppDiv]]),1,0))</f>
        <v>0</v>
      </c>
      <c r="Q33">
        <f>IF(Games[[#This Row],[Team]]="","",_xlfn.MINIFS(Games[Date],Games[Season],Games[[#This Row],[Season]]))</f>
        <v>35309</v>
      </c>
      <c r="R33">
        <f>IF(Games[[#This Row],[Team]]="","",INT((Games[[#This Row],[Date]]-(Games[[#This Row],[SeasonStart]]-MOD(WEEKDAY(Games[[#This Row],[SeasonStart]],2)-2,7)))/7)+1)</f>
        <v>2</v>
      </c>
      <c r="S33">
        <f>IF(Games[[#This Row],[Team]]="","",COUNTIFS(Games[Team],Games[[#This Row],[Team]],Games[Season],Games[[#This Row],[Season]],Games[Week],"&lt;="&amp;Games[[#This Row],[Week]]))</f>
        <v>2</v>
      </c>
      <c r="T33">
        <f>IF(Games[[#This Row],[Team]]="","",_xlfn.MAXIFS(Games[Week],Games[Team],Games[[#This Row],[Team]],Games[Season],Games[[#This Row],[Season]],Games[Week],"&lt;"&amp;Games[[#This Row],[Week]]))</f>
        <v>1</v>
      </c>
      <c r="U33">
        <f>IF(Games[[#This Row],[Team]]="","",_xlfn.MAXIFS(Games[Week],Games[Team],Games[[#This Row],[Opponent]],Games[Season],Games[[#This Row],[Season]],Games[Week],"&lt;"&amp;Games[[#This Row],[Week]]))</f>
        <v>1</v>
      </c>
      <c r="V3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1463.3935965749083</v>
      </c>
      <c r="Z3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1512.8131766972738</v>
      </c>
      <c r="AA3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0.53245016030432024</v>
      </c>
      <c r="AB33">
        <f>IF(Games[[#This Row],[Team]]="","",Games[[#This Row],[PointsFor]]-Games[[#This Row],[PointsAgainst]])</f>
        <v>-6</v>
      </c>
      <c r="AC33">
        <f>IF(Games[[#This Row],[Team]]="","",IF(Games[[#This Row],[MOV]]&gt;0,1,IF(Games[[#This Row],[MOV]]=0,0.5,0)))</f>
        <v>0</v>
      </c>
      <c r="AD33">
        <f>IF(Games[[#This Row],[Team]]="","",--(OR(AND(Games[[#This Row],[ExpectedWin]]&gt;=0.5,Games[[#This Row],[Result]]=1),AND(Games[[#This Row],[ExpectedWin]]&lt;0.5,Games[[#This Row],[Result]]=0))))</f>
        <v>0</v>
      </c>
      <c r="AE33">
        <f>IF(Games[[#This Row],[Team]]="","",-(Games[[#This Row],[Result]]*LN(Games[[#This Row],[ExpectedWin]])+(1-Games[[#This Row],[Result]])*LN(1-Games[[#This Row],[ExpectedWin]])))</f>
        <v>0.76024932696101222</v>
      </c>
      <c r="AF33">
        <f>IF(Games[[#This Row],[Team]]="","",IF(Games[[#This Row],[Season]]&gt;=2021,17,16))</f>
        <v>16</v>
      </c>
      <c r="AG33">
        <f>IF(Games[[#This Row],[Team]]="","",KMax-(KMax-KFloor)*MIN(Games[[#This Row],[GamesPlayed]],Games[[#This Row],[SeasonLen]])/Games[[#This Row],[SeasonLen]])</f>
        <v>44.774999999999999</v>
      </c>
      <c r="AH33">
        <f>IF(Games[[#This Row],[Team]]="","",((ABS(Games[[#This Row],[MOV]])+3)^0.8)/(7.5+0.006*ABS(Games[[#This Row],[PreGmRate]]-Games[[#This Row],[OppPreGmRate]]))*IF(Games[[#This Row],[OT]]=1,0.7,1))</f>
        <v>0.74386367363716221</v>
      </c>
      <c r="AI3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">
        <f>IF(Games[[#This Row],[Team]]="","",Games[[#This Row],[K]]*IF(Games[[#This Row],[DivG]]=1,DivMult,1)*IF(Games[[#This Row],[ConfG]]=1,ConfMult,1)*Games[[#This Row],[POMult]])</f>
        <v>45.670499999999997</v>
      </c>
      <c r="AK33">
        <f>IF(Games[[#This Row],[Team]]="","",(Games[[#This Row],[Keff]]*Games[[#This Row],[MOVMult]])*(Games[[#This Row],[Result]]-Games[[#This Row],[ExpectedWin]]))</f>
        <v>-18.088730110058862</v>
      </c>
      <c r="AL33">
        <f>IF(Games[[#This Row],[Team]]="","",Games[[#This Row],[PreGmRate]]+Games[[#This Row],[RatingChange]])</f>
        <v>1445.3048664648495</v>
      </c>
      <c r="AM33">
        <f>IF(Games[[#This Row],[Team]]="","",IF(Games[[#This Row],[Type]]="R",IF(Games[[#This Row],[Result]]&gt;0.5,1,0),0))</f>
        <v>0</v>
      </c>
      <c r="AN33">
        <f>IF(Games[[#This Row],[Team]]="","",IF(Games[[#This Row],[Type]]="R",IF(Games[[#This Row],[Result]]&lt;0.5,1,0),0))</f>
        <v>1</v>
      </c>
      <c r="AO33">
        <f>IF(Games[[#This Row],[Team]]="","",IF(Games[[#This Row],[Type]]="R",IF(Games[[#This Row],[Result]]=0.5,1,0),0))</f>
        <v>0</v>
      </c>
    </row>
    <row r="34" spans="1:41" x14ac:dyDescent="0.35">
      <c r="A34" s="8">
        <v>35316</v>
      </c>
      <c r="B34">
        <v>1996</v>
      </c>
      <c r="C34" t="s">
        <v>197</v>
      </c>
      <c r="D34" t="s">
        <v>199</v>
      </c>
      <c r="E34" t="s">
        <v>106</v>
      </c>
      <c r="F34" t="s">
        <v>132</v>
      </c>
      <c r="G34" t="s">
        <v>200</v>
      </c>
      <c r="H34">
        <v>17</v>
      </c>
      <c r="I34">
        <v>10</v>
      </c>
      <c r="J34">
        <v>0</v>
      </c>
      <c r="K3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4">
        <f>IF(Games[[#This Row],[Team]]="","",IF(Games[[#This Row],[Conf]]=Games[[#This Row],[OppConf]],1,0))</f>
        <v>1</v>
      </c>
      <c r="P34">
        <f>IF(Games[[#This Row],[Team]]="","",IF(AND(Games[[#This Row],[Conf]]=Games[[#This Row],[OppConf]],Games[[#This Row],[Div]]=Games[[#This Row],[OppDiv]]),1,0))</f>
        <v>1</v>
      </c>
      <c r="Q34">
        <f>IF(Games[[#This Row],[Team]]="","",_xlfn.MINIFS(Games[Date],Games[Season],Games[[#This Row],[Season]]))</f>
        <v>35309</v>
      </c>
      <c r="R34">
        <f>IF(Games[[#This Row],[Team]]="","",INT((Games[[#This Row],[Date]]-(Games[[#This Row],[SeasonStart]]-MOD(WEEKDAY(Games[[#This Row],[SeasonStart]],2)-2,7)))/7)+1)</f>
        <v>2</v>
      </c>
      <c r="S34">
        <f>IF(Games[[#This Row],[Team]]="","",COUNTIFS(Games[Team],Games[[#This Row],[Team]],Games[Season],Games[[#This Row],[Season]],Games[Week],"&lt;="&amp;Games[[#This Row],[Week]]))</f>
        <v>2</v>
      </c>
      <c r="T34">
        <f>IF(Games[[#This Row],[Team]]="","",_xlfn.MAXIFS(Games[Week],Games[Team],Games[[#This Row],[Team]],Games[Season],Games[[#This Row],[Season]],Games[Week],"&lt;"&amp;Games[[#This Row],[Week]]))</f>
        <v>1</v>
      </c>
      <c r="U34">
        <f>IF(Games[[#This Row],[Team]]="","",_xlfn.MAXIFS(Games[Week],Games[Team],Games[[#This Row],[Opponent]],Games[Season],Games[[#This Row],[Season]],Games[Week],"&lt;"&amp;Games[[#This Row],[Week]]))</f>
        <v>1</v>
      </c>
      <c r="V3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1510.6955855694662</v>
      </c>
      <c r="Z3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1473.9422135673424</v>
      </c>
      <c r="AA3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0.65158980712288705</v>
      </c>
      <c r="AB34">
        <f>IF(Games[[#This Row],[Team]]="","",Games[[#This Row],[PointsFor]]-Games[[#This Row],[PointsAgainst]])</f>
        <v>7</v>
      </c>
      <c r="AC34">
        <f>IF(Games[[#This Row],[Team]]="","",IF(Games[[#This Row],[MOV]]&gt;0,1,IF(Games[[#This Row],[MOV]]=0,0.5,0)))</f>
        <v>1</v>
      </c>
      <c r="AD34">
        <f>IF(Games[[#This Row],[Team]]="","",--(OR(AND(Games[[#This Row],[ExpectedWin]]&gt;=0.5,Games[[#This Row],[Result]]=1),AND(Games[[#This Row],[ExpectedWin]]&lt;0.5,Games[[#This Row],[Result]]=0))))</f>
        <v>1</v>
      </c>
      <c r="AE34">
        <f>IF(Games[[#This Row],[Team]]="","",-(Games[[#This Row],[Result]]*LN(Games[[#This Row],[ExpectedWin]])+(1-Games[[#This Row],[Result]])*LN(1-Games[[#This Row],[ExpectedWin]])))</f>
        <v>0.42834004522054009</v>
      </c>
      <c r="AF34">
        <f>IF(Games[[#This Row],[Team]]="","",IF(Games[[#This Row],[Season]]&gt;=2021,17,16))</f>
        <v>16</v>
      </c>
      <c r="AG34">
        <f>IF(Games[[#This Row],[Team]]="","",KMax-(KMax-KFloor)*MIN(Games[[#This Row],[GamesPlayed]],Games[[#This Row],[SeasonLen]])/Games[[#This Row],[SeasonLen]])</f>
        <v>44.774999999999999</v>
      </c>
      <c r="AH34">
        <f>IF(Games[[#This Row],[Team]]="","",((ABS(Games[[#This Row],[MOV]])+3)^0.8)/(7.5+0.006*ABS(Games[[#This Row],[PreGmRate]]-Games[[#This Row],[OppPreGmRate]]))*IF(Games[[#This Row],[OT]]=1,0.7,1))</f>
        <v>0.81724718739024993</v>
      </c>
      <c r="AI3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">
        <f>IF(Games[[#This Row],[Team]]="","",Games[[#This Row],[K]]*IF(Games[[#This Row],[DivG]]=1,DivMult,1)*IF(Games[[#This Row],[ConfG]]=1,ConfMult,1)*Games[[#This Row],[POMult]])</f>
        <v>50.237550000000006</v>
      </c>
      <c r="AK34">
        <f>IF(Games[[#This Row],[Team]]="","",(Games[[#This Row],[Keff]]*Games[[#This Row],[MOVMult]])*(Games[[#This Row],[Result]]-Games[[#This Row],[ExpectedWin]]))</f>
        <v>14.304501843127655</v>
      </c>
      <c r="AL34">
        <f>IF(Games[[#This Row],[Team]]="","",Games[[#This Row],[PreGmRate]]+Games[[#This Row],[RatingChange]])</f>
        <v>1525.0000874125938</v>
      </c>
      <c r="AM34">
        <f>IF(Games[[#This Row],[Team]]="","",IF(Games[[#This Row],[Type]]="R",IF(Games[[#This Row],[Result]]&gt;0.5,1,0),0))</f>
        <v>1</v>
      </c>
      <c r="AN34">
        <f>IF(Games[[#This Row],[Team]]="","",IF(Games[[#This Row],[Type]]="R",IF(Games[[#This Row],[Result]]&lt;0.5,1,0),0))</f>
        <v>0</v>
      </c>
      <c r="AO34">
        <f>IF(Games[[#This Row],[Team]]="","",IF(Games[[#This Row],[Type]]="R",IF(Games[[#This Row],[Result]]=0.5,1,0),0))</f>
        <v>0</v>
      </c>
    </row>
    <row r="35" spans="1:41" x14ac:dyDescent="0.35">
      <c r="A35" s="8">
        <v>35316</v>
      </c>
      <c r="B35">
        <v>1996</v>
      </c>
      <c r="C35" t="s">
        <v>197</v>
      </c>
      <c r="D35" t="s">
        <v>199</v>
      </c>
      <c r="E35" t="s">
        <v>132</v>
      </c>
      <c r="F35" t="s">
        <v>106</v>
      </c>
      <c r="G35" t="s">
        <v>201</v>
      </c>
      <c r="H35">
        <v>10</v>
      </c>
      <c r="I35">
        <v>17</v>
      </c>
      <c r="J35">
        <v>0</v>
      </c>
      <c r="K3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5">
        <f>IF(Games[[#This Row],[Team]]="","",IF(Games[[#This Row],[Conf]]=Games[[#This Row],[OppConf]],1,0))</f>
        <v>1</v>
      </c>
      <c r="P35">
        <f>IF(Games[[#This Row],[Team]]="","",IF(AND(Games[[#This Row],[Conf]]=Games[[#This Row],[OppConf]],Games[[#This Row],[Div]]=Games[[#This Row],[OppDiv]]),1,0))</f>
        <v>1</v>
      </c>
      <c r="Q35">
        <f>IF(Games[[#This Row],[Team]]="","",_xlfn.MINIFS(Games[Date],Games[Season],Games[[#This Row],[Season]]))</f>
        <v>35309</v>
      </c>
      <c r="R35">
        <f>IF(Games[[#This Row],[Team]]="","",INT((Games[[#This Row],[Date]]-(Games[[#This Row],[SeasonStart]]-MOD(WEEKDAY(Games[[#This Row],[SeasonStart]],2)-2,7)))/7)+1)</f>
        <v>2</v>
      </c>
      <c r="S35">
        <f>IF(Games[[#This Row],[Team]]="","",COUNTIFS(Games[Team],Games[[#This Row],[Team]],Games[Season],Games[[#This Row],[Season]],Games[Week],"&lt;="&amp;Games[[#This Row],[Week]]))</f>
        <v>2</v>
      </c>
      <c r="T35">
        <f>IF(Games[[#This Row],[Team]]="","",_xlfn.MAXIFS(Games[Week],Games[Team],Games[[#This Row],[Team]],Games[Season],Games[[#This Row],[Season]],Games[Week],"&lt;"&amp;Games[[#This Row],[Week]]))</f>
        <v>1</v>
      </c>
      <c r="U35">
        <f>IF(Games[[#This Row],[Team]]="","",_xlfn.MAXIFS(Games[Week],Games[Team],Games[[#This Row],[Opponent]],Games[Season],Games[[#This Row],[Season]],Games[Week],"&lt;"&amp;Games[[#This Row],[Week]]))</f>
        <v>1</v>
      </c>
      <c r="V3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1473.9422135673424</v>
      </c>
      <c r="Z3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1510.6955855694662</v>
      </c>
      <c r="AA3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0.34841019287711295</v>
      </c>
      <c r="AB35">
        <f>IF(Games[[#This Row],[Team]]="","",Games[[#This Row],[PointsFor]]-Games[[#This Row],[PointsAgainst]])</f>
        <v>-7</v>
      </c>
      <c r="AC35">
        <f>IF(Games[[#This Row],[Team]]="","",IF(Games[[#This Row],[MOV]]&gt;0,1,IF(Games[[#This Row],[MOV]]=0,0.5,0)))</f>
        <v>0</v>
      </c>
      <c r="AD35">
        <f>IF(Games[[#This Row],[Team]]="","",--(OR(AND(Games[[#This Row],[ExpectedWin]]&gt;=0.5,Games[[#This Row],[Result]]=1),AND(Games[[#This Row],[ExpectedWin]]&lt;0.5,Games[[#This Row],[Result]]=0))))</f>
        <v>1</v>
      </c>
      <c r="AE35">
        <f>IF(Games[[#This Row],[Team]]="","",-(Games[[#This Row],[Result]]*LN(Games[[#This Row],[ExpectedWin]])+(1-Games[[#This Row],[Result]])*LN(1-Games[[#This Row],[ExpectedWin]])))</f>
        <v>0.42834004522054009</v>
      </c>
      <c r="AF35">
        <f>IF(Games[[#This Row],[Team]]="","",IF(Games[[#This Row],[Season]]&gt;=2021,17,16))</f>
        <v>16</v>
      </c>
      <c r="AG35">
        <f>IF(Games[[#This Row],[Team]]="","",KMax-(KMax-KFloor)*MIN(Games[[#This Row],[GamesPlayed]],Games[[#This Row],[SeasonLen]])/Games[[#This Row],[SeasonLen]])</f>
        <v>44.774999999999999</v>
      </c>
      <c r="AH35">
        <f>IF(Games[[#This Row],[Team]]="","",((ABS(Games[[#This Row],[MOV]])+3)^0.8)/(7.5+0.006*ABS(Games[[#This Row],[PreGmRate]]-Games[[#This Row],[OppPreGmRate]]))*IF(Games[[#This Row],[OT]]=1,0.7,1))</f>
        <v>0.81724718739024993</v>
      </c>
      <c r="AI3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">
        <f>IF(Games[[#This Row],[Team]]="","",Games[[#This Row],[K]]*IF(Games[[#This Row],[DivG]]=1,DivMult,1)*IF(Games[[#This Row],[ConfG]]=1,ConfMult,1)*Games[[#This Row],[POMult]])</f>
        <v>50.237550000000006</v>
      </c>
      <c r="AK35">
        <f>IF(Games[[#This Row],[Team]]="","",(Games[[#This Row],[Keff]]*Games[[#This Row],[MOVMult]])*(Games[[#This Row],[Result]]-Games[[#This Row],[ExpectedWin]]))</f>
        <v>-14.304501843127655</v>
      </c>
      <c r="AL35">
        <f>IF(Games[[#This Row],[Team]]="","",Games[[#This Row],[PreGmRate]]+Games[[#This Row],[RatingChange]])</f>
        <v>1459.6377117242148</v>
      </c>
      <c r="AM35">
        <f>IF(Games[[#This Row],[Team]]="","",IF(Games[[#This Row],[Type]]="R",IF(Games[[#This Row],[Result]]&gt;0.5,1,0),0))</f>
        <v>0</v>
      </c>
      <c r="AN35">
        <f>IF(Games[[#This Row],[Team]]="","",IF(Games[[#This Row],[Type]]="R",IF(Games[[#This Row],[Result]]&lt;0.5,1,0),0))</f>
        <v>1</v>
      </c>
      <c r="AO35">
        <f>IF(Games[[#This Row],[Team]]="","",IF(Games[[#This Row],[Type]]="R",IF(Games[[#This Row],[Result]]=0.5,1,0),0))</f>
        <v>0</v>
      </c>
    </row>
    <row r="36" spans="1:41" x14ac:dyDescent="0.35">
      <c r="A36" s="8">
        <v>35316</v>
      </c>
      <c r="B36">
        <v>1996</v>
      </c>
      <c r="C36" t="s">
        <v>197</v>
      </c>
      <c r="D36" t="s">
        <v>199</v>
      </c>
      <c r="E36" t="s">
        <v>108</v>
      </c>
      <c r="F36" t="s">
        <v>134</v>
      </c>
      <c r="G36" t="s">
        <v>201</v>
      </c>
      <c r="H36">
        <v>22</v>
      </c>
      <c r="I36">
        <v>20</v>
      </c>
      <c r="J36">
        <v>0</v>
      </c>
      <c r="K3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6">
        <f>IF(Games[[#This Row],[Team]]="","",IF(Games[[#This Row],[Conf]]=Games[[#This Row],[OppConf]],1,0))</f>
        <v>1</v>
      </c>
      <c r="P36">
        <f>IF(Games[[#This Row],[Team]]="","",IF(AND(Games[[#This Row],[Conf]]=Games[[#This Row],[OppConf]],Games[[#This Row],[Div]]=Games[[#This Row],[OppDiv]]),1,0))</f>
        <v>1</v>
      </c>
      <c r="Q36">
        <f>IF(Games[[#This Row],[Team]]="","",_xlfn.MINIFS(Games[Date],Games[Season],Games[[#This Row],[Season]]))</f>
        <v>35309</v>
      </c>
      <c r="R36">
        <f>IF(Games[[#This Row],[Team]]="","",INT((Games[[#This Row],[Date]]-(Games[[#This Row],[SeasonStart]]-MOD(WEEKDAY(Games[[#This Row],[SeasonStart]],2)-2,7)))/7)+1)</f>
        <v>2</v>
      </c>
      <c r="S36">
        <f>IF(Games[[#This Row],[Team]]="","",COUNTIFS(Games[Team],Games[[#This Row],[Team]],Games[Season],Games[[#This Row],[Season]],Games[Week],"&lt;="&amp;Games[[#This Row],[Week]]))</f>
        <v>2</v>
      </c>
      <c r="T36">
        <f>IF(Games[[#This Row],[Team]]="","",_xlfn.MAXIFS(Games[Week],Games[Team],Games[[#This Row],[Team]],Games[Season],Games[[#This Row],[Season]],Games[Week],"&lt;"&amp;Games[[#This Row],[Week]]))</f>
        <v>1</v>
      </c>
      <c r="U36">
        <f>IF(Games[[#This Row],[Team]]="","",_xlfn.MAXIFS(Games[Week],Games[Team],Games[[#This Row],[Opponent]],Games[Season],Games[[#This Row],[Season]],Games[Week],"&lt;"&amp;Games[[#This Row],[Week]]))</f>
        <v>1</v>
      </c>
      <c r="V3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1536.6064034250917</v>
      </c>
      <c r="Z3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1471.5172928916056</v>
      </c>
      <c r="AA3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0.49005574205625724</v>
      </c>
      <c r="AB36">
        <f>IF(Games[[#This Row],[Team]]="","",Games[[#This Row],[PointsFor]]-Games[[#This Row],[PointsAgainst]])</f>
        <v>2</v>
      </c>
      <c r="AC36">
        <f>IF(Games[[#This Row],[Team]]="","",IF(Games[[#This Row],[MOV]]&gt;0,1,IF(Games[[#This Row],[MOV]]=0,0.5,0)))</f>
        <v>1</v>
      </c>
      <c r="AD36">
        <f>IF(Games[[#This Row],[Team]]="","",--(OR(AND(Games[[#This Row],[ExpectedWin]]&gt;=0.5,Games[[#This Row],[Result]]=1),AND(Games[[#This Row],[ExpectedWin]]&lt;0.5,Games[[#This Row],[Result]]=0))))</f>
        <v>0</v>
      </c>
      <c r="AE36">
        <f>IF(Games[[#This Row],[Team]]="","",-(Games[[#This Row],[Result]]*LN(Games[[#This Row],[ExpectedWin]])+(1-Games[[#This Row],[Result]])*LN(1-Games[[#This Row],[ExpectedWin]])))</f>
        <v>0.7132361350490789</v>
      </c>
      <c r="AF36">
        <f>IF(Games[[#This Row],[Team]]="","",IF(Games[[#This Row],[Season]]&gt;=2021,17,16))</f>
        <v>16</v>
      </c>
      <c r="AG36">
        <f>IF(Games[[#This Row],[Team]]="","",KMax-(KMax-KFloor)*MIN(Games[[#This Row],[GamesPlayed]],Games[[#This Row],[SeasonLen]])/Games[[#This Row],[SeasonLen]])</f>
        <v>44.774999999999999</v>
      </c>
      <c r="AH36">
        <f>IF(Games[[#This Row],[Team]]="","",((ABS(Games[[#This Row],[MOV]])+3)^0.8)/(7.5+0.006*ABS(Games[[#This Row],[PreGmRate]]-Games[[#This Row],[OppPreGmRate]]))*IF(Games[[#This Row],[OT]]=1,0.7,1))</f>
        <v>0.45927157956598952</v>
      </c>
      <c r="AI3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">
        <f>IF(Games[[#This Row],[Team]]="","",Games[[#This Row],[K]]*IF(Games[[#This Row],[DivG]]=1,DivMult,1)*IF(Games[[#This Row],[ConfG]]=1,ConfMult,1)*Games[[#This Row],[POMult]])</f>
        <v>50.237550000000006</v>
      </c>
      <c r="AK36">
        <f>IF(Games[[#This Row],[Team]]="","",(Games[[#This Row],[Keff]]*Games[[#This Row],[MOVMult]])*(Games[[#This Row],[Result]]-Games[[#This Row],[ExpectedWin]]))</f>
        <v>11.765780141865353</v>
      </c>
      <c r="AL36">
        <f>IF(Games[[#This Row],[Team]]="","",Games[[#This Row],[PreGmRate]]+Games[[#This Row],[RatingChange]])</f>
        <v>1548.3721835669571</v>
      </c>
      <c r="AM36">
        <f>IF(Games[[#This Row],[Team]]="","",IF(Games[[#This Row],[Type]]="R",IF(Games[[#This Row],[Result]]&gt;0.5,1,0),0))</f>
        <v>1</v>
      </c>
      <c r="AN36">
        <f>IF(Games[[#This Row],[Team]]="","",IF(Games[[#This Row],[Type]]="R",IF(Games[[#This Row],[Result]]&lt;0.5,1,0),0))</f>
        <v>0</v>
      </c>
      <c r="AO36">
        <f>IF(Games[[#This Row],[Team]]="","",IF(Games[[#This Row],[Type]]="R",IF(Games[[#This Row],[Result]]=0.5,1,0),0))</f>
        <v>0</v>
      </c>
    </row>
    <row r="37" spans="1:41" x14ac:dyDescent="0.35">
      <c r="A37" s="8">
        <v>35316</v>
      </c>
      <c r="B37">
        <v>1996</v>
      </c>
      <c r="C37" t="s">
        <v>197</v>
      </c>
      <c r="D37" t="s">
        <v>199</v>
      </c>
      <c r="E37" t="s">
        <v>134</v>
      </c>
      <c r="F37" t="s">
        <v>108</v>
      </c>
      <c r="G37" t="s">
        <v>200</v>
      </c>
      <c r="H37">
        <v>20</v>
      </c>
      <c r="I37">
        <v>22</v>
      </c>
      <c r="J37">
        <v>0</v>
      </c>
      <c r="K3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7">
        <f>IF(Games[[#This Row],[Team]]="","",IF(Games[[#This Row],[Conf]]=Games[[#This Row],[OppConf]],1,0))</f>
        <v>1</v>
      </c>
      <c r="P37">
        <f>IF(Games[[#This Row],[Team]]="","",IF(AND(Games[[#This Row],[Conf]]=Games[[#This Row],[OppConf]],Games[[#This Row],[Div]]=Games[[#This Row],[OppDiv]]),1,0))</f>
        <v>1</v>
      </c>
      <c r="Q37">
        <f>IF(Games[[#This Row],[Team]]="","",_xlfn.MINIFS(Games[Date],Games[Season],Games[[#This Row],[Season]]))</f>
        <v>35309</v>
      </c>
      <c r="R37">
        <f>IF(Games[[#This Row],[Team]]="","",INT((Games[[#This Row],[Date]]-(Games[[#This Row],[SeasonStart]]-MOD(WEEKDAY(Games[[#This Row],[SeasonStart]],2)-2,7)))/7)+1)</f>
        <v>2</v>
      </c>
      <c r="S37">
        <f>IF(Games[[#This Row],[Team]]="","",COUNTIFS(Games[Team],Games[[#This Row],[Team]],Games[Season],Games[[#This Row],[Season]],Games[Week],"&lt;="&amp;Games[[#This Row],[Week]]))</f>
        <v>2</v>
      </c>
      <c r="T37">
        <f>IF(Games[[#This Row],[Team]]="","",_xlfn.MAXIFS(Games[Week],Games[Team],Games[[#This Row],[Team]],Games[Season],Games[[#This Row],[Season]],Games[Week],"&lt;"&amp;Games[[#This Row],[Week]]))</f>
        <v>1</v>
      </c>
      <c r="U37">
        <f>IF(Games[[#This Row],[Team]]="","",_xlfn.MAXIFS(Games[Week],Games[Team],Games[[#This Row],[Opponent]],Games[Season],Games[[#This Row],[Season]],Games[Week],"&lt;"&amp;Games[[#This Row],[Week]]))</f>
        <v>1</v>
      </c>
      <c r="V3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1471.5172928916056</v>
      </c>
      <c r="Z3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1536.6064034250917</v>
      </c>
      <c r="AA3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0.50994425794374276</v>
      </c>
      <c r="AB37">
        <f>IF(Games[[#This Row],[Team]]="","",Games[[#This Row],[PointsFor]]-Games[[#This Row],[PointsAgainst]])</f>
        <v>-2</v>
      </c>
      <c r="AC37">
        <f>IF(Games[[#This Row],[Team]]="","",IF(Games[[#This Row],[MOV]]&gt;0,1,IF(Games[[#This Row],[MOV]]=0,0.5,0)))</f>
        <v>0</v>
      </c>
      <c r="AD37">
        <f>IF(Games[[#This Row],[Team]]="","",--(OR(AND(Games[[#This Row],[ExpectedWin]]&gt;=0.5,Games[[#This Row],[Result]]=1),AND(Games[[#This Row],[ExpectedWin]]&lt;0.5,Games[[#This Row],[Result]]=0))))</f>
        <v>0</v>
      </c>
      <c r="AE37">
        <f>IF(Games[[#This Row],[Team]]="","",-(Games[[#This Row],[Result]]*LN(Games[[#This Row],[ExpectedWin]])+(1-Games[[#This Row],[Result]])*LN(1-Games[[#This Row],[ExpectedWin]])))</f>
        <v>0.7132361350490789</v>
      </c>
      <c r="AF37">
        <f>IF(Games[[#This Row],[Team]]="","",IF(Games[[#This Row],[Season]]&gt;=2021,17,16))</f>
        <v>16</v>
      </c>
      <c r="AG37">
        <f>IF(Games[[#This Row],[Team]]="","",KMax-(KMax-KFloor)*MIN(Games[[#This Row],[GamesPlayed]],Games[[#This Row],[SeasonLen]])/Games[[#This Row],[SeasonLen]])</f>
        <v>44.774999999999999</v>
      </c>
      <c r="AH37">
        <f>IF(Games[[#This Row],[Team]]="","",((ABS(Games[[#This Row],[MOV]])+3)^0.8)/(7.5+0.006*ABS(Games[[#This Row],[PreGmRate]]-Games[[#This Row],[OppPreGmRate]]))*IF(Games[[#This Row],[OT]]=1,0.7,1))</f>
        <v>0.45927157956598952</v>
      </c>
      <c r="AI3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">
        <f>IF(Games[[#This Row],[Team]]="","",Games[[#This Row],[K]]*IF(Games[[#This Row],[DivG]]=1,DivMult,1)*IF(Games[[#This Row],[ConfG]]=1,ConfMult,1)*Games[[#This Row],[POMult]])</f>
        <v>50.237550000000006</v>
      </c>
      <c r="AK37">
        <f>IF(Games[[#This Row],[Team]]="","",(Games[[#This Row],[Keff]]*Games[[#This Row],[MOVMult]])*(Games[[#This Row],[Result]]-Games[[#This Row],[ExpectedWin]]))</f>
        <v>-11.765780141865353</v>
      </c>
      <c r="AL37">
        <f>IF(Games[[#This Row],[Team]]="","",Games[[#This Row],[PreGmRate]]+Games[[#This Row],[RatingChange]])</f>
        <v>1459.7515127497402</v>
      </c>
      <c r="AM37">
        <f>IF(Games[[#This Row],[Team]]="","",IF(Games[[#This Row],[Type]]="R",IF(Games[[#This Row],[Result]]&gt;0.5,1,0),0))</f>
        <v>0</v>
      </c>
      <c r="AN37">
        <f>IF(Games[[#This Row],[Team]]="","",IF(Games[[#This Row],[Type]]="R",IF(Games[[#This Row],[Result]]&lt;0.5,1,0),0))</f>
        <v>1</v>
      </c>
      <c r="AO37">
        <f>IF(Games[[#This Row],[Team]]="","",IF(Games[[#This Row],[Type]]="R",IF(Games[[#This Row],[Result]]=0.5,1,0),0))</f>
        <v>0</v>
      </c>
    </row>
    <row r="38" spans="1:41" x14ac:dyDescent="0.35">
      <c r="A38" s="8">
        <v>35316</v>
      </c>
      <c r="B38">
        <v>1996</v>
      </c>
      <c r="C38" t="s">
        <v>197</v>
      </c>
      <c r="D38" t="s">
        <v>199</v>
      </c>
      <c r="E38" t="s">
        <v>154</v>
      </c>
      <c r="F38" t="s">
        <v>110</v>
      </c>
      <c r="G38" t="s">
        <v>200</v>
      </c>
      <c r="H38">
        <v>10</v>
      </c>
      <c r="I38">
        <v>3</v>
      </c>
      <c r="J38">
        <v>0</v>
      </c>
      <c r="K3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8">
        <f>IF(Games[[#This Row],[Team]]="","",IF(Games[[#This Row],[Conf]]=Games[[#This Row],[OppConf]],1,0))</f>
        <v>1</v>
      </c>
      <c r="P38">
        <f>IF(Games[[#This Row],[Team]]="","",IF(AND(Games[[#This Row],[Conf]]=Games[[#This Row],[OppConf]],Games[[#This Row],[Div]]=Games[[#This Row],[OppDiv]]),1,0))</f>
        <v>0</v>
      </c>
      <c r="Q38">
        <f>IF(Games[[#This Row],[Team]]="","",_xlfn.MINIFS(Games[Date],Games[Season],Games[[#This Row],[Season]]))</f>
        <v>35309</v>
      </c>
      <c r="R38">
        <f>IF(Games[[#This Row],[Team]]="","",INT((Games[[#This Row],[Date]]-(Games[[#This Row],[SeasonStart]]-MOD(WEEKDAY(Games[[#This Row],[SeasonStart]],2)-2,7)))/7)+1)</f>
        <v>2</v>
      </c>
      <c r="S38">
        <f>IF(Games[[#This Row],[Team]]="","",COUNTIFS(Games[Team],Games[[#This Row],[Team]],Games[Season],Games[[#This Row],[Season]],Games[Week],"&lt;="&amp;Games[[#This Row],[Week]]))</f>
        <v>2</v>
      </c>
      <c r="T38">
        <f>IF(Games[[#This Row],[Team]]="","",_xlfn.MAXIFS(Games[Week],Games[Team],Games[[#This Row],[Team]],Games[Season],Games[[#This Row],[Season]],Games[Week],"&lt;"&amp;Games[[#This Row],[Week]]))</f>
        <v>1</v>
      </c>
      <c r="U38">
        <f>IF(Games[[#This Row],[Team]]="","",_xlfn.MAXIFS(Games[Week],Games[Team],Games[[#This Row],[Opponent]],Games[Season],Games[[#This Row],[Season]],Games[Week],"&lt;"&amp;Games[[#This Row],[Week]]))</f>
        <v>1</v>
      </c>
      <c r="V3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3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3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1482.8565042729413</v>
      </c>
      <c r="Z3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1525.8933700985403</v>
      </c>
      <c r="AA3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0.55014683328736225</v>
      </c>
      <c r="AB38">
        <f>IF(Games[[#This Row],[Team]]="","",Games[[#This Row],[PointsFor]]-Games[[#This Row],[PointsAgainst]])</f>
        <v>7</v>
      </c>
      <c r="AC38">
        <f>IF(Games[[#This Row],[Team]]="","",IF(Games[[#This Row],[MOV]]&gt;0,1,IF(Games[[#This Row],[MOV]]=0,0.5,0)))</f>
        <v>1</v>
      </c>
      <c r="AD38">
        <f>IF(Games[[#This Row],[Team]]="","",--(OR(AND(Games[[#This Row],[ExpectedWin]]&gt;=0.5,Games[[#This Row],[Result]]=1),AND(Games[[#This Row],[ExpectedWin]]&lt;0.5,Games[[#This Row],[Result]]=0))))</f>
        <v>1</v>
      </c>
      <c r="AE38">
        <f>IF(Games[[#This Row],[Team]]="","",-(Games[[#This Row],[Result]]*LN(Games[[#This Row],[ExpectedWin]])+(1-Games[[#This Row],[Result]])*LN(1-Games[[#This Row],[ExpectedWin]])))</f>
        <v>0.59757006677228053</v>
      </c>
      <c r="AF38">
        <f>IF(Games[[#This Row],[Team]]="","",IF(Games[[#This Row],[Season]]&gt;=2021,17,16))</f>
        <v>16</v>
      </c>
      <c r="AG38">
        <f>IF(Games[[#This Row],[Team]]="","",KMax-(KMax-KFloor)*MIN(Games[[#This Row],[GamesPlayed]],Games[[#This Row],[SeasonLen]])/Games[[#This Row],[SeasonLen]])</f>
        <v>44.774999999999999</v>
      </c>
      <c r="AH38">
        <f>IF(Games[[#This Row],[Team]]="","",((ABS(Games[[#This Row],[MOV]])+3)^0.8)/(7.5+0.006*ABS(Games[[#This Row],[PreGmRate]]-Games[[#This Row],[OppPreGmRate]]))*IF(Games[[#This Row],[OT]]=1,0.7,1))</f>
        <v>0.81327578658185895</v>
      </c>
      <c r="AI3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">
        <f>IF(Games[[#This Row],[Team]]="","",Games[[#This Row],[K]]*IF(Games[[#This Row],[DivG]]=1,DivMult,1)*IF(Games[[#This Row],[ConfG]]=1,ConfMult,1)*Games[[#This Row],[POMult]])</f>
        <v>45.670499999999997</v>
      </c>
      <c r="AK38">
        <f>IF(Games[[#This Row],[Team]]="","",(Games[[#This Row],[Keff]]*Games[[#This Row],[MOVMult]])*(Games[[#This Row],[Result]]-Games[[#This Row],[ExpectedWin]]))</f>
        <v>16.708766528512282</v>
      </c>
      <c r="AL38">
        <f>IF(Games[[#This Row],[Team]]="","",Games[[#This Row],[PreGmRate]]+Games[[#This Row],[RatingChange]])</f>
        <v>1499.5652708014536</v>
      </c>
      <c r="AM38">
        <f>IF(Games[[#This Row],[Team]]="","",IF(Games[[#This Row],[Type]]="R",IF(Games[[#This Row],[Result]]&gt;0.5,1,0),0))</f>
        <v>1</v>
      </c>
      <c r="AN38">
        <f>IF(Games[[#This Row],[Team]]="","",IF(Games[[#This Row],[Type]]="R",IF(Games[[#This Row],[Result]]&lt;0.5,1,0),0))</f>
        <v>0</v>
      </c>
      <c r="AO38">
        <f>IF(Games[[#This Row],[Team]]="","",IF(Games[[#This Row],[Type]]="R",IF(Games[[#This Row],[Result]]=0.5,1,0),0))</f>
        <v>0</v>
      </c>
    </row>
    <row r="39" spans="1:41" x14ac:dyDescent="0.35">
      <c r="A39" s="8">
        <v>35316</v>
      </c>
      <c r="B39">
        <v>1996</v>
      </c>
      <c r="C39" t="s">
        <v>197</v>
      </c>
      <c r="D39" t="s">
        <v>199</v>
      </c>
      <c r="E39" t="s">
        <v>110</v>
      </c>
      <c r="F39" t="s">
        <v>154</v>
      </c>
      <c r="G39" t="s">
        <v>201</v>
      </c>
      <c r="H39">
        <v>3</v>
      </c>
      <c r="I39">
        <v>10</v>
      </c>
      <c r="J39">
        <v>0</v>
      </c>
      <c r="K3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9">
        <f>IF(Games[[#This Row],[Team]]="","",IF(Games[[#This Row],[Conf]]=Games[[#This Row],[OppConf]],1,0))</f>
        <v>1</v>
      </c>
      <c r="P39">
        <f>IF(Games[[#This Row],[Team]]="","",IF(AND(Games[[#This Row],[Conf]]=Games[[#This Row],[OppConf]],Games[[#This Row],[Div]]=Games[[#This Row],[OppDiv]]),1,0))</f>
        <v>0</v>
      </c>
      <c r="Q39">
        <f>IF(Games[[#This Row],[Team]]="","",_xlfn.MINIFS(Games[Date],Games[Season],Games[[#This Row],[Season]]))</f>
        <v>35309</v>
      </c>
      <c r="R39">
        <f>IF(Games[[#This Row],[Team]]="","",INT((Games[[#This Row],[Date]]-(Games[[#This Row],[SeasonStart]]-MOD(WEEKDAY(Games[[#This Row],[SeasonStart]],2)-2,7)))/7)+1)</f>
        <v>2</v>
      </c>
      <c r="S39">
        <f>IF(Games[[#This Row],[Team]]="","",COUNTIFS(Games[Team],Games[[#This Row],[Team]],Games[Season],Games[[#This Row],[Season]],Games[Week],"&lt;="&amp;Games[[#This Row],[Week]]))</f>
        <v>2</v>
      </c>
      <c r="T39">
        <f>IF(Games[[#This Row],[Team]]="","",_xlfn.MAXIFS(Games[Week],Games[Team],Games[[#This Row],[Team]],Games[Season],Games[[#This Row],[Season]],Games[Week],"&lt;"&amp;Games[[#This Row],[Week]]))</f>
        <v>1</v>
      </c>
      <c r="U39">
        <f>IF(Games[[#This Row],[Team]]="","",_xlfn.MAXIFS(Games[Week],Games[Team],Games[[#This Row],[Opponent]],Games[Season],Games[[#This Row],[Season]],Games[Week],"&lt;"&amp;Games[[#This Row],[Week]]))</f>
        <v>1</v>
      </c>
      <c r="V3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3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3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1525.8933700985403</v>
      </c>
      <c r="Z3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1482.8565042729413</v>
      </c>
      <c r="AA3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0.44985316671263775</v>
      </c>
      <c r="AB39">
        <f>IF(Games[[#This Row],[Team]]="","",Games[[#This Row],[PointsFor]]-Games[[#This Row],[PointsAgainst]])</f>
        <v>-7</v>
      </c>
      <c r="AC39">
        <f>IF(Games[[#This Row],[Team]]="","",IF(Games[[#This Row],[MOV]]&gt;0,1,IF(Games[[#This Row],[MOV]]=0,0.5,0)))</f>
        <v>0</v>
      </c>
      <c r="AD39">
        <f>IF(Games[[#This Row],[Team]]="","",--(OR(AND(Games[[#This Row],[ExpectedWin]]&gt;=0.5,Games[[#This Row],[Result]]=1),AND(Games[[#This Row],[ExpectedWin]]&lt;0.5,Games[[#This Row],[Result]]=0))))</f>
        <v>1</v>
      </c>
      <c r="AE39">
        <f>IF(Games[[#This Row],[Team]]="","",-(Games[[#This Row],[Result]]*LN(Games[[#This Row],[ExpectedWin]])+(1-Games[[#This Row],[Result]])*LN(1-Games[[#This Row],[ExpectedWin]])))</f>
        <v>0.59757006677228053</v>
      </c>
      <c r="AF39">
        <f>IF(Games[[#This Row],[Team]]="","",IF(Games[[#This Row],[Season]]&gt;=2021,17,16))</f>
        <v>16</v>
      </c>
      <c r="AG39">
        <f>IF(Games[[#This Row],[Team]]="","",KMax-(KMax-KFloor)*MIN(Games[[#This Row],[GamesPlayed]],Games[[#This Row],[SeasonLen]])/Games[[#This Row],[SeasonLen]])</f>
        <v>44.774999999999999</v>
      </c>
      <c r="AH39">
        <f>IF(Games[[#This Row],[Team]]="","",((ABS(Games[[#This Row],[MOV]])+3)^0.8)/(7.5+0.006*ABS(Games[[#This Row],[PreGmRate]]-Games[[#This Row],[OppPreGmRate]]))*IF(Games[[#This Row],[OT]]=1,0.7,1))</f>
        <v>0.81327578658185895</v>
      </c>
      <c r="AI3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">
        <f>IF(Games[[#This Row],[Team]]="","",Games[[#This Row],[K]]*IF(Games[[#This Row],[DivG]]=1,DivMult,1)*IF(Games[[#This Row],[ConfG]]=1,ConfMult,1)*Games[[#This Row],[POMult]])</f>
        <v>45.670499999999997</v>
      </c>
      <c r="AK39">
        <f>IF(Games[[#This Row],[Team]]="","",(Games[[#This Row],[Keff]]*Games[[#This Row],[MOVMult]])*(Games[[#This Row],[Result]]-Games[[#This Row],[ExpectedWin]]))</f>
        <v>-16.708766528512282</v>
      </c>
      <c r="AL39">
        <f>IF(Games[[#This Row],[Team]]="","",Games[[#This Row],[PreGmRate]]+Games[[#This Row],[RatingChange]])</f>
        <v>1509.184603570028</v>
      </c>
      <c r="AM39">
        <f>IF(Games[[#This Row],[Team]]="","",IF(Games[[#This Row],[Type]]="R",IF(Games[[#This Row],[Result]]&gt;0.5,1,0),0))</f>
        <v>0</v>
      </c>
      <c r="AN39">
        <f>IF(Games[[#This Row],[Team]]="","",IF(Games[[#This Row],[Type]]="R",IF(Games[[#This Row],[Result]]&lt;0.5,1,0),0))</f>
        <v>1</v>
      </c>
      <c r="AO39">
        <f>IF(Games[[#This Row],[Team]]="","",IF(Games[[#This Row],[Type]]="R",IF(Games[[#This Row],[Result]]=0.5,1,0),0))</f>
        <v>0</v>
      </c>
    </row>
    <row r="40" spans="1:41" x14ac:dyDescent="0.35">
      <c r="A40" s="8">
        <v>35316</v>
      </c>
      <c r="B40">
        <v>1996</v>
      </c>
      <c r="C40" t="s">
        <v>197</v>
      </c>
      <c r="D40" t="s">
        <v>199</v>
      </c>
      <c r="E40" t="s">
        <v>122</v>
      </c>
      <c r="F40" t="s">
        <v>138</v>
      </c>
      <c r="G40" t="s">
        <v>201</v>
      </c>
      <c r="H40">
        <v>21</v>
      </c>
      <c r="I40">
        <v>7</v>
      </c>
      <c r="J40">
        <v>0</v>
      </c>
      <c r="K4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0">
        <f>IF(Games[[#This Row],[Team]]="","",IF(Games[[#This Row],[Conf]]=Games[[#This Row],[OppConf]],1,0))</f>
        <v>1</v>
      </c>
      <c r="P40">
        <f>IF(Games[[#This Row],[Team]]="","",IF(AND(Games[[#This Row],[Conf]]=Games[[#This Row],[OppConf]],Games[[#This Row],[Div]]=Games[[#This Row],[OppDiv]]),1,0))</f>
        <v>1</v>
      </c>
      <c r="Q40">
        <f>IF(Games[[#This Row],[Team]]="","",_xlfn.MINIFS(Games[Date],Games[Season],Games[[#This Row],[Season]]))</f>
        <v>35309</v>
      </c>
      <c r="R40">
        <f>IF(Games[[#This Row],[Team]]="","",INT((Games[[#This Row],[Date]]-(Games[[#This Row],[SeasonStart]]-MOD(WEEKDAY(Games[[#This Row],[SeasonStart]],2)-2,7)))/7)+1)</f>
        <v>2</v>
      </c>
      <c r="S40">
        <f>IF(Games[[#This Row],[Team]]="","",COUNTIFS(Games[Team],Games[[#This Row],[Team]],Games[Season],Games[[#This Row],[Season]],Games[Week],"&lt;="&amp;Games[[#This Row],[Week]]))</f>
        <v>2</v>
      </c>
      <c r="T40">
        <f>IF(Games[[#This Row],[Team]]="","",_xlfn.MAXIFS(Games[Week],Games[Team],Games[[#This Row],[Team]],Games[Season],Games[[#This Row],[Season]],Games[Week],"&lt;"&amp;Games[[#This Row],[Week]]))</f>
        <v>1</v>
      </c>
      <c r="U40">
        <f>IF(Games[[#This Row],[Team]]="","",_xlfn.MAXIFS(Games[Week],Games[Team],Games[[#This Row],[Opponent]],Games[Season],Games[[#This Row],[Season]],Games[Week],"&lt;"&amp;Games[[#This Row],[Week]]))</f>
        <v>1</v>
      </c>
      <c r="V4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1515.1909707076159</v>
      </c>
      <c r="Z4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1464.6888287460313</v>
      </c>
      <c r="AA4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0.46910151808732353</v>
      </c>
      <c r="AB40">
        <f>IF(Games[[#This Row],[Team]]="","",Games[[#This Row],[PointsFor]]-Games[[#This Row],[PointsAgainst]])</f>
        <v>14</v>
      </c>
      <c r="AC40">
        <f>IF(Games[[#This Row],[Team]]="","",IF(Games[[#This Row],[MOV]]&gt;0,1,IF(Games[[#This Row],[MOV]]=0,0.5,0)))</f>
        <v>1</v>
      </c>
      <c r="AD40">
        <f>IF(Games[[#This Row],[Team]]="","",--(OR(AND(Games[[#This Row],[ExpectedWin]]&gt;=0.5,Games[[#This Row],[Result]]=1),AND(Games[[#This Row],[ExpectedWin]]&lt;0.5,Games[[#This Row],[Result]]=0))))</f>
        <v>0</v>
      </c>
      <c r="AE40">
        <f>IF(Games[[#This Row],[Team]]="","",-(Games[[#This Row],[Result]]*LN(Games[[#This Row],[ExpectedWin]])+(1-Games[[#This Row],[Result]])*LN(1-Games[[#This Row],[ExpectedWin]])))</f>
        <v>0.75693607748301117</v>
      </c>
      <c r="AF40">
        <f>IF(Games[[#This Row],[Team]]="","",IF(Games[[#This Row],[Season]]&gt;=2021,17,16))</f>
        <v>16</v>
      </c>
      <c r="AG40">
        <f>IF(Games[[#This Row],[Team]]="","",KMax-(KMax-KFloor)*MIN(Games[[#This Row],[GamesPlayed]],Games[[#This Row],[SeasonLen]])/Games[[#This Row],[SeasonLen]])</f>
        <v>44.774999999999999</v>
      </c>
      <c r="AH40">
        <f>IF(Games[[#This Row],[Team]]="","",((ABS(Games[[#This Row],[MOV]])+3)^0.8)/(7.5+0.006*ABS(Games[[#This Row],[PreGmRate]]-Games[[#This Row],[OppPreGmRate]]))*IF(Games[[#This Row],[OT]]=1,0.7,1))</f>
        <v>1.2362229871541681</v>
      </c>
      <c r="AI4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">
        <f>IF(Games[[#This Row],[Team]]="","",Games[[#This Row],[K]]*IF(Games[[#This Row],[DivG]]=1,DivMult,1)*IF(Games[[#This Row],[ConfG]]=1,ConfMult,1)*Games[[#This Row],[POMult]])</f>
        <v>50.237550000000006</v>
      </c>
      <c r="AK40">
        <f>IF(Games[[#This Row],[Team]]="","",(Games[[#This Row],[Keff]]*Games[[#This Row],[MOVMult]])*(Games[[#This Row],[Result]]-Games[[#This Row],[ExpectedWin]]))</f>
        <v>32.971351540187072</v>
      </c>
      <c r="AL40">
        <f>IF(Games[[#This Row],[Team]]="","",Games[[#This Row],[PreGmRate]]+Games[[#This Row],[RatingChange]])</f>
        <v>1548.1623222478029</v>
      </c>
      <c r="AM40">
        <f>IF(Games[[#This Row],[Team]]="","",IF(Games[[#This Row],[Type]]="R",IF(Games[[#This Row],[Result]]&gt;0.5,1,0),0))</f>
        <v>1</v>
      </c>
      <c r="AN40">
        <f>IF(Games[[#This Row],[Team]]="","",IF(Games[[#This Row],[Type]]="R",IF(Games[[#This Row],[Result]]&lt;0.5,1,0),0))</f>
        <v>0</v>
      </c>
      <c r="AO40">
        <f>IF(Games[[#This Row],[Team]]="","",IF(Games[[#This Row],[Type]]="R",IF(Games[[#This Row],[Result]]=0.5,1,0),0))</f>
        <v>0</v>
      </c>
    </row>
    <row r="41" spans="1:41" x14ac:dyDescent="0.35">
      <c r="A41" s="8">
        <v>35316</v>
      </c>
      <c r="B41">
        <v>1996</v>
      </c>
      <c r="C41" t="s">
        <v>197</v>
      </c>
      <c r="D41" t="s">
        <v>199</v>
      </c>
      <c r="E41" t="s">
        <v>138</v>
      </c>
      <c r="F41" t="s">
        <v>122</v>
      </c>
      <c r="G41" t="s">
        <v>200</v>
      </c>
      <c r="H41">
        <v>7</v>
      </c>
      <c r="I41">
        <v>21</v>
      </c>
      <c r="J41">
        <v>0</v>
      </c>
      <c r="K4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1">
        <f>IF(Games[[#This Row],[Team]]="","",IF(Games[[#This Row],[Conf]]=Games[[#This Row],[OppConf]],1,0))</f>
        <v>1</v>
      </c>
      <c r="P41">
        <f>IF(Games[[#This Row],[Team]]="","",IF(AND(Games[[#This Row],[Conf]]=Games[[#This Row],[OppConf]],Games[[#This Row],[Div]]=Games[[#This Row],[OppDiv]]),1,0))</f>
        <v>1</v>
      </c>
      <c r="Q41">
        <f>IF(Games[[#This Row],[Team]]="","",_xlfn.MINIFS(Games[Date],Games[Season],Games[[#This Row],[Season]]))</f>
        <v>35309</v>
      </c>
      <c r="R41">
        <f>IF(Games[[#This Row],[Team]]="","",INT((Games[[#This Row],[Date]]-(Games[[#This Row],[SeasonStart]]-MOD(WEEKDAY(Games[[#This Row],[SeasonStart]],2)-2,7)))/7)+1)</f>
        <v>2</v>
      </c>
      <c r="S41">
        <f>IF(Games[[#This Row],[Team]]="","",COUNTIFS(Games[Team],Games[[#This Row],[Team]],Games[Season],Games[[#This Row],[Season]],Games[Week],"&lt;="&amp;Games[[#This Row],[Week]]))</f>
        <v>2</v>
      </c>
      <c r="T41">
        <f>IF(Games[[#This Row],[Team]]="","",_xlfn.MAXIFS(Games[Week],Games[Team],Games[[#This Row],[Team]],Games[Season],Games[[#This Row],[Season]],Games[Week],"&lt;"&amp;Games[[#This Row],[Week]]))</f>
        <v>1</v>
      </c>
      <c r="U41">
        <f>IF(Games[[#This Row],[Team]]="","",_xlfn.MAXIFS(Games[Week],Games[Team],Games[[#This Row],[Opponent]],Games[Season],Games[[#This Row],[Season]],Games[Week],"&lt;"&amp;Games[[#This Row],[Week]]))</f>
        <v>1</v>
      </c>
      <c r="V4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1464.6888287460313</v>
      </c>
      <c r="Z4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1515.1909707076159</v>
      </c>
      <c r="AA4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0.53089848191267652</v>
      </c>
      <c r="AB41">
        <f>IF(Games[[#This Row],[Team]]="","",Games[[#This Row],[PointsFor]]-Games[[#This Row],[PointsAgainst]])</f>
        <v>-14</v>
      </c>
      <c r="AC41">
        <f>IF(Games[[#This Row],[Team]]="","",IF(Games[[#This Row],[MOV]]&gt;0,1,IF(Games[[#This Row],[MOV]]=0,0.5,0)))</f>
        <v>0</v>
      </c>
      <c r="AD41">
        <f>IF(Games[[#This Row],[Team]]="","",--(OR(AND(Games[[#This Row],[ExpectedWin]]&gt;=0.5,Games[[#This Row],[Result]]=1),AND(Games[[#This Row],[ExpectedWin]]&lt;0.5,Games[[#This Row],[Result]]=0))))</f>
        <v>0</v>
      </c>
      <c r="AE41">
        <f>IF(Games[[#This Row],[Team]]="","",-(Games[[#This Row],[Result]]*LN(Games[[#This Row],[ExpectedWin]])+(1-Games[[#This Row],[Result]])*LN(1-Games[[#This Row],[ExpectedWin]])))</f>
        <v>0.75693607748301128</v>
      </c>
      <c r="AF41">
        <f>IF(Games[[#This Row],[Team]]="","",IF(Games[[#This Row],[Season]]&gt;=2021,17,16))</f>
        <v>16</v>
      </c>
      <c r="AG41">
        <f>IF(Games[[#This Row],[Team]]="","",KMax-(KMax-KFloor)*MIN(Games[[#This Row],[GamesPlayed]],Games[[#This Row],[SeasonLen]])/Games[[#This Row],[SeasonLen]])</f>
        <v>44.774999999999999</v>
      </c>
      <c r="AH41">
        <f>IF(Games[[#This Row],[Team]]="","",((ABS(Games[[#This Row],[MOV]])+3)^0.8)/(7.5+0.006*ABS(Games[[#This Row],[PreGmRate]]-Games[[#This Row],[OppPreGmRate]]))*IF(Games[[#This Row],[OT]]=1,0.7,1))</f>
        <v>1.2362229871541681</v>
      </c>
      <c r="AI4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">
        <f>IF(Games[[#This Row],[Team]]="","",Games[[#This Row],[K]]*IF(Games[[#This Row],[DivG]]=1,DivMult,1)*IF(Games[[#This Row],[ConfG]]=1,ConfMult,1)*Games[[#This Row],[POMult]])</f>
        <v>50.237550000000006</v>
      </c>
      <c r="AK41">
        <f>IF(Games[[#This Row],[Team]]="","",(Games[[#This Row],[Keff]]*Games[[#This Row],[MOVMult]])*(Games[[#This Row],[Result]]-Games[[#This Row],[ExpectedWin]]))</f>
        <v>-32.971351540187072</v>
      </c>
      <c r="AL41">
        <f>IF(Games[[#This Row],[Team]]="","",Games[[#This Row],[PreGmRate]]+Games[[#This Row],[RatingChange]])</f>
        <v>1431.7174772058443</v>
      </c>
      <c r="AM41">
        <f>IF(Games[[#This Row],[Team]]="","",IF(Games[[#This Row],[Type]]="R",IF(Games[[#This Row],[Result]]&gt;0.5,1,0),0))</f>
        <v>0</v>
      </c>
      <c r="AN41">
        <f>IF(Games[[#This Row],[Team]]="","",IF(Games[[#This Row],[Type]]="R",IF(Games[[#This Row],[Result]]&lt;0.5,1,0),0))</f>
        <v>1</v>
      </c>
      <c r="AO41">
        <f>IF(Games[[#This Row],[Team]]="","",IF(Games[[#This Row],[Type]]="R",IF(Games[[#This Row],[Result]]=0.5,1,0),0))</f>
        <v>0</v>
      </c>
    </row>
    <row r="42" spans="1:41" x14ac:dyDescent="0.35">
      <c r="A42" s="8">
        <v>35316</v>
      </c>
      <c r="B42">
        <v>1996</v>
      </c>
      <c r="C42" t="s">
        <v>197</v>
      </c>
      <c r="D42" t="s">
        <v>199</v>
      </c>
      <c r="E42" t="s">
        <v>118</v>
      </c>
      <c r="F42" t="s">
        <v>151</v>
      </c>
      <c r="G42" t="s">
        <v>200</v>
      </c>
      <c r="H42">
        <v>21</v>
      </c>
      <c r="I42">
        <v>6</v>
      </c>
      <c r="J42">
        <v>0</v>
      </c>
      <c r="K4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2">
        <f>IF(Games[[#This Row],[Team]]="","",IF(Games[[#This Row],[Conf]]=Games[[#This Row],[OppConf]],1,0))</f>
        <v>1</v>
      </c>
      <c r="P42">
        <f>IF(Games[[#This Row],[Team]]="","",IF(AND(Games[[#This Row],[Conf]]=Games[[#This Row],[OppConf]],Games[[#This Row],[Div]]=Games[[#This Row],[OppDiv]]),1,0))</f>
        <v>1</v>
      </c>
      <c r="Q42">
        <f>IF(Games[[#This Row],[Team]]="","",_xlfn.MINIFS(Games[Date],Games[Season],Games[[#This Row],[Season]]))</f>
        <v>35309</v>
      </c>
      <c r="R42">
        <f>IF(Games[[#This Row],[Team]]="","",INT((Games[[#This Row],[Date]]-(Games[[#This Row],[SeasonStart]]-MOD(WEEKDAY(Games[[#This Row],[SeasonStart]],2)-2,7)))/7)+1)</f>
        <v>2</v>
      </c>
      <c r="S42">
        <f>IF(Games[[#This Row],[Team]]="","",COUNTIFS(Games[Team],Games[[#This Row],[Team]],Games[Season],Games[[#This Row],[Season]],Games[Week],"&lt;="&amp;Games[[#This Row],[Week]]))</f>
        <v>2</v>
      </c>
      <c r="T42">
        <f>IF(Games[[#This Row],[Team]]="","",_xlfn.MAXIFS(Games[Week],Games[Team],Games[[#This Row],[Team]],Games[Season],Games[[#This Row],[Season]],Games[Week],"&lt;"&amp;Games[[#This Row],[Week]]))</f>
        <v>1</v>
      </c>
      <c r="U42">
        <f>IF(Games[[#This Row],[Team]]="","",_xlfn.MAXIFS(Games[Week],Games[Team],Games[[#This Row],[Opponent]],Games[Season],Games[[#This Row],[Season]],Games[Week],"&lt;"&amp;Games[[#This Row],[Week]]))</f>
        <v>1</v>
      </c>
      <c r="V4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1487.1868233027262</v>
      </c>
      <c r="Z4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1431.3308744755727</v>
      </c>
      <c r="AA4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0.67612011086737545</v>
      </c>
      <c r="AB42">
        <f>IF(Games[[#This Row],[Team]]="","",Games[[#This Row],[PointsFor]]-Games[[#This Row],[PointsAgainst]])</f>
        <v>15</v>
      </c>
      <c r="AC42">
        <f>IF(Games[[#This Row],[Team]]="","",IF(Games[[#This Row],[MOV]]&gt;0,1,IF(Games[[#This Row],[MOV]]=0,0.5,0)))</f>
        <v>1</v>
      </c>
      <c r="AD42">
        <f>IF(Games[[#This Row],[Team]]="","",--(OR(AND(Games[[#This Row],[ExpectedWin]]&gt;=0.5,Games[[#This Row],[Result]]=1),AND(Games[[#This Row],[ExpectedWin]]&lt;0.5,Games[[#This Row],[Result]]=0))))</f>
        <v>1</v>
      </c>
      <c r="AE42">
        <f>IF(Games[[#This Row],[Team]]="","",-(Games[[#This Row],[Result]]*LN(Games[[#This Row],[ExpectedWin]])+(1-Games[[#This Row],[Result]])*LN(1-Games[[#This Row],[ExpectedWin]])))</f>
        <v>0.3913845399242884</v>
      </c>
      <c r="AF42">
        <f>IF(Games[[#This Row],[Team]]="","",IF(Games[[#This Row],[Season]]&gt;=2021,17,16))</f>
        <v>16</v>
      </c>
      <c r="AG42">
        <f>IF(Games[[#This Row],[Team]]="","",KMax-(KMax-KFloor)*MIN(Games[[#This Row],[GamesPlayed]],Games[[#This Row],[SeasonLen]])/Games[[#This Row],[SeasonLen]])</f>
        <v>44.774999999999999</v>
      </c>
      <c r="AH42">
        <f>IF(Games[[#This Row],[Team]]="","",((ABS(Games[[#This Row],[MOV]])+3)^0.8)/(7.5+0.006*ABS(Games[[#This Row],[PreGmRate]]-Games[[#This Row],[OppPreGmRate]]))*IF(Games[[#This Row],[OT]]=1,0.7,1))</f>
        <v>1.2887583195380892</v>
      </c>
      <c r="AI4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">
        <f>IF(Games[[#This Row],[Team]]="","",Games[[#This Row],[K]]*IF(Games[[#This Row],[DivG]]=1,DivMult,1)*IF(Games[[#This Row],[ConfG]]=1,ConfMult,1)*Games[[#This Row],[POMult]])</f>
        <v>50.237550000000006</v>
      </c>
      <c r="AK42">
        <f>IF(Games[[#This Row],[Team]]="","",(Games[[#This Row],[Keff]]*Games[[#This Row],[MOVMult]])*(Games[[#This Row],[Result]]-Games[[#This Row],[ExpectedWin]]))</f>
        <v>20.96929914182433</v>
      </c>
      <c r="AL42">
        <f>IF(Games[[#This Row],[Team]]="","",Games[[#This Row],[PreGmRate]]+Games[[#This Row],[RatingChange]])</f>
        <v>1508.1561224445506</v>
      </c>
      <c r="AM42">
        <f>IF(Games[[#This Row],[Team]]="","",IF(Games[[#This Row],[Type]]="R",IF(Games[[#This Row],[Result]]&gt;0.5,1,0),0))</f>
        <v>1</v>
      </c>
      <c r="AN42">
        <f>IF(Games[[#This Row],[Team]]="","",IF(Games[[#This Row],[Type]]="R",IF(Games[[#This Row],[Result]]&lt;0.5,1,0),0))</f>
        <v>0</v>
      </c>
      <c r="AO42">
        <f>IF(Games[[#This Row],[Team]]="","",IF(Games[[#This Row],[Type]]="R",IF(Games[[#This Row],[Result]]=0.5,1,0),0))</f>
        <v>0</v>
      </c>
    </row>
    <row r="43" spans="1:41" x14ac:dyDescent="0.35">
      <c r="A43" s="8">
        <v>35316</v>
      </c>
      <c r="B43">
        <v>1996</v>
      </c>
      <c r="C43" t="s">
        <v>197</v>
      </c>
      <c r="D43" t="s">
        <v>199</v>
      </c>
      <c r="E43" t="s">
        <v>151</v>
      </c>
      <c r="F43" t="s">
        <v>118</v>
      </c>
      <c r="G43" t="s">
        <v>201</v>
      </c>
      <c r="H43">
        <v>6</v>
      </c>
      <c r="I43">
        <v>21</v>
      </c>
      <c r="J43">
        <v>0</v>
      </c>
      <c r="K4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3">
        <f>IF(Games[[#This Row],[Team]]="","",IF(Games[[#This Row],[Conf]]=Games[[#This Row],[OppConf]],1,0))</f>
        <v>1</v>
      </c>
      <c r="P43">
        <f>IF(Games[[#This Row],[Team]]="","",IF(AND(Games[[#This Row],[Conf]]=Games[[#This Row],[OppConf]],Games[[#This Row],[Div]]=Games[[#This Row],[OppDiv]]),1,0))</f>
        <v>1</v>
      </c>
      <c r="Q43">
        <f>IF(Games[[#This Row],[Team]]="","",_xlfn.MINIFS(Games[Date],Games[Season],Games[[#This Row],[Season]]))</f>
        <v>35309</v>
      </c>
      <c r="R43">
        <f>IF(Games[[#This Row],[Team]]="","",INT((Games[[#This Row],[Date]]-(Games[[#This Row],[SeasonStart]]-MOD(WEEKDAY(Games[[#This Row],[SeasonStart]],2)-2,7)))/7)+1)</f>
        <v>2</v>
      </c>
      <c r="S43">
        <f>IF(Games[[#This Row],[Team]]="","",COUNTIFS(Games[Team],Games[[#This Row],[Team]],Games[Season],Games[[#This Row],[Season]],Games[Week],"&lt;="&amp;Games[[#This Row],[Week]]))</f>
        <v>2</v>
      </c>
      <c r="T43">
        <f>IF(Games[[#This Row],[Team]]="","",_xlfn.MAXIFS(Games[Week],Games[Team],Games[[#This Row],[Team]],Games[Season],Games[[#This Row],[Season]],Games[Week],"&lt;"&amp;Games[[#This Row],[Week]]))</f>
        <v>1</v>
      </c>
      <c r="U43">
        <f>IF(Games[[#This Row],[Team]]="","",_xlfn.MAXIFS(Games[Week],Games[Team],Games[[#This Row],[Opponent]],Games[Season],Games[[#This Row],[Season]],Games[Week],"&lt;"&amp;Games[[#This Row],[Week]]))</f>
        <v>1</v>
      </c>
      <c r="V4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1431.3308744755727</v>
      </c>
      <c r="Z4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1487.1868233027262</v>
      </c>
      <c r="AA4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0.32387988913262444</v>
      </c>
      <c r="AB43">
        <f>IF(Games[[#This Row],[Team]]="","",Games[[#This Row],[PointsFor]]-Games[[#This Row],[PointsAgainst]])</f>
        <v>-15</v>
      </c>
      <c r="AC43">
        <f>IF(Games[[#This Row],[Team]]="","",IF(Games[[#This Row],[MOV]]&gt;0,1,IF(Games[[#This Row],[MOV]]=0,0.5,0)))</f>
        <v>0</v>
      </c>
      <c r="AD43">
        <f>IF(Games[[#This Row],[Team]]="","",--(OR(AND(Games[[#This Row],[ExpectedWin]]&gt;=0.5,Games[[#This Row],[Result]]=1),AND(Games[[#This Row],[ExpectedWin]]&lt;0.5,Games[[#This Row],[Result]]=0))))</f>
        <v>1</v>
      </c>
      <c r="AE43">
        <f>IF(Games[[#This Row],[Team]]="","",-(Games[[#This Row],[Result]]*LN(Games[[#This Row],[ExpectedWin]])+(1-Games[[#This Row],[Result]])*LN(1-Games[[#This Row],[ExpectedWin]])))</f>
        <v>0.39138453992428823</v>
      </c>
      <c r="AF43">
        <f>IF(Games[[#This Row],[Team]]="","",IF(Games[[#This Row],[Season]]&gt;=2021,17,16))</f>
        <v>16</v>
      </c>
      <c r="AG43">
        <f>IF(Games[[#This Row],[Team]]="","",KMax-(KMax-KFloor)*MIN(Games[[#This Row],[GamesPlayed]],Games[[#This Row],[SeasonLen]])/Games[[#This Row],[SeasonLen]])</f>
        <v>44.774999999999999</v>
      </c>
      <c r="AH43">
        <f>IF(Games[[#This Row],[Team]]="","",((ABS(Games[[#This Row],[MOV]])+3)^0.8)/(7.5+0.006*ABS(Games[[#This Row],[PreGmRate]]-Games[[#This Row],[OppPreGmRate]]))*IF(Games[[#This Row],[OT]]=1,0.7,1))</f>
        <v>1.2887583195380892</v>
      </c>
      <c r="AI4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">
        <f>IF(Games[[#This Row],[Team]]="","",Games[[#This Row],[K]]*IF(Games[[#This Row],[DivG]]=1,DivMult,1)*IF(Games[[#This Row],[ConfG]]=1,ConfMult,1)*Games[[#This Row],[POMult]])</f>
        <v>50.237550000000006</v>
      </c>
      <c r="AK43">
        <f>IF(Games[[#This Row],[Team]]="","",(Games[[#This Row],[Keff]]*Games[[#This Row],[MOVMult]])*(Games[[#This Row],[Result]]-Games[[#This Row],[ExpectedWin]]))</f>
        <v>-20.969299141824322</v>
      </c>
      <c r="AL43">
        <f>IF(Games[[#This Row],[Team]]="","",Games[[#This Row],[PreGmRate]]+Games[[#This Row],[RatingChange]])</f>
        <v>1410.3615753337483</v>
      </c>
      <c r="AM43">
        <f>IF(Games[[#This Row],[Team]]="","",IF(Games[[#This Row],[Type]]="R",IF(Games[[#This Row],[Result]]&gt;0.5,1,0),0))</f>
        <v>0</v>
      </c>
      <c r="AN43">
        <f>IF(Games[[#This Row],[Team]]="","",IF(Games[[#This Row],[Type]]="R",IF(Games[[#This Row],[Result]]&lt;0.5,1,0),0))</f>
        <v>1</v>
      </c>
      <c r="AO43">
        <f>IF(Games[[#This Row],[Team]]="","",IF(Games[[#This Row],[Type]]="R",IF(Games[[#This Row],[Result]]=0.5,1,0),0))</f>
        <v>0</v>
      </c>
    </row>
    <row r="44" spans="1:41" x14ac:dyDescent="0.35">
      <c r="A44" s="8">
        <v>35316</v>
      </c>
      <c r="B44">
        <v>1996</v>
      </c>
      <c r="C44" t="s">
        <v>197</v>
      </c>
      <c r="D44" t="s">
        <v>199</v>
      </c>
      <c r="E44" t="s">
        <v>153</v>
      </c>
      <c r="F44" t="s">
        <v>124</v>
      </c>
      <c r="G44" t="s">
        <v>201</v>
      </c>
      <c r="H44">
        <v>34</v>
      </c>
      <c r="I44">
        <v>27</v>
      </c>
      <c r="J44">
        <v>0</v>
      </c>
      <c r="K4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4">
        <f>IF(Games[[#This Row],[Team]]="","",IF(Games[[#This Row],[Conf]]=Games[[#This Row],[OppConf]],1,0))</f>
        <v>1</v>
      </c>
      <c r="P44">
        <f>IF(Games[[#This Row],[Team]]="","",IF(AND(Games[[#This Row],[Conf]]=Games[[#This Row],[OppConf]],Games[[#This Row],[Div]]=Games[[#This Row],[OppDiv]]),1,0))</f>
        <v>1</v>
      </c>
      <c r="Q44">
        <f>IF(Games[[#This Row],[Team]]="","",_xlfn.MINIFS(Games[Date],Games[Season],Games[[#This Row],[Season]]))</f>
        <v>35309</v>
      </c>
      <c r="R44">
        <f>IF(Games[[#This Row],[Team]]="","",INT((Games[[#This Row],[Date]]-(Games[[#This Row],[SeasonStart]]-MOD(WEEKDAY(Games[[#This Row],[SeasonStart]],2)-2,7)))/7)+1)</f>
        <v>2</v>
      </c>
      <c r="S44">
        <f>IF(Games[[#This Row],[Team]]="","",COUNTIFS(Games[Team],Games[[#This Row],[Team]],Games[Season],Games[[#This Row],[Season]],Games[Week],"&lt;="&amp;Games[[#This Row],[Week]]))</f>
        <v>2</v>
      </c>
      <c r="T44">
        <f>IF(Games[[#This Row],[Team]]="","",_xlfn.MAXIFS(Games[Week],Games[Team],Games[[#This Row],[Team]],Games[Season],Games[[#This Row],[Season]],Games[Week],"&lt;"&amp;Games[[#This Row],[Week]]))</f>
        <v>1</v>
      </c>
      <c r="U44">
        <f>IF(Games[[#This Row],[Team]]="","",_xlfn.MAXIFS(Games[Week],Games[Team],Games[[#This Row],[Opponent]],Games[Season],Games[[#This Row],[Season]],Games[Week],"&lt;"&amp;Games[[#This Row],[Week]]))</f>
        <v>1</v>
      </c>
      <c r="V4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1488.7323411056705</v>
      </c>
      <c r="Z4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1527.276986408421</v>
      </c>
      <c r="AA4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0.34607296786628794</v>
      </c>
      <c r="AB44">
        <f>IF(Games[[#This Row],[Team]]="","",Games[[#This Row],[PointsFor]]-Games[[#This Row],[PointsAgainst]])</f>
        <v>7</v>
      </c>
      <c r="AC44">
        <f>IF(Games[[#This Row],[Team]]="","",IF(Games[[#This Row],[MOV]]&gt;0,1,IF(Games[[#This Row],[MOV]]=0,0.5,0)))</f>
        <v>1</v>
      </c>
      <c r="AD44">
        <f>IF(Games[[#This Row],[Team]]="","",--(OR(AND(Games[[#This Row],[ExpectedWin]]&gt;=0.5,Games[[#This Row],[Result]]=1),AND(Games[[#This Row],[ExpectedWin]]&lt;0.5,Games[[#This Row],[Result]]=0))))</f>
        <v>0</v>
      </c>
      <c r="AE44">
        <f>IF(Games[[#This Row],[Team]]="","",-(Games[[#This Row],[Result]]*LN(Games[[#This Row],[ExpectedWin]])+(1-Games[[#This Row],[Result]])*LN(1-Games[[#This Row],[ExpectedWin]])))</f>
        <v>1.0611056363715787</v>
      </c>
      <c r="AF44">
        <f>IF(Games[[#This Row],[Team]]="","",IF(Games[[#This Row],[Season]]&gt;=2021,17,16))</f>
        <v>16</v>
      </c>
      <c r="AG44">
        <f>IF(Games[[#This Row],[Team]]="","",KMax-(KMax-KFloor)*MIN(Games[[#This Row],[GamesPlayed]],Games[[#This Row],[SeasonLen]])/Games[[#This Row],[SeasonLen]])</f>
        <v>44.774999999999999</v>
      </c>
      <c r="AH44">
        <f>IF(Games[[#This Row],[Team]]="","",((ABS(Games[[#This Row],[MOV]])+3)^0.8)/(7.5+0.006*ABS(Games[[#This Row],[PreGmRate]]-Games[[#This Row],[OppPreGmRate]]))*IF(Games[[#This Row],[OT]]=1,0.7,1))</f>
        <v>0.81611108933410503</v>
      </c>
      <c r="AI4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">
        <f>IF(Games[[#This Row],[Team]]="","",Games[[#This Row],[K]]*IF(Games[[#This Row],[DivG]]=1,DivMult,1)*IF(Games[[#This Row],[ConfG]]=1,ConfMult,1)*Games[[#This Row],[POMult]])</f>
        <v>50.237550000000006</v>
      </c>
      <c r="AK44">
        <f>IF(Games[[#This Row],[Team]]="","",(Games[[#This Row],[Keff]]*Games[[#This Row],[MOVMult]])*(Games[[#This Row],[Result]]-Games[[#This Row],[ExpectedWin]]))</f>
        <v>26.810630122691403</v>
      </c>
      <c r="AL44">
        <f>IF(Games[[#This Row],[Team]]="","",Games[[#This Row],[PreGmRate]]+Games[[#This Row],[RatingChange]])</f>
        <v>1515.5429712283619</v>
      </c>
      <c r="AM44">
        <f>IF(Games[[#This Row],[Team]]="","",IF(Games[[#This Row],[Type]]="R",IF(Games[[#This Row],[Result]]&gt;0.5,1,0),0))</f>
        <v>1</v>
      </c>
      <c r="AN44">
        <f>IF(Games[[#This Row],[Team]]="","",IF(Games[[#This Row],[Type]]="R",IF(Games[[#This Row],[Result]]&lt;0.5,1,0),0))</f>
        <v>0</v>
      </c>
      <c r="AO44">
        <f>IF(Games[[#This Row],[Team]]="","",IF(Games[[#This Row],[Type]]="R",IF(Games[[#This Row],[Result]]=0.5,1,0),0))</f>
        <v>0</v>
      </c>
    </row>
    <row r="45" spans="1:41" x14ac:dyDescent="0.35">
      <c r="A45" s="8">
        <v>35316</v>
      </c>
      <c r="B45">
        <v>1996</v>
      </c>
      <c r="C45" t="s">
        <v>197</v>
      </c>
      <c r="D45" t="s">
        <v>199</v>
      </c>
      <c r="E45" t="s">
        <v>124</v>
      </c>
      <c r="F45" t="s">
        <v>153</v>
      </c>
      <c r="G45" t="s">
        <v>200</v>
      </c>
      <c r="H45">
        <v>27</v>
      </c>
      <c r="I45">
        <v>34</v>
      </c>
      <c r="J45">
        <v>0</v>
      </c>
      <c r="K4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5">
        <f>IF(Games[[#This Row],[Team]]="","",IF(Games[[#This Row],[Conf]]=Games[[#This Row],[OppConf]],1,0))</f>
        <v>1</v>
      </c>
      <c r="P45">
        <f>IF(Games[[#This Row],[Team]]="","",IF(AND(Games[[#This Row],[Conf]]=Games[[#This Row],[OppConf]],Games[[#This Row],[Div]]=Games[[#This Row],[OppDiv]]),1,0))</f>
        <v>1</v>
      </c>
      <c r="Q45">
        <f>IF(Games[[#This Row],[Team]]="","",_xlfn.MINIFS(Games[Date],Games[Season],Games[[#This Row],[Season]]))</f>
        <v>35309</v>
      </c>
      <c r="R45">
        <f>IF(Games[[#This Row],[Team]]="","",INT((Games[[#This Row],[Date]]-(Games[[#This Row],[SeasonStart]]-MOD(WEEKDAY(Games[[#This Row],[SeasonStart]],2)-2,7)))/7)+1)</f>
        <v>2</v>
      </c>
      <c r="S45">
        <f>IF(Games[[#This Row],[Team]]="","",COUNTIFS(Games[Team],Games[[#This Row],[Team]],Games[Season],Games[[#This Row],[Season]],Games[Week],"&lt;="&amp;Games[[#This Row],[Week]]))</f>
        <v>2</v>
      </c>
      <c r="T45">
        <f>IF(Games[[#This Row],[Team]]="","",_xlfn.MAXIFS(Games[Week],Games[Team],Games[[#This Row],[Team]],Games[Season],Games[[#This Row],[Season]],Games[Week],"&lt;"&amp;Games[[#This Row],[Week]]))</f>
        <v>1</v>
      </c>
      <c r="U45">
        <f>IF(Games[[#This Row],[Team]]="","",_xlfn.MAXIFS(Games[Week],Games[Team],Games[[#This Row],[Opponent]],Games[Season],Games[[#This Row],[Season]],Games[Week],"&lt;"&amp;Games[[#This Row],[Week]]))</f>
        <v>1</v>
      </c>
      <c r="V4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1527.276986408421</v>
      </c>
      <c r="Z4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1488.7323411056705</v>
      </c>
      <c r="AA4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0.65392703213371217</v>
      </c>
      <c r="AB45">
        <f>IF(Games[[#This Row],[Team]]="","",Games[[#This Row],[PointsFor]]-Games[[#This Row],[PointsAgainst]])</f>
        <v>-7</v>
      </c>
      <c r="AC45">
        <f>IF(Games[[#This Row],[Team]]="","",IF(Games[[#This Row],[MOV]]&gt;0,1,IF(Games[[#This Row],[MOV]]=0,0.5,0)))</f>
        <v>0</v>
      </c>
      <c r="AD45">
        <f>IF(Games[[#This Row],[Team]]="","",--(OR(AND(Games[[#This Row],[ExpectedWin]]&gt;=0.5,Games[[#This Row],[Result]]=1),AND(Games[[#This Row],[ExpectedWin]]&lt;0.5,Games[[#This Row],[Result]]=0))))</f>
        <v>0</v>
      </c>
      <c r="AE45">
        <f>IF(Games[[#This Row],[Team]]="","",-(Games[[#This Row],[Result]]*LN(Games[[#This Row],[ExpectedWin]])+(1-Games[[#This Row],[Result]])*LN(1-Games[[#This Row],[ExpectedWin]])))</f>
        <v>1.061105636371579</v>
      </c>
      <c r="AF45">
        <f>IF(Games[[#This Row],[Team]]="","",IF(Games[[#This Row],[Season]]&gt;=2021,17,16))</f>
        <v>16</v>
      </c>
      <c r="AG45">
        <f>IF(Games[[#This Row],[Team]]="","",KMax-(KMax-KFloor)*MIN(Games[[#This Row],[GamesPlayed]],Games[[#This Row],[SeasonLen]])/Games[[#This Row],[SeasonLen]])</f>
        <v>44.774999999999999</v>
      </c>
      <c r="AH45">
        <f>IF(Games[[#This Row],[Team]]="","",((ABS(Games[[#This Row],[MOV]])+3)^0.8)/(7.5+0.006*ABS(Games[[#This Row],[PreGmRate]]-Games[[#This Row],[OppPreGmRate]]))*IF(Games[[#This Row],[OT]]=1,0.7,1))</f>
        <v>0.81611108933410503</v>
      </c>
      <c r="AI4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">
        <f>IF(Games[[#This Row],[Team]]="","",Games[[#This Row],[K]]*IF(Games[[#This Row],[DivG]]=1,DivMult,1)*IF(Games[[#This Row],[ConfG]]=1,ConfMult,1)*Games[[#This Row],[POMult]])</f>
        <v>50.237550000000006</v>
      </c>
      <c r="AK45">
        <f>IF(Games[[#This Row],[Team]]="","",(Games[[#This Row],[Keff]]*Games[[#This Row],[MOVMult]])*(Games[[#This Row],[Result]]-Games[[#This Row],[ExpectedWin]]))</f>
        <v>-26.810630122691411</v>
      </c>
      <c r="AL45">
        <f>IF(Games[[#This Row],[Team]]="","",Games[[#This Row],[PreGmRate]]+Games[[#This Row],[RatingChange]])</f>
        <v>1500.4663562857295</v>
      </c>
      <c r="AM45">
        <f>IF(Games[[#This Row],[Team]]="","",IF(Games[[#This Row],[Type]]="R",IF(Games[[#This Row],[Result]]&gt;0.5,1,0),0))</f>
        <v>0</v>
      </c>
      <c r="AN45">
        <f>IF(Games[[#This Row],[Team]]="","",IF(Games[[#This Row],[Type]]="R",IF(Games[[#This Row],[Result]]&lt;0.5,1,0),0))</f>
        <v>1</v>
      </c>
      <c r="AO45">
        <f>IF(Games[[#This Row],[Team]]="","",IF(Games[[#This Row],[Type]]="R",IF(Games[[#This Row],[Result]]=0.5,1,0),0))</f>
        <v>0</v>
      </c>
    </row>
    <row r="46" spans="1:41" x14ac:dyDescent="0.35">
      <c r="A46" s="8">
        <v>35316</v>
      </c>
      <c r="B46">
        <v>1996</v>
      </c>
      <c r="C46" t="s">
        <v>197</v>
      </c>
      <c r="D46" t="s">
        <v>199</v>
      </c>
      <c r="E46" t="s">
        <v>126</v>
      </c>
      <c r="F46" t="s">
        <v>140</v>
      </c>
      <c r="G46" t="s">
        <v>200</v>
      </c>
      <c r="H46">
        <v>19</v>
      </c>
      <c r="I46">
        <v>3</v>
      </c>
      <c r="J46">
        <v>0</v>
      </c>
      <c r="K4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6">
        <f>IF(Games[[#This Row],[Team]]="","",IF(Games[[#This Row],[Conf]]=Games[[#This Row],[OppConf]],1,0))</f>
        <v>1</v>
      </c>
      <c r="P46">
        <f>IF(Games[[#This Row],[Team]]="","",IF(AND(Games[[#This Row],[Conf]]=Games[[#This Row],[OppConf]],Games[[#This Row],[Div]]=Games[[#This Row],[OppDiv]]),1,0))</f>
        <v>1</v>
      </c>
      <c r="Q46">
        <f>IF(Games[[#This Row],[Team]]="","",_xlfn.MINIFS(Games[Date],Games[Season],Games[[#This Row],[Season]]))</f>
        <v>35309</v>
      </c>
      <c r="R46">
        <f>IF(Games[[#This Row],[Team]]="","",INT((Games[[#This Row],[Date]]-(Games[[#This Row],[SeasonStart]]-MOD(WEEKDAY(Games[[#This Row],[SeasonStart]],2)-2,7)))/7)+1)</f>
        <v>2</v>
      </c>
      <c r="S46">
        <f>IF(Games[[#This Row],[Team]]="","",COUNTIFS(Games[Team],Games[[#This Row],[Team]],Games[Season],Games[[#This Row],[Season]],Games[Week],"&lt;="&amp;Games[[#This Row],[Week]]))</f>
        <v>2</v>
      </c>
      <c r="T46">
        <f>IF(Games[[#This Row],[Team]]="","",_xlfn.MAXIFS(Games[Week],Games[Team],Games[[#This Row],[Team]],Games[Season],Games[[#This Row],[Season]],Games[Week],"&lt;"&amp;Games[[#This Row],[Week]]))</f>
        <v>1</v>
      </c>
      <c r="U46">
        <f>IF(Games[[#This Row],[Team]]="","",_xlfn.MAXIFS(Games[Week],Games[Team],Games[[#This Row],[Opponent]],Games[Season],Games[[#This Row],[Season]],Games[Week],"&lt;"&amp;Games[[#This Row],[Week]]))</f>
        <v>1</v>
      </c>
      <c r="V4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1511.2676588943295</v>
      </c>
      <c r="Z4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1487.0384276716629</v>
      </c>
      <c r="AA4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0.63504921322875252</v>
      </c>
      <c r="AB46">
        <f>IF(Games[[#This Row],[Team]]="","",Games[[#This Row],[PointsFor]]-Games[[#This Row],[PointsAgainst]])</f>
        <v>16</v>
      </c>
      <c r="AC46">
        <f>IF(Games[[#This Row],[Team]]="","",IF(Games[[#This Row],[MOV]]&gt;0,1,IF(Games[[#This Row],[MOV]]=0,0.5,0)))</f>
        <v>1</v>
      </c>
      <c r="AD46">
        <f>IF(Games[[#This Row],[Team]]="","",--(OR(AND(Games[[#This Row],[ExpectedWin]]&gt;=0.5,Games[[#This Row],[Result]]=1),AND(Games[[#This Row],[ExpectedWin]]&lt;0.5,Games[[#This Row],[Result]]=0))))</f>
        <v>1</v>
      </c>
      <c r="AE46">
        <f>IF(Games[[#This Row],[Team]]="","",-(Games[[#This Row],[Result]]*LN(Games[[#This Row],[ExpectedWin]])+(1-Games[[#This Row],[Result]])*LN(1-Games[[#This Row],[ExpectedWin]])))</f>
        <v>0.45405278194486243</v>
      </c>
      <c r="AF46">
        <f>IF(Games[[#This Row],[Team]]="","",IF(Games[[#This Row],[Season]]&gt;=2021,17,16))</f>
        <v>16</v>
      </c>
      <c r="AG46">
        <f>IF(Games[[#This Row],[Team]]="","",KMax-(KMax-KFloor)*MIN(Games[[#This Row],[GamesPlayed]],Games[[#This Row],[SeasonLen]])/Games[[#This Row],[SeasonLen]])</f>
        <v>44.774999999999999</v>
      </c>
      <c r="AH46">
        <f>IF(Games[[#This Row],[Team]]="","",((ABS(Games[[#This Row],[MOV]])+3)^0.8)/(7.5+0.006*ABS(Games[[#This Row],[PreGmRate]]-Games[[#This Row],[OppPreGmRate]]))*IF(Games[[#This Row],[OT]]=1,0.7,1))</f>
        <v>1.3791263828855269</v>
      </c>
      <c r="AI4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">
        <f>IF(Games[[#This Row],[Team]]="","",Games[[#This Row],[K]]*IF(Games[[#This Row],[DivG]]=1,DivMult,1)*IF(Games[[#This Row],[ConfG]]=1,ConfMult,1)*Games[[#This Row],[POMult]])</f>
        <v>50.237550000000006</v>
      </c>
      <c r="AK46">
        <f>IF(Games[[#This Row],[Team]]="","",(Games[[#This Row],[Keff]]*Games[[#This Row],[MOVMult]])*(Games[[#This Row],[Result]]-Games[[#This Row],[ExpectedWin]]))</f>
        <v>25.285224989107441</v>
      </c>
      <c r="AL46">
        <f>IF(Games[[#This Row],[Team]]="","",Games[[#This Row],[PreGmRate]]+Games[[#This Row],[RatingChange]])</f>
        <v>1536.5528838834371</v>
      </c>
      <c r="AM46">
        <f>IF(Games[[#This Row],[Team]]="","",IF(Games[[#This Row],[Type]]="R",IF(Games[[#This Row],[Result]]&gt;0.5,1,0),0))</f>
        <v>1</v>
      </c>
      <c r="AN46">
        <f>IF(Games[[#This Row],[Team]]="","",IF(Games[[#This Row],[Type]]="R",IF(Games[[#This Row],[Result]]&lt;0.5,1,0),0))</f>
        <v>0</v>
      </c>
      <c r="AO46">
        <f>IF(Games[[#This Row],[Team]]="","",IF(Games[[#This Row],[Type]]="R",IF(Games[[#This Row],[Result]]=0.5,1,0),0))</f>
        <v>0</v>
      </c>
    </row>
    <row r="47" spans="1:41" x14ac:dyDescent="0.35">
      <c r="A47" s="8">
        <v>35316</v>
      </c>
      <c r="B47">
        <v>1996</v>
      </c>
      <c r="C47" t="s">
        <v>197</v>
      </c>
      <c r="D47" t="s">
        <v>199</v>
      </c>
      <c r="E47" t="s">
        <v>140</v>
      </c>
      <c r="F47" t="s">
        <v>126</v>
      </c>
      <c r="G47" t="s">
        <v>201</v>
      </c>
      <c r="H47">
        <v>3</v>
      </c>
      <c r="I47">
        <v>19</v>
      </c>
      <c r="J47">
        <v>0</v>
      </c>
      <c r="K4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7">
        <f>IF(Games[[#This Row],[Team]]="","",IF(Games[[#This Row],[Conf]]=Games[[#This Row],[OppConf]],1,0))</f>
        <v>1</v>
      </c>
      <c r="P47">
        <f>IF(Games[[#This Row],[Team]]="","",IF(AND(Games[[#This Row],[Conf]]=Games[[#This Row],[OppConf]],Games[[#This Row],[Div]]=Games[[#This Row],[OppDiv]]),1,0))</f>
        <v>1</v>
      </c>
      <c r="Q47">
        <f>IF(Games[[#This Row],[Team]]="","",_xlfn.MINIFS(Games[Date],Games[Season],Games[[#This Row],[Season]]))</f>
        <v>35309</v>
      </c>
      <c r="R47">
        <f>IF(Games[[#This Row],[Team]]="","",INT((Games[[#This Row],[Date]]-(Games[[#This Row],[SeasonStart]]-MOD(WEEKDAY(Games[[#This Row],[SeasonStart]],2)-2,7)))/7)+1)</f>
        <v>2</v>
      </c>
      <c r="S47">
        <f>IF(Games[[#This Row],[Team]]="","",COUNTIFS(Games[Team],Games[[#This Row],[Team]],Games[Season],Games[[#This Row],[Season]],Games[Week],"&lt;="&amp;Games[[#This Row],[Week]]))</f>
        <v>2</v>
      </c>
      <c r="T47">
        <f>IF(Games[[#This Row],[Team]]="","",_xlfn.MAXIFS(Games[Week],Games[Team],Games[[#This Row],[Team]],Games[Season],Games[[#This Row],[Season]],Games[Week],"&lt;"&amp;Games[[#This Row],[Week]]))</f>
        <v>1</v>
      </c>
      <c r="U47">
        <f>IF(Games[[#This Row],[Team]]="","",_xlfn.MAXIFS(Games[Week],Games[Team],Games[[#This Row],[Opponent]],Games[Season],Games[[#This Row],[Season]],Games[Week],"&lt;"&amp;Games[[#This Row],[Week]]))</f>
        <v>1</v>
      </c>
      <c r="V4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1487.0384276716629</v>
      </c>
      <c r="Z4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1511.2676588943295</v>
      </c>
      <c r="AA4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0.36495078677124748</v>
      </c>
      <c r="AB47">
        <f>IF(Games[[#This Row],[Team]]="","",Games[[#This Row],[PointsFor]]-Games[[#This Row],[PointsAgainst]])</f>
        <v>-16</v>
      </c>
      <c r="AC47">
        <f>IF(Games[[#This Row],[Team]]="","",IF(Games[[#This Row],[MOV]]&gt;0,1,IF(Games[[#This Row],[MOV]]=0,0.5,0)))</f>
        <v>0</v>
      </c>
      <c r="AD47">
        <f>IF(Games[[#This Row],[Team]]="","",--(OR(AND(Games[[#This Row],[ExpectedWin]]&gt;=0.5,Games[[#This Row],[Result]]=1),AND(Games[[#This Row],[ExpectedWin]]&lt;0.5,Games[[#This Row],[Result]]=0))))</f>
        <v>1</v>
      </c>
      <c r="AE47">
        <f>IF(Games[[#This Row],[Team]]="","",-(Games[[#This Row],[Result]]*LN(Games[[#This Row],[ExpectedWin]])+(1-Games[[#This Row],[Result]])*LN(1-Games[[#This Row],[ExpectedWin]])))</f>
        <v>0.45405278194486243</v>
      </c>
      <c r="AF47">
        <f>IF(Games[[#This Row],[Team]]="","",IF(Games[[#This Row],[Season]]&gt;=2021,17,16))</f>
        <v>16</v>
      </c>
      <c r="AG47">
        <f>IF(Games[[#This Row],[Team]]="","",KMax-(KMax-KFloor)*MIN(Games[[#This Row],[GamesPlayed]],Games[[#This Row],[SeasonLen]])/Games[[#This Row],[SeasonLen]])</f>
        <v>44.774999999999999</v>
      </c>
      <c r="AH47">
        <f>IF(Games[[#This Row],[Team]]="","",((ABS(Games[[#This Row],[MOV]])+3)^0.8)/(7.5+0.006*ABS(Games[[#This Row],[PreGmRate]]-Games[[#This Row],[OppPreGmRate]]))*IF(Games[[#This Row],[OT]]=1,0.7,1))</f>
        <v>1.3791263828855269</v>
      </c>
      <c r="AI4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">
        <f>IF(Games[[#This Row],[Team]]="","",Games[[#This Row],[K]]*IF(Games[[#This Row],[DivG]]=1,DivMult,1)*IF(Games[[#This Row],[ConfG]]=1,ConfMult,1)*Games[[#This Row],[POMult]])</f>
        <v>50.237550000000006</v>
      </c>
      <c r="AK47">
        <f>IF(Games[[#This Row],[Team]]="","",(Games[[#This Row],[Keff]]*Games[[#This Row],[MOVMult]])*(Games[[#This Row],[Result]]-Games[[#This Row],[ExpectedWin]]))</f>
        <v>-25.285224989107441</v>
      </c>
      <c r="AL47">
        <f>IF(Games[[#This Row],[Team]]="","",Games[[#This Row],[PreGmRate]]+Games[[#This Row],[RatingChange]])</f>
        <v>1461.7532026825554</v>
      </c>
      <c r="AM47">
        <f>IF(Games[[#This Row],[Team]]="","",IF(Games[[#This Row],[Type]]="R",IF(Games[[#This Row],[Result]]&gt;0.5,1,0),0))</f>
        <v>0</v>
      </c>
      <c r="AN47">
        <f>IF(Games[[#This Row],[Team]]="","",IF(Games[[#This Row],[Type]]="R",IF(Games[[#This Row],[Result]]&lt;0.5,1,0),0))</f>
        <v>1</v>
      </c>
      <c r="AO47">
        <f>IF(Games[[#This Row],[Team]]="","",IF(Games[[#This Row],[Type]]="R",IF(Games[[#This Row],[Result]]=0.5,1,0),0))</f>
        <v>0</v>
      </c>
    </row>
    <row r="48" spans="1:41" x14ac:dyDescent="0.35">
      <c r="A48" s="8">
        <v>35316</v>
      </c>
      <c r="B48">
        <v>1996</v>
      </c>
      <c r="C48" t="s">
        <v>197</v>
      </c>
      <c r="D48" t="s">
        <v>199</v>
      </c>
      <c r="E48" t="s">
        <v>143</v>
      </c>
      <c r="F48" t="s">
        <v>101</v>
      </c>
      <c r="G48" t="s">
        <v>200</v>
      </c>
      <c r="H48">
        <v>31</v>
      </c>
      <c r="I48">
        <v>17</v>
      </c>
      <c r="J48">
        <v>0</v>
      </c>
      <c r="K4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8">
        <f>IF(Games[[#This Row],[Team]]="","",IF(Games[[#This Row],[Conf]]=Games[[#This Row],[OppConf]],1,0))</f>
        <v>1</v>
      </c>
      <c r="P48">
        <f>IF(Games[[#This Row],[Team]]="","",IF(AND(Games[[#This Row],[Conf]]=Games[[#This Row],[OppConf]],Games[[#This Row],[Div]]=Games[[#This Row],[OppDiv]]),1,0))</f>
        <v>1</v>
      </c>
      <c r="Q48">
        <f>IF(Games[[#This Row],[Team]]="","",_xlfn.MINIFS(Games[Date],Games[Season],Games[[#This Row],[Season]]))</f>
        <v>35309</v>
      </c>
      <c r="R48">
        <f>IF(Games[[#This Row],[Team]]="","",INT((Games[[#This Row],[Date]]-(Games[[#This Row],[SeasonStart]]-MOD(WEEKDAY(Games[[#This Row],[SeasonStart]],2)-2,7)))/7)+1)</f>
        <v>2</v>
      </c>
      <c r="S48">
        <f>IF(Games[[#This Row],[Team]]="","",COUNTIFS(Games[Team],Games[[#This Row],[Team]],Games[Season],Games[[#This Row],[Season]],Games[Week],"&lt;="&amp;Games[[#This Row],[Week]]))</f>
        <v>2</v>
      </c>
      <c r="T48">
        <f>IF(Games[[#This Row],[Team]]="","",_xlfn.MAXIFS(Games[Week],Games[Team],Games[[#This Row],[Team]],Games[Season],Games[[#This Row],[Season]],Games[Week],"&lt;"&amp;Games[[#This Row],[Week]]))</f>
        <v>1</v>
      </c>
      <c r="U48">
        <f>IF(Games[[#This Row],[Team]]="","",_xlfn.MAXIFS(Games[Week],Games[Team],Games[[#This Row],[Opponent]],Games[Season],Games[[#This Row],[Season]],Games[Week],"&lt;"&amp;Games[[#This Row],[Week]]))</f>
        <v>1</v>
      </c>
      <c r="V4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1472.723013591579</v>
      </c>
      <c r="Z4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1512.9615723283371</v>
      </c>
      <c r="AA4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0.54558148369625159</v>
      </c>
      <c r="AB48">
        <f>IF(Games[[#This Row],[Team]]="","",Games[[#This Row],[PointsFor]]-Games[[#This Row],[PointsAgainst]])</f>
        <v>14</v>
      </c>
      <c r="AC48">
        <f>IF(Games[[#This Row],[Team]]="","",IF(Games[[#This Row],[MOV]]&gt;0,1,IF(Games[[#This Row],[MOV]]=0,0.5,0)))</f>
        <v>1</v>
      </c>
      <c r="AD48">
        <f>IF(Games[[#This Row],[Team]]="","",--(OR(AND(Games[[#This Row],[ExpectedWin]]&gt;=0.5,Games[[#This Row],[Result]]=1),AND(Games[[#This Row],[ExpectedWin]]&lt;0.5,Games[[#This Row],[Result]]=0))))</f>
        <v>1</v>
      </c>
      <c r="AE48">
        <f>IF(Games[[#This Row],[Team]]="","",-(Games[[#This Row],[Result]]*LN(Games[[#This Row],[ExpectedWin]])+(1-Games[[#This Row],[Result]])*LN(1-Games[[#This Row],[ExpectedWin]])))</f>
        <v>0.60590311053564516</v>
      </c>
      <c r="AF48">
        <f>IF(Games[[#This Row],[Team]]="","",IF(Games[[#This Row],[Season]]&gt;=2021,17,16))</f>
        <v>16</v>
      </c>
      <c r="AG48">
        <f>IF(Games[[#This Row],[Team]]="","",KMax-(KMax-KFloor)*MIN(Games[[#This Row],[GamesPlayed]],Games[[#This Row],[SeasonLen]])/Games[[#This Row],[SeasonLen]])</f>
        <v>44.774999999999999</v>
      </c>
      <c r="AH48">
        <f>IF(Games[[#This Row],[Team]]="","",((ABS(Games[[#This Row],[MOV]])+3)^0.8)/(7.5+0.006*ABS(Games[[#This Row],[PreGmRate]]-Games[[#This Row],[OppPreGmRate]]))*IF(Games[[#This Row],[OT]]=1,0.7,1))</f>
        <v>1.2460568875807085</v>
      </c>
      <c r="AI4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8">
        <f>IF(Games[[#This Row],[Team]]="","",Games[[#This Row],[K]]*IF(Games[[#This Row],[DivG]]=1,DivMult,1)*IF(Games[[#This Row],[ConfG]]=1,ConfMult,1)*Games[[#This Row],[POMult]])</f>
        <v>50.237550000000006</v>
      </c>
      <c r="AK48">
        <f>IF(Games[[#This Row],[Team]]="","",(Games[[#This Row],[Keff]]*Games[[#This Row],[MOVMult]])*(Games[[#This Row],[Result]]-Games[[#This Row],[ExpectedWin]]))</f>
        <v>28.446074354785782</v>
      </c>
      <c r="AL48">
        <f>IF(Games[[#This Row],[Team]]="","",Games[[#This Row],[PreGmRate]]+Games[[#This Row],[RatingChange]])</f>
        <v>1501.1690879463649</v>
      </c>
      <c r="AM48">
        <f>IF(Games[[#This Row],[Team]]="","",IF(Games[[#This Row],[Type]]="R",IF(Games[[#This Row],[Result]]&gt;0.5,1,0),0))</f>
        <v>1</v>
      </c>
      <c r="AN48">
        <f>IF(Games[[#This Row],[Team]]="","",IF(Games[[#This Row],[Type]]="R",IF(Games[[#This Row],[Result]]&lt;0.5,1,0),0))</f>
        <v>0</v>
      </c>
      <c r="AO48">
        <f>IF(Games[[#This Row],[Team]]="","",IF(Games[[#This Row],[Type]]="R",IF(Games[[#This Row],[Result]]=0.5,1,0),0))</f>
        <v>0</v>
      </c>
    </row>
    <row r="49" spans="1:41" x14ac:dyDescent="0.35">
      <c r="A49" s="8">
        <v>35316</v>
      </c>
      <c r="B49">
        <v>1996</v>
      </c>
      <c r="C49" t="s">
        <v>197</v>
      </c>
      <c r="D49" t="s">
        <v>199</v>
      </c>
      <c r="E49" t="s">
        <v>101</v>
      </c>
      <c r="F49" t="s">
        <v>143</v>
      </c>
      <c r="G49" t="s">
        <v>201</v>
      </c>
      <c r="H49">
        <v>17</v>
      </c>
      <c r="I49">
        <v>31</v>
      </c>
      <c r="J49">
        <v>0</v>
      </c>
      <c r="K4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9">
        <f>IF(Games[[#This Row],[Team]]="","",IF(Games[[#This Row],[Conf]]=Games[[#This Row],[OppConf]],1,0))</f>
        <v>1</v>
      </c>
      <c r="P49">
        <f>IF(Games[[#This Row],[Team]]="","",IF(AND(Games[[#This Row],[Conf]]=Games[[#This Row],[OppConf]],Games[[#This Row],[Div]]=Games[[#This Row],[OppDiv]]),1,0))</f>
        <v>1</v>
      </c>
      <c r="Q49">
        <f>IF(Games[[#This Row],[Team]]="","",_xlfn.MINIFS(Games[Date],Games[Season],Games[[#This Row],[Season]]))</f>
        <v>35309</v>
      </c>
      <c r="R49">
        <f>IF(Games[[#This Row],[Team]]="","",INT((Games[[#This Row],[Date]]-(Games[[#This Row],[SeasonStart]]-MOD(WEEKDAY(Games[[#This Row],[SeasonStart]],2)-2,7)))/7)+1)</f>
        <v>2</v>
      </c>
      <c r="S49">
        <f>IF(Games[[#This Row],[Team]]="","",COUNTIFS(Games[Team],Games[[#This Row],[Team]],Games[Season],Games[[#This Row],[Season]],Games[Week],"&lt;="&amp;Games[[#This Row],[Week]]))</f>
        <v>2</v>
      </c>
      <c r="T49">
        <f>IF(Games[[#This Row],[Team]]="","",_xlfn.MAXIFS(Games[Week],Games[Team],Games[[#This Row],[Team]],Games[Season],Games[[#This Row],[Season]],Games[Week],"&lt;"&amp;Games[[#This Row],[Week]]))</f>
        <v>1</v>
      </c>
      <c r="U49">
        <f>IF(Games[[#This Row],[Team]]="","",_xlfn.MAXIFS(Games[Week],Games[Team],Games[[#This Row],[Opponent]],Games[Season],Games[[#This Row],[Season]],Games[Week],"&lt;"&amp;Games[[#This Row],[Week]]))</f>
        <v>1</v>
      </c>
      <c r="V4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1512.9615723283371</v>
      </c>
      <c r="Z4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1472.723013591579</v>
      </c>
      <c r="AA4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0.45441851630374841</v>
      </c>
      <c r="AB49">
        <f>IF(Games[[#This Row],[Team]]="","",Games[[#This Row],[PointsFor]]-Games[[#This Row],[PointsAgainst]])</f>
        <v>-14</v>
      </c>
      <c r="AC49">
        <f>IF(Games[[#This Row],[Team]]="","",IF(Games[[#This Row],[MOV]]&gt;0,1,IF(Games[[#This Row],[MOV]]=0,0.5,0)))</f>
        <v>0</v>
      </c>
      <c r="AD49">
        <f>IF(Games[[#This Row],[Team]]="","",--(OR(AND(Games[[#This Row],[ExpectedWin]]&gt;=0.5,Games[[#This Row],[Result]]=1),AND(Games[[#This Row],[ExpectedWin]]&lt;0.5,Games[[#This Row],[Result]]=0))))</f>
        <v>1</v>
      </c>
      <c r="AE49">
        <f>IF(Games[[#This Row],[Team]]="","",-(Games[[#This Row],[Result]]*LN(Games[[#This Row],[ExpectedWin]])+(1-Games[[#This Row],[Result]])*LN(1-Games[[#This Row],[ExpectedWin]])))</f>
        <v>0.60590311053564516</v>
      </c>
      <c r="AF49">
        <f>IF(Games[[#This Row],[Team]]="","",IF(Games[[#This Row],[Season]]&gt;=2021,17,16))</f>
        <v>16</v>
      </c>
      <c r="AG49">
        <f>IF(Games[[#This Row],[Team]]="","",KMax-(KMax-KFloor)*MIN(Games[[#This Row],[GamesPlayed]],Games[[#This Row],[SeasonLen]])/Games[[#This Row],[SeasonLen]])</f>
        <v>44.774999999999999</v>
      </c>
      <c r="AH49">
        <f>IF(Games[[#This Row],[Team]]="","",((ABS(Games[[#This Row],[MOV]])+3)^0.8)/(7.5+0.006*ABS(Games[[#This Row],[PreGmRate]]-Games[[#This Row],[OppPreGmRate]]))*IF(Games[[#This Row],[OT]]=1,0.7,1))</f>
        <v>1.2460568875807085</v>
      </c>
      <c r="AI4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9">
        <f>IF(Games[[#This Row],[Team]]="","",Games[[#This Row],[K]]*IF(Games[[#This Row],[DivG]]=1,DivMult,1)*IF(Games[[#This Row],[ConfG]]=1,ConfMult,1)*Games[[#This Row],[POMult]])</f>
        <v>50.237550000000006</v>
      </c>
      <c r="AK49">
        <f>IF(Games[[#This Row],[Team]]="","",(Games[[#This Row],[Keff]]*Games[[#This Row],[MOVMult]])*(Games[[#This Row],[Result]]-Games[[#This Row],[ExpectedWin]]))</f>
        <v>-28.446074354785782</v>
      </c>
      <c r="AL49">
        <f>IF(Games[[#This Row],[Team]]="","",Games[[#This Row],[PreGmRate]]+Games[[#This Row],[RatingChange]])</f>
        <v>1484.5154979735512</v>
      </c>
      <c r="AM49">
        <f>IF(Games[[#This Row],[Team]]="","",IF(Games[[#This Row],[Type]]="R",IF(Games[[#This Row],[Result]]&gt;0.5,1,0),0))</f>
        <v>0</v>
      </c>
      <c r="AN49">
        <f>IF(Games[[#This Row],[Team]]="","",IF(Games[[#This Row],[Type]]="R",IF(Games[[#This Row],[Result]]&lt;0.5,1,0),0))</f>
        <v>1</v>
      </c>
      <c r="AO49">
        <f>IF(Games[[#This Row],[Team]]="","",IF(Games[[#This Row],[Type]]="R",IF(Games[[#This Row],[Result]]=0.5,1,0),0))</f>
        <v>0</v>
      </c>
    </row>
    <row r="50" spans="1:41" x14ac:dyDescent="0.35">
      <c r="A50" s="8">
        <v>35316</v>
      </c>
      <c r="B50">
        <v>1996</v>
      </c>
      <c r="C50" t="s">
        <v>197</v>
      </c>
      <c r="D50" t="s">
        <v>199</v>
      </c>
      <c r="E50" t="s">
        <v>145</v>
      </c>
      <c r="F50" t="s">
        <v>112</v>
      </c>
      <c r="G50" t="s">
        <v>200</v>
      </c>
      <c r="H50">
        <v>27</v>
      </c>
      <c r="I50">
        <v>14</v>
      </c>
      <c r="J50">
        <v>0</v>
      </c>
      <c r="K5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5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5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5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50">
        <f>IF(Games[[#This Row],[Team]]="","",IF(Games[[#This Row],[Conf]]=Games[[#This Row],[OppConf]],1,0))</f>
        <v>1</v>
      </c>
      <c r="P50">
        <f>IF(Games[[#This Row],[Team]]="","",IF(AND(Games[[#This Row],[Conf]]=Games[[#This Row],[OppConf]],Games[[#This Row],[Div]]=Games[[#This Row],[OppDiv]]),1,0))</f>
        <v>0</v>
      </c>
      <c r="Q50">
        <f>IF(Games[[#This Row],[Team]]="","",_xlfn.MINIFS(Games[Date],Games[Season],Games[[#This Row],[Season]]))</f>
        <v>35309</v>
      </c>
      <c r="R50">
        <f>IF(Games[[#This Row],[Team]]="","",INT((Games[[#This Row],[Date]]-(Games[[#This Row],[SeasonStart]]-MOD(WEEKDAY(Games[[#This Row],[SeasonStart]],2)-2,7)))/7)+1)</f>
        <v>2</v>
      </c>
      <c r="S50">
        <f>IF(Games[[#This Row],[Team]]="","",COUNTIFS(Games[Team],Games[[#This Row],[Team]],Games[Season],Games[[#This Row],[Season]],Games[Week],"&lt;="&amp;Games[[#This Row],[Week]]))</f>
        <v>2</v>
      </c>
      <c r="T50">
        <f>IF(Games[[#This Row],[Team]]="","",_xlfn.MAXIFS(Games[Week],Games[Team],Games[[#This Row],[Team]],Games[Season],Games[[#This Row],[Season]],Games[Week],"&lt;"&amp;Games[[#This Row],[Week]]))</f>
        <v>1</v>
      </c>
      <c r="U50">
        <f>IF(Games[[#This Row],[Team]]="","",_xlfn.MAXIFS(Games[Week],Games[Team],Games[[#This Row],[Opponent]],Games[Season],Games[[#This Row],[Season]],Games[Week],"&lt;"&amp;Games[[#This Row],[Week]]))</f>
        <v>1</v>
      </c>
      <c r="V5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5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5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1535.4756523382168</v>
      </c>
      <c r="Z5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1481.2612676485023</v>
      </c>
      <c r="AA5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0.67404738658534968</v>
      </c>
      <c r="AB50">
        <f>IF(Games[[#This Row],[Team]]="","",Games[[#This Row],[PointsFor]]-Games[[#This Row],[PointsAgainst]])</f>
        <v>13</v>
      </c>
      <c r="AC50">
        <f>IF(Games[[#This Row],[Team]]="","",IF(Games[[#This Row],[MOV]]&gt;0,1,IF(Games[[#This Row],[MOV]]=0,0.5,0)))</f>
        <v>1</v>
      </c>
      <c r="AD50">
        <f>IF(Games[[#This Row],[Team]]="","",--(OR(AND(Games[[#This Row],[ExpectedWin]]&gt;=0.5,Games[[#This Row],[Result]]=1),AND(Games[[#This Row],[ExpectedWin]]&lt;0.5,Games[[#This Row],[Result]]=0))))</f>
        <v>1</v>
      </c>
      <c r="AE50">
        <f>IF(Games[[#This Row],[Team]]="","",-(Games[[#This Row],[Result]]*LN(Games[[#This Row],[ExpectedWin]])+(1-Games[[#This Row],[Result]])*LN(1-Games[[#This Row],[ExpectedWin]])))</f>
        <v>0.3944548640347631</v>
      </c>
      <c r="AF50">
        <f>IF(Games[[#This Row],[Team]]="","",IF(Games[[#This Row],[Season]]&gt;=2021,17,16))</f>
        <v>16</v>
      </c>
      <c r="AG50">
        <f>IF(Games[[#This Row],[Team]]="","",KMax-(KMax-KFloor)*MIN(Games[[#This Row],[GamesPlayed]],Games[[#This Row],[SeasonLen]])/Games[[#This Row],[SeasonLen]])</f>
        <v>44.774999999999999</v>
      </c>
      <c r="AH50">
        <f>IF(Games[[#This Row],[Team]]="","",((ABS(Games[[#This Row],[MOV]])+3)^0.8)/(7.5+0.006*ABS(Games[[#This Row],[PreGmRate]]-Games[[#This Row],[OppPreGmRate]]))*IF(Games[[#This Row],[OT]]=1,0.7,1))</f>
        <v>1.1743451265698894</v>
      </c>
      <c r="AI5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0">
        <f>IF(Games[[#This Row],[Team]]="","",Games[[#This Row],[K]]*IF(Games[[#This Row],[DivG]]=1,DivMult,1)*IF(Games[[#This Row],[ConfG]]=1,ConfMult,1)*Games[[#This Row],[POMult]])</f>
        <v>45.670499999999997</v>
      </c>
      <c r="AK50">
        <f>IF(Games[[#This Row],[Team]]="","",(Games[[#This Row],[Keff]]*Games[[#This Row],[MOVMult]])*(Games[[#This Row],[Result]]-Games[[#This Row],[ExpectedWin]]))</f>
        <v>17.481793406208812</v>
      </c>
      <c r="AL50">
        <f>IF(Games[[#This Row],[Team]]="","",Games[[#This Row],[PreGmRate]]+Games[[#This Row],[RatingChange]])</f>
        <v>1552.9574457444257</v>
      </c>
      <c r="AM50">
        <f>IF(Games[[#This Row],[Team]]="","",IF(Games[[#This Row],[Type]]="R",IF(Games[[#This Row],[Result]]&gt;0.5,1,0),0))</f>
        <v>1</v>
      </c>
      <c r="AN50">
        <f>IF(Games[[#This Row],[Team]]="","",IF(Games[[#This Row],[Type]]="R",IF(Games[[#This Row],[Result]]&lt;0.5,1,0),0))</f>
        <v>0</v>
      </c>
      <c r="AO50">
        <f>IF(Games[[#This Row],[Team]]="","",IF(Games[[#This Row],[Type]]="R",IF(Games[[#This Row],[Result]]=0.5,1,0),0))</f>
        <v>0</v>
      </c>
    </row>
    <row r="51" spans="1:41" x14ac:dyDescent="0.35">
      <c r="A51" s="8">
        <v>35316</v>
      </c>
      <c r="B51">
        <v>1996</v>
      </c>
      <c r="C51" t="s">
        <v>197</v>
      </c>
      <c r="D51" t="s">
        <v>199</v>
      </c>
      <c r="E51" t="s">
        <v>112</v>
      </c>
      <c r="F51" t="s">
        <v>145</v>
      </c>
      <c r="G51" t="s">
        <v>201</v>
      </c>
      <c r="H51">
        <v>14</v>
      </c>
      <c r="I51">
        <v>27</v>
      </c>
      <c r="J51">
        <v>0</v>
      </c>
      <c r="K5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5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5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5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51">
        <f>IF(Games[[#This Row],[Team]]="","",IF(Games[[#This Row],[Conf]]=Games[[#This Row],[OppConf]],1,0))</f>
        <v>1</v>
      </c>
      <c r="P51">
        <f>IF(Games[[#This Row],[Team]]="","",IF(AND(Games[[#This Row],[Conf]]=Games[[#This Row],[OppConf]],Games[[#This Row],[Div]]=Games[[#This Row],[OppDiv]]),1,0))</f>
        <v>0</v>
      </c>
      <c r="Q51">
        <f>IF(Games[[#This Row],[Team]]="","",_xlfn.MINIFS(Games[Date],Games[Season],Games[[#This Row],[Season]]))</f>
        <v>35309</v>
      </c>
      <c r="R51">
        <f>IF(Games[[#This Row],[Team]]="","",INT((Games[[#This Row],[Date]]-(Games[[#This Row],[SeasonStart]]-MOD(WEEKDAY(Games[[#This Row],[SeasonStart]],2)-2,7)))/7)+1)</f>
        <v>2</v>
      </c>
      <c r="S51">
        <f>IF(Games[[#This Row],[Team]]="","",COUNTIFS(Games[Team],Games[[#This Row],[Team]],Games[Season],Games[[#This Row],[Season]],Games[Week],"&lt;="&amp;Games[[#This Row],[Week]]))</f>
        <v>2</v>
      </c>
      <c r="T51">
        <f>IF(Games[[#This Row],[Team]]="","",_xlfn.MAXIFS(Games[Week],Games[Team],Games[[#This Row],[Team]],Games[Season],Games[[#This Row],[Season]],Games[Week],"&lt;"&amp;Games[[#This Row],[Week]]))</f>
        <v>1</v>
      </c>
      <c r="U51">
        <f>IF(Games[[#This Row],[Team]]="","",_xlfn.MAXIFS(Games[Week],Games[Team],Games[[#This Row],[Opponent]],Games[Season],Games[[#This Row],[Season]],Games[Week],"&lt;"&amp;Games[[#This Row],[Week]]))</f>
        <v>1</v>
      </c>
      <c r="V5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5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5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1481.2612676485023</v>
      </c>
      <c r="Z5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1535.4756523382168</v>
      </c>
      <c r="AA5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0.32595261341465037</v>
      </c>
      <c r="AB51">
        <f>IF(Games[[#This Row],[Team]]="","",Games[[#This Row],[PointsFor]]-Games[[#This Row],[PointsAgainst]])</f>
        <v>-13</v>
      </c>
      <c r="AC51">
        <f>IF(Games[[#This Row],[Team]]="","",IF(Games[[#This Row],[MOV]]&gt;0,1,IF(Games[[#This Row],[MOV]]=0,0.5,0)))</f>
        <v>0</v>
      </c>
      <c r="AD51">
        <f>IF(Games[[#This Row],[Team]]="","",--(OR(AND(Games[[#This Row],[ExpectedWin]]&gt;=0.5,Games[[#This Row],[Result]]=1),AND(Games[[#This Row],[ExpectedWin]]&lt;0.5,Games[[#This Row],[Result]]=0))))</f>
        <v>1</v>
      </c>
      <c r="AE51">
        <f>IF(Games[[#This Row],[Team]]="","",-(Games[[#This Row],[Result]]*LN(Games[[#This Row],[ExpectedWin]])+(1-Games[[#This Row],[Result]])*LN(1-Games[[#This Row],[ExpectedWin]])))</f>
        <v>0.39445486403476321</v>
      </c>
      <c r="AF51">
        <f>IF(Games[[#This Row],[Team]]="","",IF(Games[[#This Row],[Season]]&gt;=2021,17,16))</f>
        <v>16</v>
      </c>
      <c r="AG51">
        <f>IF(Games[[#This Row],[Team]]="","",KMax-(KMax-KFloor)*MIN(Games[[#This Row],[GamesPlayed]],Games[[#This Row],[SeasonLen]])/Games[[#This Row],[SeasonLen]])</f>
        <v>44.774999999999999</v>
      </c>
      <c r="AH51">
        <f>IF(Games[[#This Row],[Team]]="","",((ABS(Games[[#This Row],[MOV]])+3)^0.8)/(7.5+0.006*ABS(Games[[#This Row],[PreGmRate]]-Games[[#This Row],[OppPreGmRate]]))*IF(Games[[#This Row],[OT]]=1,0.7,1))</f>
        <v>1.1743451265698894</v>
      </c>
      <c r="AI5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1">
        <f>IF(Games[[#This Row],[Team]]="","",Games[[#This Row],[K]]*IF(Games[[#This Row],[DivG]]=1,DivMult,1)*IF(Games[[#This Row],[ConfG]]=1,ConfMult,1)*Games[[#This Row],[POMult]])</f>
        <v>45.670499999999997</v>
      </c>
      <c r="AK51">
        <f>IF(Games[[#This Row],[Team]]="","",(Games[[#This Row],[Keff]]*Games[[#This Row],[MOVMult]])*(Games[[#This Row],[Result]]-Games[[#This Row],[ExpectedWin]]))</f>
        <v>-17.481793406208812</v>
      </c>
      <c r="AL51">
        <f>IF(Games[[#This Row],[Team]]="","",Games[[#This Row],[PreGmRate]]+Games[[#This Row],[RatingChange]])</f>
        <v>1463.7794742422934</v>
      </c>
      <c r="AM51">
        <f>IF(Games[[#This Row],[Team]]="","",IF(Games[[#This Row],[Type]]="R",IF(Games[[#This Row],[Result]]&gt;0.5,1,0),0))</f>
        <v>0</v>
      </c>
      <c r="AN51">
        <f>IF(Games[[#This Row],[Team]]="","",IF(Games[[#This Row],[Type]]="R",IF(Games[[#This Row],[Result]]&lt;0.5,1,0),0))</f>
        <v>1</v>
      </c>
      <c r="AO51">
        <f>IF(Games[[#This Row],[Team]]="","",IF(Games[[#This Row],[Type]]="R",IF(Games[[#This Row],[Result]]=0.5,1,0),0))</f>
        <v>0</v>
      </c>
    </row>
    <row r="52" spans="1:41" x14ac:dyDescent="0.35">
      <c r="A52" s="8">
        <v>35316</v>
      </c>
      <c r="B52">
        <v>1996</v>
      </c>
      <c r="C52" t="s">
        <v>197</v>
      </c>
      <c r="D52" t="s">
        <v>199</v>
      </c>
      <c r="E52" t="s">
        <v>114</v>
      </c>
      <c r="F52" t="s">
        <v>136</v>
      </c>
      <c r="G52" t="s">
        <v>200</v>
      </c>
      <c r="H52">
        <v>27</v>
      </c>
      <c r="I52">
        <v>0</v>
      </c>
      <c r="J52">
        <v>0</v>
      </c>
      <c r="K5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5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5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5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52">
        <f>IF(Games[[#This Row],[Team]]="","",IF(Games[[#This Row],[Conf]]=Games[[#This Row],[OppConf]],1,0))</f>
        <v>1</v>
      </c>
      <c r="P52">
        <f>IF(Games[[#This Row],[Team]]="","",IF(AND(Games[[#This Row],[Conf]]=Games[[#This Row],[OppConf]],Games[[#This Row],[Div]]=Games[[#This Row],[OppDiv]]),1,0))</f>
        <v>1</v>
      </c>
      <c r="Q52">
        <f>IF(Games[[#This Row],[Team]]="","",_xlfn.MINIFS(Games[Date],Games[Season],Games[[#This Row],[Season]]))</f>
        <v>35309</v>
      </c>
      <c r="R52">
        <f>IF(Games[[#This Row],[Team]]="","",INT((Games[[#This Row],[Date]]-(Games[[#This Row],[SeasonStart]]-MOD(WEEKDAY(Games[[#This Row],[SeasonStart]],2)-2,7)))/7)+1)</f>
        <v>2</v>
      </c>
      <c r="S52">
        <f>IF(Games[[#This Row],[Team]]="","",COUNTIFS(Games[Team],Games[[#This Row],[Team]],Games[Season],Games[[#This Row],[Season]],Games[Week],"&lt;="&amp;Games[[#This Row],[Week]]))</f>
        <v>2</v>
      </c>
      <c r="T52">
        <f>IF(Games[[#This Row],[Team]]="","",_xlfn.MAXIFS(Games[Week],Games[Team],Games[[#This Row],[Team]],Games[Season],Games[[#This Row],[Season]],Games[Week],"&lt;"&amp;Games[[#This Row],[Week]]))</f>
        <v>1</v>
      </c>
      <c r="U52">
        <f>IF(Games[[#This Row],[Team]]="","",_xlfn.MAXIFS(Games[Week],Games[Team],Games[[#This Row],[Opponent]],Games[Season],Games[[#This Row],[Season]],Games[Week],"&lt;"&amp;Games[[#This Row],[Week]]))</f>
        <v>1</v>
      </c>
      <c r="V5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5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5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5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1474.1066299014597</v>
      </c>
      <c r="Z5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1489.3044144305338</v>
      </c>
      <c r="AA5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0.57259363955020681</v>
      </c>
      <c r="AB52">
        <f>IF(Games[[#This Row],[Team]]="","",Games[[#This Row],[PointsFor]]-Games[[#This Row],[PointsAgainst]])</f>
        <v>27</v>
      </c>
      <c r="AC52">
        <f>IF(Games[[#This Row],[Team]]="","",IF(Games[[#This Row],[MOV]]&gt;0,1,IF(Games[[#This Row],[MOV]]=0,0.5,0)))</f>
        <v>1</v>
      </c>
      <c r="AD52">
        <f>IF(Games[[#This Row],[Team]]="","",--(OR(AND(Games[[#This Row],[ExpectedWin]]&gt;=0.5,Games[[#This Row],[Result]]=1),AND(Games[[#This Row],[ExpectedWin]]&lt;0.5,Games[[#This Row],[Result]]=0))))</f>
        <v>1</v>
      </c>
      <c r="AE52">
        <f>IF(Games[[#This Row],[Team]]="","",-(Games[[#This Row],[Result]]*LN(Games[[#This Row],[ExpectedWin]])+(1-Games[[#This Row],[Result]])*LN(1-Games[[#This Row],[ExpectedWin]])))</f>
        <v>0.55757899439552272</v>
      </c>
      <c r="AF52">
        <f>IF(Games[[#This Row],[Team]]="","",IF(Games[[#This Row],[Season]]&gt;=2021,17,16))</f>
        <v>16</v>
      </c>
      <c r="AG52">
        <f>IF(Games[[#This Row],[Team]]="","",KMax-(KMax-KFloor)*MIN(Games[[#This Row],[GamesPlayed]],Games[[#This Row],[SeasonLen]])/Games[[#This Row],[SeasonLen]])</f>
        <v>44.774999999999999</v>
      </c>
      <c r="AH52">
        <f>IF(Games[[#This Row],[Team]]="","",((ABS(Games[[#This Row],[MOV]])+3)^0.8)/(7.5+0.006*ABS(Games[[#This Row],[PreGmRate]]-Games[[#This Row],[OppPreGmRate]]))*IF(Games[[#This Row],[OT]]=1,0.7,1))</f>
        <v>2.0016462655309013</v>
      </c>
      <c r="AI5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2">
        <f>IF(Games[[#This Row],[Team]]="","",Games[[#This Row],[K]]*IF(Games[[#This Row],[DivG]]=1,DivMult,1)*IF(Games[[#This Row],[ConfG]]=1,ConfMult,1)*Games[[#This Row],[POMult]])</f>
        <v>50.237550000000006</v>
      </c>
      <c r="AK52">
        <f>IF(Games[[#This Row],[Team]]="","",(Games[[#This Row],[Keff]]*Games[[#This Row],[MOVMult]])*(Games[[#This Row],[Result]]-Games[[#This Row],[ExpectedWin]]))</f>
        <v>42.979045170740299</v>
      </c>
      <c r="AL52">
        <f>IF(Games[[#This Row],[Team]]="","",Games[[#This Row],[PreGmRate]]+Games[[#This Row],[RatingChange]])</f>
        <v>1517.0856750722</v>
      </c>
      <c r="AM52">
        <f>IF(Games[[#This Row],[Team]]="","",IF(Games[[#This Row],[Type]]="R",IF(Games[[#This Row],[Result]]&gt;0.5,1,0),0))</f>
        <v>1</v>
      </c>
      <c r="AN52">
        <f>IF(Games[[#This Row],[Team]]="","",IF(Games[[#This Row],[Type]]="R",IF(Games[[#This Row],[Result]]&lt;0.5,1,0),0))</f>
        <v>0</v>
      </c>
      <c r="AO52">
        <f>IF(Games[[#This Row],[Team]]="","",IF(Games[[#This Row],[Type]]="R",IF(Games[[#This Row],[Result]]=0.5,1,0),0))</f>
        <v>0</v>
      </c>
    </row>
    <row r="53" spans="1:41" x14ac:dyDescent="0.35">
      <c r="A53" s="8">
        <v>35316</v>
      </c>
      <c r="B53">
        <v>1996</v>
      </c>
      <c r="C53" t="s">
        <v>197</v>
      </c>
      <c r="D53" t="s">
        <v>199</v>
      </c>
      <c r="E53" t="s">
        <v>136</v>
      </c>
      <c r="F53" t="s">
        <v>114</v>
      </c>
      <c r="G53" t="s">
        <v>201</v>
      </c>
      <c r="H53">
        <v>0</v>
      </c>
      <c r="I53">
        <v>27</v>
      </c>
      <c r="J53">
        <v>0</v>
      </c>
      <c r="K5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5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5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5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53">
        <f>IF(Games[[#This Row],[Team]]="","",IF(Games[[#This Row],[Conf]]=Games[[#This Row],[OppConf]],1,0))</f>
        <v>1</v>
      </c>
      <c r="P53">
        <f>IF(Games[[#This Row],[Team]]="","",IF(AND(Games[[#This Row],[Conf]]=Games[[#This Row],[OppConf]],Games[[#This Row],[Div]]=Games[[#This Row],[OppDiv]]),1,0))</f>
        <v>1</v>
      </c>
      <c r="Q53">
        <f>IF(Games[[#This Row],[Team]]="","",_xlfn.MINIFS(Games[Date],Games[Season],Games[[#This Row],[Season]]))</f>
        <v>35309</v>
      </c>
      <c r="R53">
        <f>IF(Games[[#This Row],[Team]]="","",INT((Games[[#This Row],[Date]]-(Games[[#This Row],[SeasonStart]]-MOD(WEEKDAY(Games[[#This Row],[SeasonStart]],2)-2,7)))/7)+1)</f>
        <v>2</v>
      </c>
      <c r="S53">
        <f>IF(Games[[#This Row],[Team]]="","",COUNTIFS(Games[Team],Games[[#This Row],[Team]],Games[Season],Games[[#This Row],[Season]],Games[Week],"&lt;="&amp;Games[[#This Row],[Week]]))</f>
        <v>2</v>
      </c>
      <c r="T53">
        <f>IF(Games[[#This Row],[Team]]="","",_xlfn.MAXIFS(Games[Week],Games[Team],Games[[#This Row],[Team]],Games[Season],Games[[#This Row],[Season]],Games[Week],"&lt;"&amp;Games[[#This Row],[Week]]))</f>
        <v>1</v>
      </c>
      <c r="U53">
        <f>IF(Games[[#This Row],[Team]]="","",_xlfn.MAXIFS(Games[Week],Games[Team],Games[[#This Row],[Opponent]],Games[Season],Games[[#This Row],[Season]],Games[Week],"&lt;"&amp;Games[[#This Row],[Week]]))</f>
        <v>1</v>
      </c>
      <c r="V5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5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5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5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1489.3044144305338</v>
      </c>
      <c r="Z5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1474.1066299014597</v>
      </c>
      <c r="AA5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0.42740636044979313</v>
      </c>
      <c r="AB53">
        <f>IF(Games[[#This Row],[Team]]="","",Games[[#This Row],[PointsFor]]-Games[[#This Row],[PointsAgainst]])</f>
        <v>-27</v>
      </c>
      <c r="AC53">
        <f>IF(Games[[#This Row],[Team]]="","",IF(Games[[#This Row],[MOV]]&gt;0,1,IF(Games[[#This Row],[MOV]]=0,0.5,0)))</f>
        <v>0</v>
      </c>
      <c r="AD53">
        <f>IF(Games[[#This Row],[Team]]="","",--(OR(AND(Games[[#This Row],[ExpectedWin]]&gt;=0.5,Games[[#This Row],[Result]]=1),AND(Games[[#This Row],[ExpectedWin]]&lt;0.5,Games[[#This Row],[Result]]=0))))</f>
        <v>1</v>
      </c>
      <c r="AE53">
        <f>IF(Games[[#This Row],[Team]]="","",-(Games[[#This Row],[Result]]*LN(Games[[#This Row],[ExpectedWin]])+(1-Games[[#This Row],[Result]])*LN(1-Games[[#This Row],[ExpectedWin]])))</f>
        <v>0.5575789943955225</v>
      </c>
      <c r="AF53">
        <f>IF(Games[[#This Row],[Team]]="","",IF(Games[[#This Row],[Season]]&gt;=2021,17,16))</f>
        <v>16</v>
      </c>
      <c r="AG53">
        <f>IF(Games[[#This Row],[Team]]="","",KMax-(KMax-KFloor)*MIN(Games[[#This Row],[GamesPlayed]],Games[[#This Row],[SeasonLen]])/Games[[#This Row],[SeasonLen]])</f>
        <v>44.774999999999999</v>
      </c>
      <c r="AH53">
        <f>IF(Games[[#This Row],[Team]]="","",((ABS(Games[[#This Row],[MOV]])+3)^0.8)/(7.5+0.006*ABS(Games[[#This Row],[PreGmRate]]-Games[[#This Row],[OppPreGmRate]]))*IF(Games[[#This Row],[OT]]=1,0.7,1))</f>
        <v>2.0016462655309013</v>
      </c>
      <c r="AI5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3">
        <f>IF(Games[[#This Row],[Team]]="","",Games[[#This Row],[K]]*IF(Games[[#This Row],[DivG]]=1,DivMult,1)*IF(Games[[#This Row],[ConfG]]=1,ConfMult,1)*Games[[#This Row],[POMult]])</f>
        <v>50.237550000000006</v>
      </c>
      <c r="AK53">
        <f>IF(Games[[#This Row],[Team]]="","",(Games[[#This Row],[Keff]]*Games[[#This Row],[MOVMult]])*(Games[[#This Row],[Result]]-Games[[#This Row],[ExpectedWin]]))</f>
        <v>-42.979045170740292</v>
      </c>
      <c r="AL53">
        <f>IF(Games[[#This Row],[Team]]="","",Games[[#This Row],[PreGmRate]]+Games[[#This Row],[RatingChange]])</f>
        <v>1446.3253692597934</v>
      </c>
      <c r="AM53">
        <f>IF(Games[[#This Row],[Team]]="","",IF(Games[[#This Row],[Type]]="R",IF(Games[[#This Row],[Result]]&gt;0.5,1,0),0))</f>
        <v>0</v>
      </c>
      <c r="AN53">
        <f>IF(Games[[#This Row],[Team]]="","",IF(Games[[#This Row],[Type]]="R",IF(Games[[#This Row],[Result]]&lt;0.5,1,0),0))</f>
        <v>1</v>
      </c>
      <c r="AO53">
        <f>IF(Games[[#This Row],[Team]]="","",IF(Games[[#This Row],[Type]]="R",IF(Games[[#This Row],[Result]]=0.5,1,0),0))</f>
        <v>0</v>
      </c>
    </row>
    <row r="54" spans="1:41" x14ac:dyDescent="0.35">
      <c r="A54" s="8">
        <v>35316</v>
      </c>
      <c r="B54">
        <v>1996</v>
      </c>
      <c r="C54" t="s">
        <v>197</v>
      </c>
      <c r="D54" t="s">
        <v>199</v>
      </c>
      <c r="E54" t="s">
        <v>116</v>
      </c>
      <c r="F54" t="s">
        <v>146</v>
      </c>
      <c r="G54" t="s">
        <v>201</v>
      </c>
      <c r="H54">
        <v>30</v>
      </c>
      <c r="I54">
        <v>20</v>
      </c>
      <c r="J54">
        <v>0</v>
      </c>
      <c r="K5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5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5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5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54">
        <f>IF(Games[[#This Row],[Team]]="","",IF(Games[[#This Row],[Conf]]=Games[[#This Row],[OppConf]],1,0))</f>
        <v>1</v>
      </c>
      <c r="P54">
        <f>IF(Games[[#This Row],[Team]]="","",IF(AND(Games[[#This Row],[Conf]]=Games[[#This Row],[OppConf]],Games[[#This Row],[Div]]=Games[[#This Row],[OppDiv]]),1,0))</f>
        <v>1</v>
      </c>
      <c r="Q54">
        <f>IF(Games[[#This Row],[Team]]="","",_xlfn.MINIFS(Games[Date],Games[Season],Games[[#This Row],[Season]]))</f>
        <v>35309</v>
      </c>
      <c r="R54">
        <f>IF(Games[[#This Row],[Team]]="","",INT((Games[[#This Row],[Date]]-(Games[[#This Row],[SeasonStart]]-MOD(WEEKDAY(Games[[#This Row],[SeasonStart]],2)-2,7)))/7)+1)</f>
        <v>2</v>
      </c>
      <c r="S54">
        <f>IF(Games[[#This Row],[Team]]="","",COUNTIFS(Games[Team],Games[[#This Row],[Team]],Games[Season],Games[[#This Row],[Season]],Games[Week],"&lt;="&amp;Games[[#This Row],[Week]]))</f>
        <v>2</v>
      </c>
      <c r="T54">
        <f>IF(Games[[#This Row],[Team]]="","",_xlfn.MAXIFS(Games[Week],Games[Team],Games[[#This Row],[Team]],Games[Season],Games[[#This Row],[Season]],Games[Week],"&lt;"&amp;Games[[#This Row],[Week]]))</f>
        <v>1</v>
      </c>
      <c r="U54">
        <f>IF(Games[[#This Row],[Team]]="","",_xlfn.MAXIFS(Games[Week],Games[Team],Games[[#This Row],[Opponent]],Games[Season],Games[[#This Row],[Season]],Games[Week],"&lt;"&amp;Games[[#This Row],[Week]]))</f>
        <v>1</v>
      </c>
      <c r="V5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5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5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1535.3111712539687</v>
      </c>
      <c r="Z5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1464.5243476617832</v>
      </c>
      <c r="AA5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0.49825410590082742</v>
      </c>
      <c r="AB54">
        <f>IF(Games[[#This Row],[Team]]="","",Games[[#This Row],[PointsFor]]-Games[[#This Row],[PointsAgainst]])</f>
        <v>10</v>
      </c>
      <c r="AC54">
        <f>IF(Games[[#This Row],[Team]]="","",IF(Games[[#This Row],[MOV]]&gt;0,1,IF(Games[[#This Row],[MOV]]=0,0.5,0)))</f>
        <v>1</v>
      </c>
      <c r="AD54">
        <f>IF(Games[[#This Row],[Team]]="","",--(OR(AND(Games[[#This Row],[ExpectedWin]]&gt;=0.5,Games[[#This Row],[Result]]=1),AND(Games[[#This Row],[ExpectedWin]]&lt;0.5,Games[[#This Row],[Result]]=0))))</f>
        <v>0</v>
      </c>
      <c r="AE54">
        <f>IF(Games[[#This Row],[Team]]="","",-(Games[[#This Row],[Result]]*LN(Games[[#This Row],[ExpectedWin]])+(1-Games[[#This Row],[Result]])*LN(1-Games[[#This Row],[ExpectedWin]])))</f>
        <v>0.69664507927927832</v>
      </c>
      <c r="AF54">
        <f>IF(Games[[#This Row],[Team]]="","",IF(Games[[#This Row],[Season]]&gt;=2021,17,16))</f>
        <v>16</v>
      </c>
      <c r="AG54">
        <f>IF(Games[[#This Row],[Team]]="","",KMax-(KMax-KFloor)*MIN(Games[[#This Row],[GamesPlayed]],Games[[#This Row],[SeasonLen]])/Games[[#This Row],[SeasonLen]])</f>
        <v>44.774999999999999</v>
      </c>
      <c r="AH54">
        <f>IF(Games[[#This Row],[Team]]="","",((ABS(Games[[#This Row],[MOV]])+3)^0.8)/(7.5+0.006*ABS(Games[[#This Row],[PreGmRate]]-Games[[#This Row],[OppPreGmRate]]))*IF(Games[[#This Row],[OT]]=1,0.7,1))</f>
        <v>0.9821339047068206</v>
      </c>
      <c r="AI5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4">
        <f>IF(Games[[#This Row],[Team]]="","",Games[[#This Row],[K]]*IF(Games[[#This Row],[DivG]]=1,DivMult,1)*IF(Games[[#This Row],[ConfG]]=1,ConfMult,1)*Games[[#This Row],[POMult]])</f>
        <v>50.237550000000006</v>
      </c>
      <c r="AK54">
        <f>IF(Games[[#This Row],[Team]]="","",(Games[[#This Row],[Keff]]*Games[[#This Row],[MOVMult]])*(Games[[#This Row],[Result]]-Games[[#This Row],[ExpectedWin]]))</f>
        <v>24.756142989053256</v>
      </c>
      <c r="AL54">
        <f>IF(Games[[#This Row],[Team]]="","",Games[[#This Row],[PreGmRate]]+Games[[#This Row],[RatingChange]])</f>
        <v>1560.0673142430219</v>
      </c>
      <c r="AM54">
        <f>IF(Games[[#This Row],[Team]]="","",IF(Games[[#This Row],[Type]]="R",IF(Games[[#This Row],[Result]]&gt;0.5,1,0),0))</f>
        <v>1</v>
      </c>
      <c r="AN54">
        <f>IF(Games[[#This Row],[Team]]="","",IF(Games[[#This Row],[Type]]="R",IF(Games[[#This Row],[Result]]&lt;0.5,1,0),0))</f>
        <v>0</v>
      </c>
      <c r="AO54">
        <f>IF(Games[[#This Row],[Team]]="","",IF(Games[[#This Row],[Type]]="R",IF(Games[[#This Row],[Result]]=0.5,1,0),0))</f>
        <v>0</v>
      </c>
    </row>
    <row r="55" spans="1:41" x14ac:dyDescent="0.35">
      <c r="A55" s="8">
        <v>35316</v>
      </c>
      <c r="B55">
        <v>1996</v>
      </c>
      <c r="C55" t="s">
        <v>197</v>
      </c>
      <c r="D55" t="s">
        <v>199</v>
      </c>
      <c r="E55" t="s">
        <v>146</v>
      </c>
      <c r="F55" t="s">
        <v>116</v>
      </c>
      <c r="G55" t="s">
        <v>200</v>
      </c>
      <c r="H55">
        <v>20</v>
      </c>
      <c r="I55">
        <v>30</v>
      </c>
      <c r="J55">
        <v>0</v>
      </c>
      <c r="K5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5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5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5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55">
        <f>IF(Games[[#This Row],[Team]]="","",IF(Games[[#This Row],[Conf]]=Games[[#This Row],[OppConf]],1,0))</f>
        <v>1</v>
      </c>
      <c r="P55">
        <f>IF(Games[[#This Row],[Team]]="","",IF(AND(Games[[#This Row],[Conf]]=Games[[#This Row],[OppConf]],Games[[#This Row],[Div]]=Games[[#This Row],[OppDiv]]),1,0))</f>
        <v>1</v>
      </c>
      <c r="Q55">
        <f>IF(Games[[#This Row],[Team]]="","",_xlfn.MINIFS(Games[Date],Games[Season],Games[[#This Row],[Season]]))</f>
        <v>35309</v>
      </c>
      <c r="R55">
        <f>IF(Games[[#This Row],[Team]]="","",INT((Games[[#This Row],[Date]]-(Games[[#This Row],[SeasonStart]]-MOD(WEEKDAY(Games[[#This Row],[SeasonStart]],2)-2,7)))/7)+1)</f>
        <v>2</v>
      </c>
      <c r="S55">
        <f>IF(Games[[#This Row],[Team]]="","",COUNTIFS(Games[Team],Games[[#This Row],[Team]],Games[Season],Games[[#This Row],[Season]],Games[Week],"&lt;="&amp;Games[[#This Row],[Week]]))</f>
        <v>2</v>
      </c>
      <c r="T55">
        <f>IF(Games[[#This Row],[Team]]="","",_xlfn.MAXIFS(Games[Week],Games[Team],Games[[#This Row],[Team]],Games[Season],Games[[#This Row],[Season]],Games[Week],"&lt;"&amp;Games[[#This Row],[Week]]))</f>
        <v>1</v>
      </c>
      <c r="U55">
        <f>IF(Games[[#This Row],[Team]]="","",_xlfn.MAXIFS(Games[Week],Games[Team],Games[[#This Row],[Opponent]],Games[Season],Games[[#This Row],[Season]],Games[Week],"&lt;"&amp;Games[[#This Row],[Week]]))</f>
        <v>1</v>
      </c>
      <c r="V5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5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5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1464.5243476617832</v>
      </c>
      <c r="Z5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1535.3111712539687</v>
      </c>
      <c r="AA5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0.5017458940991727</v>
      </c>
      <c r="AB55">
        <f>IF(Games[[#This Row],[Team]]="","",Games[[#This Row],[PointsFor]]-Games[[#This Row],[PointsAgainst]])</f>
        <v>-10</v>
      </c>
      <c r="AC55">
        <f>IF(Games[[#This Row],[Team]]="","",IF(Games[[#This Row],[MOV]]&gt;0,1,IF(Games[[#This Row],[MOV]]=0,0.5,0)))</f>
        <v>0</v>
      </c>
      <c r="AD55">
        <f>IF(Games[[#This Row],[Team]]="","",--(OR(AND(Games[[#This Row],[ExpectedWin]]&gt;=0.5,Games[[#This Row],[Result]]=1),AND(Games[[#This Row],[ExpectedWin]]&lt;0.5,Games[[#This Row],[Result]]=0))))</f>
        <v>0</v>
      </c>
      <c r="AE55">
        <f>IF(Games[[#This Row],[Team]]="","",-(Games[[#This Row],[Result]]*LN(Games[[#This Row],[ExpectedWin]])+(1-Games[[#This Row],[Result]])*LN(1-Games[[#This Row],[ExpectedWin]])))</f>
        <v>0.69664507927927855</v>
      </c>
      <c r="AF55">
        <f>IF(Games[[#This Row],[Team]]="","",IF(Games[[#This Row],[Season]]&gt;=2021,17,16))</f>
        <v>16</v>
      </c>
      <c r="AG55">
        <f>IF(Games[[#This Row],[Team]]="","",KMax-(KMax-KFloor)*MIN(Games[[#This Row],[GamesPlayed]],Games[[#This Row],[SeasonLen]])/Games[[#This Row],[SeasonLen]])</f>
        <v>44.774999999999999</v>
      </c>
      <c r="AH55">
        <f>IF(Games[[#This Row],[Team]]="","",((ABS(Games[[#This Row],[MOV]])+3)^0.8)/(7.5+0.006*ABS(Games[[#This Row],[PreGmRate]]-Games[[#This Row],[OppPreGmRate]]))*IF(Games[[#This Row],[OT]]=1,0.7,1))</f>
        <v>0.9821339047068206</v>
      </c>
      <c r="AI5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5">
        <f>IF(Games[[#This Row],[Team]]="","",Games[[#This Row],[K]]*IF(Games[[#This Row],[DivG]]=1,DivMult,1)*IF(Games[[#This Row],[ConfG]]=1,ConfMult,1)*Games[[#This Row],[POMult]])</f>
        <v>50.237550000000006</v>
      </c>
      <c r="AK55">
        <f>IF(Games[[#This Row],[Team]]="","",(Games[[#This Row],[Keff]]*Games[[#This Row],[MOVMult]])*(Games[[#This Row],[Result]]-Games[[#This Row],[ExpectedWin]]))</f>
        <v>-24.756142989053259</v>
      </c>
      <c r="AL55">
        <f>IF(Games[[#This Row],[Team]]="","",Games[[#This Row],[PreGmRate]]+Games[[#This Row],[RatingChange]])</f>
        <v>1439.76820467273</v>
      </c>
      <c r="AM55">
        <f>IF(Games[[#This Row],[Team]]="","",IF(Games[[#This Row],[Type]]="R",IF(Games[[#This Row],[Result]]&gt;0.5,1,0),0))</f>
        <v>0</v>
      </c>
      <c r="AN55">
        <f>IF(Games[[#This Row],[Team]]="","",IF(Games[[#This Row],[Type]]="R",IF(Games[[#This Row],[Result]]&lt;0.5,1,0),0))</f>
        <v>1</v>
      </c>
      <c r="AO55">
        <f>IF(Games[[#This Row],[Team]]="","",IF(Games[[#This Row],[Type]]="R",IF(Games[[#This Row],[Result]]=0.5,1,0),0))</f>
        <v>0</v>
      </c>
    </row>
    <row r="56" spans="1:41" x14ac:dyDescent="0.35">
      <c r="A56" s="8">
        <v>35316</v>
      </c>
      <c r="B56">
        <v>1996</v>
      </c>
      <c r="C56" t="s">
        <v>197</v>
      </c>
      <c r="D56" t="s">
        <v>199</v>
      </c>
      <c r="E56" t="s">
        <v>148</v>
      </c>
      <c r="F56" t="s">
        <v>150</v>
      </c>
      <c r="G56" t="s">
        <v>200</v>
      </c>
      <c r="H56">
        <v>34</v>
      </c>
      <c r="I56">
        <v>0</v>
      </c>
      <c r="J56">
        <v>0</v>
      </c>
      <c r="K5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5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5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5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56">
        <f>IF(Games[[#This Row],[Team]]="","",IF(Games[[#This Row],[Conf]]=Games[[#This Row],[OppConf]],1,0))</f>
        <v>1</v>
      </c>
      <c r="P56">
        <f>IF(Games[[#This Row],[Team]]="","",IF(AND(Games[[#This Row],[Conf]]=Games[[#This Row],[OppConf]],Games[[#This Row],[Div]]=Games[[#This Row],[OppDiv]]),1,0))</f>
        <v>1</v>
      </c>
      <c r="Q56">
        <f>IF(Games[[#This Row],[Team]]="","",_xlfn.MINIFS(Games[Date],Games[Season],Games[[#This Row],[Season]]))</f>
        <v>35309</v>
      </c>
      <c r="R56">
        <f>IF(Games[[#This Row],[Team]]="","",INT((Games[[#This Row],[Date]]-(Games[[#This Row],[SeasonStart]]-MOD(WEEKDAY(Games[[#This Row],[SeasonStart]],2)-2,7)))/7)+1)</f>
        <v>2</v>
      </c>
      <c r="S56">
        <f>IF(Games[[#This Row],[Team]]="","",COUNTIFS(Games[Team],Games[[#This Row],[Team]],Games[Season],Games[[#This Row],[Season]],Games[Week],"&lt;="&amp;Games[[#This Row],[Week]]))</f>
        <v>2</v>
      </c>
      <c r="T56">
        <f>IF(Games[[#This Row],[Team]]="","",_xlfn.MAXIFS(Games[Week],Games[Team],Games[[#This Row],[Team]],Games[Season],Games[[#This Row],[Season]],Games[Week],"&lt;"&amp;Games[[#This Row],[Week]]))</f>
        <v>1</v>
      </c>
      <c r="U56">
        <f>IF(Games[[#This Row],[Team]]="","",_xlfn.MAXIFS(Games[Week],Games[Team],Games[[#This Row],[Opponent]],Games[Season],Games[[#This Row],[Season]],Games[Week],"&lt;"&amp;Games[[#This Row],[Week]]))</f>
        <v>1</v>
      </c>
      <c r="V5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5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5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1528.4827071083944</v>
      </c>
      <c r="Z5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1518.7387323514977</v>
      </c>
      <c r="AA5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0.61551537983714599</v>
      </c>
      <c r="AB56">
        <f>IF(Games[[#This Row],[Team]]="","",Games[[#This Row],[PointsFor]]-Games[[#This Row],[PointsAgainst]])</f>
        <v>34</v>
      </c>
      <c r="AC56">
        <f>IF(Games[[#This Row],[Team]]="","",IF(Games[[#This Row],[MOV]]&gt;0,1,IF(Games[[#This Row],[MOV]]=0,0.5,0)))</f>
        <v>1</v>
      </c>
      <c r="AD56">
        <f>IF(Games[[#This Row],[Team]]="","",--(OR(AND(Games[[#This Row],[ExpectedWin]]&gt;=0.5,Games[[#This Row],[Result]]=1),AND(Games[[#This Row],[ExpectedWin]]&lt;0.5,Games[[#This Row],[Result]]=0))))</f>
        <v>1</v>
      </c>
      <c r="AE56">
        <f>IF(Games[[#This Row],[Team]]="","",-(Games[[#This Row],[Result]]*LN(Games[[#This Row],[ExpectedWin]])+(1-Games[[#This Row],[Result]])*LN(1-Games[[#This Row],[ExpectedWin]])))</f>
        <v>0.48529534611961589</v>
      </c>
      <c r="AF56">
        <f>IF(Games[[#This Row],[Team]]="","",IF(Games[[#This Row],[Season]]&gt;=2021,17,16))</f>
        <v>16</v>
      </c>
      <c r="AG56">
        <f>IF(Games[[#This Row],[Team]]="","",KMax-(KMax-KFloor)*MIN(Games[[#This Row],[GamesPlayed]],Games[[#This Row],[SeasonLen]])/Games[[#This Row],[SeasonLen]])</f>
        <v>44.774999999999999</v>
      </c>
      <c r="AH56">
        <f>IF(Games[[#This Row],[Team]]="","",((ABS(Games[[#This Row],[MOV]])+3)^0.8)/(7.5+0.006*ABS(Games[[#This Row],[PreGmRate]]-Games[[#This Row],[OppPreGmRate]]))*IF(Games[[#This Row],[OT]]=1,0.7,1))</f>
        <v>2.3775400368920412</v>
      </c>
      <c r="AI5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6">
        <f>IF(Games[[#This Row],[Team]]="","",Games[[#This Row],[K]]*IF(Games[[#This Row],[DivG]]=1,DivMult,1)*IF(Games[[#This Row],[ConfG]]=1,ConfMult,1)*Games[[#This Row],[POMult]])</f>
        <v>50.237550000000006</v>
      </c>
      <c r="AK56">
        <f>IF(Games[[#This Row],[Team]]="","",(Games[[#This Row],[Keff]]*Games[[#This Row],[MOVMult]])*(Games[[#This Row],[Result]]-Games[[#This Row],[ExpectedWin]]))</f>
        <v>45.923529906476148</v>
      </c>
      <c r="AL56">
        <f>IF(Games[[#This Row],[Team]]="","",Games[[#This Row],[PreGmRate]]+Games[[#This Row],[RatingChange]])</f>
        <v>1574.4062370148706</v>
      </c>
      <c r="AM56">
        <f>IF(Games[[#This Row],[Team]]="","",IF(Games[[#This Row],[Type]]="R",IF(Games[[#This Row],[Result]]&gt;0.5,1,0),0))</f>
        <v>1</v>
      </c>
      <c r="AN56">
        <f>IF(Games[[#This Row],[Team]]="","",IF(Games[[#This Row],[Type]]="R",IF(Games[[#This Row],[Result]]&lt;0.5,1,0),0))</f>
        <v>0</v>
      </c>
      <c r="AO56">
        <f>IF(Games[[#This Row],[Team]]="","",IF(Games[[#This Row],[Type]]="R",IF(Games[[#This Row],[Result]]=0.5,1,0),0))</f>
        <v>0</v>
      </c>
    </row>
    <row r="57" spans="1:41" x14ac:dyDescent="0.35">
      <c r="A57" s="8">
        <v>35316</v>
      </c>
      <c r="B57">
        <v>1996</v>
      </c>
      <c r="C57" t="s">
        <v>197</v>
      </c>
      <c r="D57" t="s">
        <v>199</v>
      </c>
      <c r="E57" t="s">
        <v>150</v>
      </c>
      <c r="F57" t="s">
        <v>148</v>
      </c>
      <c r="G57" t="s">
        <v>201</v>
      </c>
      <c r="H57">
        <v>0</v>
      </c>
      <c r="I57">
        <v>34</v>
      </c>
      <c r="J57">
        <v>0</v>
      </c>
      <c r="K5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5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5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5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57">
        <f>IF(Games[[#This Row],[Team]]="","",IF(Games[[#This Row],[Conf]]=Games[[#This Row],[OppConf]],1,0))</f>
        <v>1</v>
      </c>
      <c r="P57">
        <f>IF(Games[[#This Row],[Team]]="","",IF(AND(Games[[#This Row],[Conf]]=Games[[#This Row],[OppConf]],Games[[#This Row],[Div]]=Games[[#This Row],[OppDiv]]),1,0))</f>
        <v>1</v>
      </c>
      <c r="Q57">
        <f>IF(Games[[#This Row],[Team]]="","",_xlfn.MINIFS(Games[Date],Games[Season],Games[[#This Row],[Season]]))</f>
        <v>35309</v>
      </c>
      <c r="R57">
        <f>IF(Games[[#This Row],[Team]]="","",INT((Games[[#This Row],[Date]]-(Games[[#This Row],[SeasonStart]]-MOD(WEEKDAY(Games[[#This Row],[SeasonStart]],2)-2,7)))/7)+1)</f>
        <v>2</v>
      </c>
      <c r="S57">
        <f>IF(Games[[#This Row],[Team]]="","",COUNTIFS(Games[Team],Games[[#This Row],[Team]],Games[Season],Games[[#This Row],[Season]],Games[Week],"&lt;="&amp;Games[[#This Row],[Week]]))</f>
        <v>2</v>
      </c>
      <c r="T57">
        <f>IF(Games[[#This Row],[Team]]="","",_xlfn.MAXIFS(Games[Week],Games[Team],Games[[#This Row],[Team]],Games[Season],Games[[#This Row],[Season]],Games[Week],"&lt;"&amp;Games[[#This Row],[Week]]))</f>
        <v>1</v>
      </c>
      <c r="U57">
        <f>IF(Games[[#This Row],[Team]]="","",_xlfn.MAXIFS(Games[Week],Games[Team],Games[[#This Row],[Opponent]],Games[Season],Games[[#This Row],[Season]],Games[Week],"&lt;"&amp;Games[[#This Row],[Week]]))</f>
        <v>1</v>
      </c>
      <c r="V5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5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5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1518.7387323514977</v>
      </c>
      <c r="Z5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1528.4827071083944</v>
      </c>
      <c r="AA5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0.38448462016285384</v>
      </c>
      <c r="AB57">
        <f>IF(Games[[#This Row],[Team]]="","",Games[[#This Row],[PointsFor]]-Games[[#This Row],[PointsAgainst]])</f>
        <v>-34</v>
      </c>
      <c r="AC57">
        <f>IF(Games[[#This Row],[Team]]="","",IF(Games[[#This Row],[MOV]]&gt;0,1,IF(Games[[#This Row],[MOV]]=0,0.5,0)))</f>
        <v>0</v>
      </c>
      <c r="AD57">
        <f>IF(Games[[#This Row],[Team]]="","",--(OR(AND(Games[[#This Row],[ExpectedWin]]&gt;=0.5,Games[[#This Row],[Result]]=1),AND(Games[[#This Row],[ExpectedWin]]&lt;0.5,Games[[#This Row],[Result]]=0))))</f>
        <v>1</v>
      </c>
      <c r="AE57">
        <f>IF(Games[[#This Row],[Team]]="","",-(Games[[#This Row],[Result]]*LN(Games[[#This Row],[ExpectedWin]])+(1-Games[[#This Row],[Result]])*LN(1-Games[[#This Row],[ExpectedWin]])))</f>
        <v>0.48529534611961556</v>
      </c>
      <c r="AF57">
        <f>IF(Games[[#This Row],[Team]]="","",IF(Games[[#This Row],[Season]]&gt;=2021,17,16))</f>
        <v>16</v>
      </c>
      <c r="AG57">
        <f>IF(Games[[#This Row],[Team]]="","",KMax-(KMax-KFloor)*MIN(Games[[#This Row],[GamesPlayed]],Games[[#This Row],[SeasonLen]])/Games[[#This Row],[SeasonLen]])</f>
        <v>44.774999999999999</v>
      </c>
      <c r="AH57">
        <f>IF(Games[[#This Row],[Team]]="","",((ABS(Games[[#This Row],[MOV]])+3)^0.8)/(7.5+0.006*ABS(Games[[#This Row],[PreGmRate]]-Games[[#This Row],[OppPreGmRate]]))*IF(Games[[#This Row],[OT]]=1,0.7,1))</f>
        <v>2.3775400368920412</v>
      </c>
      <c r="AI5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7">
        <f>IF(Games[[#This Row],[Team]]="","",Games[[#This Row],[K]]*IF(Games[[#This Row],[DivG]]=1,DivMult,1)*IF(Games[[#This Row],[ConfG]]=1,ConfMult,1)*Games[[#This Row],[POMult]])</f>
        <v>50.237550000000006</v>
      </c>
      <c r="AK57">
        <f>IF(Games[[#This Row],[Team]]="","",(Games[[#This Row],[Keff]]*Games[[#This Row],[MOVMult]])*(Games[[#This Row],[Result]]-Games[[#This Row],[ExpectedWin]]))</f>
        <v>-45.923529906476126</v>
      </c>
      <c r="AL57">
        <f>IF(Games[[#This Row],[Team]]="","",Games[[#This Row],[PreGmRate]]+Games[[#This Row],[RatingChange]])</f>
        <v>1472.8152024450214</v>
      </c>
      <c r="AM57">
        <f>IF(Games[[#This Row],[Team]]="","",IF(Games[[#This Row],[Type]]="R",IF(Games[[#This Row],[Result]]&gt;0.5,1,0),0))</f>
        <v>0</v>
      </c>
      <c r="AN57">
        <f>IF(Games[[#This Row],[Team]]="","",IF(Games[[#This Row],[Type]]="R",IF(Games[[#This Row],[Result]]&lt;0.5,1,0),0))</f>
        <v>1</v>
      </c>
      <c r="AO57">
        <f>IF(Games[[#This Row],[Team]]="","",IF(Games[[#This Row],[Type]]="R",IF(Games[[#This Row],[Result]]=0.5,1,0),0))</f>
        <v>0</v>
      </c>
    </row>
    <row r="58" spans="1:41" x14ac:dyDescent="0.35">
      <c r="A58" s="8">
        <v>35316</v>
      </c>
      <c r="B58">
        <v>1996</v>
      </c>
      <c r="C58" t="s">
        <v>197</v>
      </c>
      <c r="D58" t="s">
        <v>199</v>
      </c>
      <c r="E58" t="s">
        <v>128</v>
      </c>
      <c r="F58" t="s">
        <v>93</v>
      </c>
      <c r="G58" t="s">
        <v>201</v>
      </c>
      <c r="H58">
        <v>38</v>
      </c>
      <c r="I58">
        <v>10</v>
      </c>
      <c r="J58">
        <v>0</v>
      </c>
      <c r="K5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5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5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5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58">
        <f>IF(Games[[#This Row],[Team]]="","",IF(Games[[#This Row],[Conf]]=Games[[#This Row],[OppConf]],1,0))</f>
        <v>0</v>
      </c>
      <c r="P58">
        <f>IF(Games[[#This Row],[Team]]="","",IF(AND(Games[[#This Row],[Conf]]=Games[[#This Row],[OppConf]],Games[[#This Row],[Div]]=Games[[#This Row],[OppDiv]]),1,0))</f>
        <v>0</v>
      </c>
      <c r="Q58">
        <f>IF(Games[[#This Row],[Team]]="","",_xlfn.MINIFS(Games[Date],Games[Season],Games[[#This Row],[Season]]))</f>
        <v>35309</v>
      </c>
      <c r="R58">
        <f>IF(Games[[#This Row],[Team]]="","",INT((Games[[#This Row],[Date]]-(Games[[#This Row],[SeasonStart]]-MOD(WEEKDAY(Games[[#This Row],[SeasonStart]],2)-2,7)))/7)+1)</f>
        <v>2</v>
      </c>
      <c r="S58">
        <f>IF(Games[[#This Row],[Team]]="","",COUNTIFS(Games[Team],Games[[#This Row],[Team]],Games[Season],Games[[#This Row],[Season]],Games[Week],"&lt;="&amp;Games[[#This Row],[Week]]))</f>
        <v>2</v>
      </c>
      <c r="T58">
        <f>IF(Games[[#This Row],[Team]]="","",_xlfn.MAXIFS(Games[Week],Games[Team],Games[[#This Row],[Team]],Games[Season],Games[[#This Row],[Season]],Games[Week],"&lt;"&amp;Games[[#This Row],[Week]]))</f>
        <v>1</v>
      </c>
      <c r="U58">
        <f>IF(Games[[#This Row],[Team]]="","",_xlfn.MAXIFS(Games[Week],Games[Team],Games[[#This Row],[Opponent]],Games[Season],Games[[#This Row],[Season]],Games[Week],"&lt;"&amp;Games[[#This Row],[Week]]))</f>
        <v>1</v>
      </c>
      <c r="V5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5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5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1526.0577864326576</v>
      </c>
      <c r="Z5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1484.8090292923841</v>
      </c>
      <c r="AA5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0.45586060483854901</v>
      </c>
      <c r="AB58">
        <f>IF(Games[[#This Row],[Team]]="","",Games[[#This Row],[PointsFor]]-Games[[#This Row],[PointsAgainst]])</f>
        <v>28</v>
      </c>
      <c r="AC58">
        <f>IF(Games[[#This Row],[Team]]="","",IF(Games[[#This Row],[MOV]]&gt;0,1,IF(Games[[#This Row],[MOV]]=0,0.5,0)))</f>
        <v>1</v>
      </c>
      <c r="AD58">
        <f>IF(Games[[#This Row],[Team]]="","",--(OR(AND(Games[[#This Row],[ExpectedWin]]&gt;=0.5,Games[[#This Row],[Result]]=1),AND(Games[[#This Row],[ExpectedWin]]&lt;0.5,Games[[#This Row],[Result]]=0))))</f>
        <v>0</v>
      </c>
      <c r="AE58">
        <f>IF(Games[[#This Row],[Team]]="","",-(Games[[#This Row],[Result]]*LN(Games[[#This Row],[ExpectedWin]])+(1-Games[[#This Row],[Result]])*LN(1-Games[[#This Row],[ExpectedWin]])))</f>
        <v>0.78556820734434563</v>
      </c>
      <c r="AF58">
        <f>IF(Games[[#This Row],[Team]]="","",IF(Games[[#This Row],[Season]]&gt;=2021,17,16))</f>
        <v>16</v>
      </c>
      <c r="AG58">
        <f>IF(Games[[#This Row],[Team]]="","",KMax-(KMax-KFloor)*MIN(Games[[#This Row],[GamesPlayed]],Games[[#This Row],[SeasonLen]])/Games[[#This Row],[SeasonLen]])</f>
        <v>44.774999999999999</v>
      </c>
      <c r="AH58">
        <f>IF(Games[[#This Row],[Team]]="","",((ABS(Games[[#This Row],[MOV]])+3)^0.8)/(7.5+0.006*ABS(Games[[#This Row],[PreGmRate]]-Games[[#This Row],[OppPreGmRate]]))*IF(Games[[#This Row],[OT]]=1,0.7,1))</f>
        <v>2.0133913023725998</v>
      </c>
      <c r="AI5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8">
        <f>IF(Games[[#This Row],[Team]]="","",Games[[#This Row],[K]]*IF(Games[[#This Row],[DivG]]=1,DivMult,1)*IF(Games[[#This Row],[ConfG]]=1,ConfMult,1)*Games[[#This Row],[POMult]])</f>
        <v>44.774999999999999</v>
      </c>
      <c r="AK58">
        <f>IF(Games[[#This Row],[Team]]="","",(Games[[#This Row],[Keff]]*Games[[#This Row],[MOVMult]])*(Games[[#This Row],[Result]]-Games[[#This Row],[ExpectedWin]]))</f>
        <v>49.053946404099193</v>
      </c>
      <c r="AL58">
        <f>IF(Games[[#This Row],[Team]]="","",Games[[#This Row],[PreGmRate]]+Games[[#This Row],[RatingChange]])</f>
        <v>1575.1117328367568</v>
      </c>
      <c r="AM58">
        <f>IF(Games[[#This Row],[Team]]="","",IF(Games[[#This Row],[Type]]="R",IF(Games[[#This Row],[Result]]&gt;0.5,1,0),0))</f>
        <v>1</v>
      </c>
      <c r="AN58">
        <f>IF(Games[[#This Row],[Team]]="","",IF(Games[[#This Row],[Type]]="R",IF(Games[[#This Row],[Result]]&lt;0.5,1,0),0))</f>
        <v>0</v>
      </c>
      <c r="AO58">
        <f>IF(Games[[#This Row],[Team]]="","",IF(Games[[#This Row],[Type]]="R",IF(Games[[#This Row],[Result]]=0.5,1,0),0))</f>
        <v>0</v>
      </c>
    </row>
    <row r="59" spans="1:41" x14ac:dyDescent="0.35">
      <c r="A59" s="8">
        <v>35316</v>
      </c>
      <c r="B59">
        <v>1996</v>
      </c>
      <c r="C59" t="s">
        <v>197</v>
      </c>
      <c r="D59" t="s">
        <v>199</v>
      </c>
      <c r="E59" t="s">
        <v>93</v>
      </c>
      <c r="F59" t="s">
        <v>128</v>
      </c>
      <c r="G59" t="s">
        <v>200</v>
      </c>
      <c r="H59">
        <v>10</v>
      </c>
      <c r="I59">
        <v>38</v>
      </c>
      <c r="J59">
        <v>0</v>
      </c>
      <c r="K5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5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5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5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59">
        <f>IF(Games[[#This Row],[Team]]="","",IF(Games[[#This Row],[Conf]]=Games[[#This Row],[OppConf]],1,0))</f>
        <v>0</v>
      </c>
      <c r="P59">
        <f>IF(Games[[#This Row],[Team]]="","",IF(AND(Games[[#This Row],[Conf]]=Games[[#This Row],[OppConf]],Games[[#This Row],[Div]]=Games[[#This Row],[OppDiv]]),1,0))</f>
        <v>0</v>
      </c>
      <c r="Q59">
        <f>IF(Games[[#This Row],[Team]]="","",_xlfn.MINIFS(Games[Date],Games[Season],Games[[#This Row],[Season]]))</f>
        <v>35309</v>
      </c>
      <c r="R59">
        <f>IF(Games[[#This Row],[Team]]="","",INT((Games[[#This Row],[Date]]-(Games[[#This Row],[SeasonStart]]-MOD(WEEKDAY(Games[[#This Row],[SeasonStart]],2)-2,7)))/7)+1)</f>
        <v>2</v>
      </c>
      <c r="S59">
        <f>IF(Games[[#This Row],[Team]]="","",COUNTIFS(Games[Team],Games[[#This Row],[Team]],Games[Season],Games[[#This Row],[Season]],Games[Week],"&lt;="&amp;Games[[#This Row],[Week]]))</f>
        <v>2</v>
      </c>
      <c r="T59">
        <f>IF(Games[[#This Row],[Team]]="","",_xlfn.MAXIFS(Games[Week],Games[Team],Games[[#This Row],[Team]],Games[Season],Games[[#This Row],[Season]],Games[Week],"&lt;"&amp;Games[[#This Row],[Week]]))</f>
        <v>1</v>
      </c>
      <c r="U59">
        <f>IF(Games[[#This Row],[Team]]="","",_xlfn.MAXIFS(Games[Week],Games[Team],Games[[#This Row],[Opponent]],Games[Season],Games[[#This Row],[Season]],Games[Week],"&lt;"&amp;Games[[#This Row],[Week]]))</f>
        <v>1</v>
      </c>
      <c r="V5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5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5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1484.8090292923841</v>
      </c>
      <c r="Z5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1526.0577864326576</v>
      </c>
      <c r="AA5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0.54413939516145093</v>
      </c>
      <c r="AB59">
        <f>IF(Games[[#This Row],[Team]]="","",Games[[#This Row],[PointsFor]]-Games[[#This Row],[PointsAgainst]])</f>
        <v>-28</v>
      </c>
      <c r="AC59">
        <f>IF(Games[[#This Row],[Team]]="","",IF(Games[[#This Row],[MOV]]&gt;0,1,IF(Games[[#This Row],[MOV]]=0,0.5,0)))</f>
        <v>0</v>
      </c>
      <c r="AD59">
        <f>IF(Games[[#This Row],[Team]]="","",--(OR(AND(Games[[#This Row],[ExpectedWin]]&gt;=0.5,Games[[#This Row],[Result]]=1),AND(Games[[#This Row],[ExpectedWin]]&lt;0.5,Games[[#This Row],[Result]]=0))))</f>
        <v>0</v>
      </c>
      <c r="AE59">
        <f>IF(Games[[#This Row],[Team]]="","",-(Games[[#This Row],[Result]]*LN(Games[[#This Row],[ExpectedWin]])+(1-Games[[#This Row],[Result]])*LN(1-Games[[#This Row],[ExpectedWin]])))</f>
        <v>0.78556820734434551</v>
      </c>
      <c r="AF59">
        <f>IF(Games[[#This Row],[Team]]="","",IF(Games[[#This Row],[Season]]&gt;=2021,17,16))</f>
        <v>16</v>
      </c>
      <c r="AG59">
        <f>IF(Games[[#This Row],[Team]]="","",KMax-(KMax-KFloor)*MIN(Games[[#This Row],[GamesPlayed]],Games[[#This Row],[SeasonLen]])/Games[[#This Row],[SeasonLen]])</f>
        <v>44.774999999999999</v>
      </c>
      <c r="AH59">
        <f>IF(Games[[#This Row],[Team]]="","",((ABS(Games[[#This Row],[MOV]])+3)^0.8)/(7.5+0.006*ABS(Games[[#This Row],[PreGmRate]]-Games[[#This Row],[OppPreGmRate]]))*IF(Games[[#This Row],[OT]]=1,0.7,1))</f>
        <v>2.0133913023725998</v>
      </c>
      <c r="AI5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9">
        <f>IF(Games[[#This Row],[Team]]="","",Games[[#This Row],[K]]*IF(Games[[#This Row],[DivG]]=1,DivMult,1)*IF(Games[[#This Row],[ConfG]]=1,ConfMult,1)*Games[[#This Row],[POMult]])</f>
        <v>44.774999999999999</v>
      </c>
      <c r="AK59">
        <f>IF(Games[[#This Row],[Team]]="","",(Games[[#This Row],[Keff]]*Games[[#This Row],[MOVMult]])*(Games[[#This Row],[Result]]-Games[[#This Row],[ExpectedWin]]))</f>
        <v>-49.053946404099179</v>
      </c>
      <c r="AL59">
        <f>IF(Games[[#This Row],[Team]]="","",Games[[#This Row],[PreGmRate]]+Games[[#This Row],[RatingChange]])</f>
        <v>1435.755082888285</v>
      </c>
      <c r="AM59">
        <f>IF(Games[[#This Row],[Team]]="","",IF(Games[[#This Row],[Type]]="R",IF(Games[[#This Row],[Result]]&gt;0.5,1,0),0))</f>
        <v>0</v>
      </c>
      <c r="AN59">
        <f>IF(Games[[#This Row],[Team]]="","",IF(Games[[#This Row],[Type]]="R",IF(Games[[#This Row],[Result]]&lt;0.5,1,0),0))</f>
        <v>1</v>
      </c>
      <c r="AO59">
        <f>IF(Games[[#This Row],[Team]]="","",IF(Games[[#This Row],[Type]]="R",IF(Games[[#This Row],[Result]]=0.5,1,0),0))</f>
        <v>0</v>
      </c>
    </row>
    <row r="60" spans="1:41" x14ac:dyDescent="0.35">
      <c r="A60" s="8">
        <v>35317</v>
      </c>
      <c r="B60">
        <v>1996</v>
      </c>
      <c r="C60" t="s">
        <v>197</v>
      </c>
      <c r="D60" t="s">
        <v>199</v>
      </c>
      <c r="E60" t="s">
        <v>120</v>
      </c>
      <c r="F60" t="s">
        <v>141</v>
      </c>
      <c r="G60" t="s">
        <v>200</v>
      </c>
      <c r="H60">
        <v>39</v>
      </c>
      <c r="I60">
        <v>13</v>
      </c>
      <c r="J60">
        <v>0</v>
      </c>
      <c r="K6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6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6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6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60">
        <f>IF(Games[[#This Row],[Team]]="","",IF(Games[[#This Row],[Conf]]=Games[[#This Row],[OppConf]],1,0))</f>
        <v>1</v>
      </c>
      <c r="P60">
        <f>IF(Games[[#This Row],[Team]]="","",IF(AND(Games[[#This Row],[Conf]]=Games[[#This Row],[OppConf]],Games[[#This Row],[Div]]=Games[[#This Row],[OppDiv]]),1,0))</f>
        <v>0</v>
      </c>
      <c r="Q60">
        <f>IF(Games[[#This Row],[Team]]="","",_xlfn.MINIFS(Games[Date],Games[Season],Games[[#This Row],[Season]]))</f>
        <v>35309</v>
      </c>
      <c r="R60">
        <f>IF(Games[[#This Row],[Team]]="","",INT((Games[[#This Row],[Date]]-(Games[[#This Row],[SeasonStart]]-MOD(WEEKDAY(Games[[#This Row],[SeasonStart]],2)-2,7)))/7)+1)</f>
        <v>2</v>
      </c>
      <c r="S60">
        <f>IF(Games[[#This Row],[Team]]="","",COUNTIFS(Games[Team],Games[[#This Row],[Team]],Games[Season],Games[[#This Row],[Season]],Games[Week],"&lt;="&amp;Games[[#This Row],[Week]]))</f>
        <v>2</v>
      </c>
      <c r="T60">
        <f>IF(Games[[#This Row],[Team]]="","",_xlfn.MAXIFS(Games[Week],Games[Team],Games[[#This Row],[Team]],Games[Season],Games[[#This Row],[Season]],Games[Week],"&lt;"&amp;Games[[#This Row],[Week]]))</f>
        <v>1</v>
      </c>
      <c r="U60">
        <f>IF(Games[[#This Row],[Team]]="","",_xlfn.MAXIFS(Games[Week],Games[Team],Games[[#This Row],[Opponent]],Games[Season],Games[[#This Row],[Season]],Games[Week],"&lt;"&amp;Games[[#This Row],[Week]]))</f>
        <v>1</v>
      </c>
      <c r="V6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6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6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6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1568.6691255244273</v>
      </c>
      <c r="Z6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1517.1434957270587</v>
      </c>
      <c r="AA6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0.67063769875176882</v>
      </c>
      <c r="AB60">
        <f>IF(Games[[#This Row],[Team]]="","",Games[[#This Row],[PointsFor]]-Games[[#This Row],[PointsAgainst]])</f>
        <v>26</v>
      </c>
      <c r="AC60">
        <f>IF(Games[[#This Row],[Team]]="","",IF(Games[[#This Row],[MOV]]&gt;0,1,IF(Games[[#This Row],[MOV]]=0,0.5,0)))</f>
        <v>1</v>
      </c>
      <c r="AD60">
        <f>IF(Games[[#This Row],[Team]]="","",--(OR(AND(Games[[#This Row],[ExpectedWin]]&gt;=0.5,Games[[#This Row],[Result]]=1),AND(Games[[#This Row],[ExpectedWin]]&lt;0.5,Games[[#This Row],[Result]]=0))))</f>
        <v>1</v>
      </c>
      <c r="AE60">
        <f>IF(Games[[#This Row],[Team]]="","",-(Games[[#This Row],[Result]]*LN(Games[[#This Row],[ExpectedWin]])+(1-Games[[#This Row],[Result]])*LN(1-Games[[#This Row],[ExpectedWin]])))</f>
        <v>0.39952623007949961</v>
      </c>
      <c r="AF60">
        <f>IF(Games[[#This Row],[Team]]="","",IF(Games[[#This Row],[Season]]&gt;=2021,17,16))</f>
        <v>16</v>
      </c>
      <c r="AG60">
        <f>IF(Games[[#This Row],[Team]]="","",KMax-(KMax-KFloor)*MIN(Games[[#This Row],[GamesPlayed]],Games[[#This Row],[SeasonLen]])/Games[[#This Row],[SeasonLen]])</f>
        <v>44.774999999999999</v>
      </c>
      <c r="AH60">
        <f>IF(Games[[#This Row],[Team]]="","",((ABS(Games[[#This Row],[MOV]])+3)^0.8)/(7.5+0.006*ABS(Games[[#This Row],[PreGmRate]]-Games[[#This Row],[OppPreGmRate]]))*IF(Games[[#This Row],[OT]]=1,0.7,1))</f>
        <v>1.8937141454411275</v>
      </c>
      <c r="AI6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0">
        <f>IF(Games[[#This Row],[Team]]="","",Games[[#This Row],[K]]*IF(Games[[#This Row],[DivG]]=1,DivMult,1)*IF(Games[[#This Row],[ConfG]]=1,ConfMult,1)*Games[[#This Row],[POMult]])</f>
        <v>45.670499999999997</v>
      </c>
      <c r="AK60">
        <f>IF(Games[[#This Row],[Team]]="","",(Games[[#This Row],[Keff]]*Games[[#This Row],[MOVMult]])*(Games[[#This Row],[Result]]-Games[[#This Row],[ExpectedWin]]))</f>
        <v>28.485515149949908</v>
      </c>
      <c r="AL60">
        <f>IF(Games[[#This Row],[Team]]="","",Games[[#This Row],[PreGmRate]]+Games[[#This Row],[RatingChange]])</f>
        <v>1597.1546406743771</v>
      </c>
      <c r="AM60">
        <f>IF(Games[[#This Row],[Team]]="","",IF(Games[[#This Row],[Type]]="R",IF(Games[[#This Row],[Result]]&gt;0.5,1,0),0))</f>
        <v>1</v>
      </c>
      <c r="AN60">
        <f>IF(Games[[#This Row],[Team]]="","",IF(Games[[#This Row],[Type]]="R",IF(Games[[#This Row],[Result]]&lt;0.5,1,0),0))</f>
        <v>0</v>
      </c>
      <c r="AO60">
        <f>IF(Games[[#This Row],[Team]]="","",IF(Games[[#This Row],[Type]]="R",IF(Games[[#This Row],[Result]]=0.5,1,0),0))</f>
        <v>0</v>
      </c>
    </row>
    <row r="61" spans="1:41" x14ac:dyDescent="0.35">
      <c r="A61" s="8">
        <v>35317</v>
      </c>
      <c r="B61">
        <v>1996</v>
      </c>
      <c r="C61" t="s">
        <v>197</v>
      </c>
      <c r="D61" t="s">
        <v>199</v>
      </c>
      <c r="E61" t="s">
        <v>141</v>
      </c>
      <c r="F61" t="s">
        <v>120</v>
      </c>
      <c r="G61" t="s">
        <v>201</v>
      </c>
      <c r="H61">
        <v>13</v>
      </c>
      <c r="I61">
        <v>39</v>
      </c>
      <c r="J61">
        <v>0</v>
      </c>
      <c r="K6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6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6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6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61">
        <f>IF(Games[[#This Row],[Team]]="","",IF(Games[[#This Row],[Conf]]=Games[[#This Row],[OppConf]],1,0))</f>
        <v>1</v>
      </c>
      <c r="P61">
        <f>IF(Games[[#This Row],[Team]]="","",IF(AND(Games[[#This Row],[Conf]]=Games[[#This Row],[OppConf]],Games[[#This Row],[Div]]=Games[[#This Row],[OppDiv]]),1,0))</f>
        <v>0</v>
      </c>
      <c r="Q61">
        <f>IF(Games[[#This Row],[Team]]="","",_xlfn.MINIFS(Games[Date],Games[Season],Games[[#This Row],[Season]]))</f>
        <v>35309</v>
      </c>
      <c r="R61">
        <f>IF(Games[[#This Row],[Team]]="","",INT((Games[[#This Row],[Date]]-(Games[[#This Row],[SeasonStart]]-MOD(WEEKDAY(Games[[#This Row],[SeasonStart]],2)-2,7)))/7)+1)</f>
        <v>2</v>
      </c>
      <c r="S61">
        <f>IF(Games[[#This Row],[Team]]="","",COUNTIFS(Games[Team],Games[[#This Row],[Team]],Games[Season],Games[[#This Row],[Season]],Games[Week],"&lt;="&amp;Games[[#This Row],[Week]]))</f>
        <v>2</v>
      </c>
      <c r="T61">
        <f>IF(Games[[#This Row],[Team]]="","",_xlfn.MAXIFS(Games[Week],Games[Team],Games[[#This Row],[Team]],Games[Season],Games[[#This Row],[Season]],Games[Week],"&lt;"&amp;Games[[#This Row],[Week]]))</f>
        <v>1</v>
      </c>
      <c r="U61">
        <f>IF(Games[[#This Row],[Team]]="","",_xlfn.MAXIFS(Games[Week],Games[Team],Games[[#This Row],[Opponent]],Games[Season],Games[[#This Row],[Season]],Games[Week],"&lt;"&amp;Games[[#This Row],[Week]]))</f>
        <v>1</v>
      </c>
      <c r="V6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6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6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6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1517.1434957270587</v>
      </c>
      <c r="Z6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1568.6691255244273</v>
      </c>
      <c r="AA6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0.32936230124823124</v>
      </c>
      <c r="AB61">
        <f>IF(Games[[#This Row],[Team]]="","",Games[[#This Row],[PointsFor]]-Games[[#This Row],[PointsAgainst]])</f>
        <v>-26</v>
      </c>
      <c r="AC61">
        <f>IF(Games[[#This Row],[Team]]="","",IF(Games[[#This Row],[MOV]]&gt;0,1,IF(Games[[#This Row],[MOV]]=0,0.5,0)))</f>
        <v>0</v>
      </c>
      <c r="AD61">
        <f>IF(Games[[#This Row],[Team]]="","",--(OR(AND(Games[[#This Row],[ExpectedWin]]&gt;=0.5,Games[[#This Row],[Result]]=1),AND(Games[[#This Row],[ExpectedWin]]&lt;0.5,Games[[#This Row],[Result]]=0))))</f>
        <v>1</v>
      </c>
      <c r="AE61">
        <f>IF(Games[[#This Row],[Team]]="","",-(Games[[#This Row],[Result]]*LN(Games[[#This Row],[ExpectedWin]])+(1-Games[[#This Row],[Result]])*LN(1-Games[[#This Row],[ExpectedWin]])))</f>
        <v>0.39952623007949961</v>
      </c>
      <c r="AF61">
        <f>IF(Games[[#This Row],[Team]]="","",IF(Games[[#This Row],[Season]]&gt;=2021,17,16))</f>
        <v>16</v>
      </c>
      <c r="AG61">
        <f>IF(Games[[#This Row],[Team]]="","",KMax-(KMax-KFloor)*MIN(Games[[#This Row],[GamesPlayed]],Games[[#This Row],[SeasonLen]])/Games[[#This Row],[SeasonLen]])</f>
        <v>44.774999999999999</v>
      </c>
      <c r="AH61">
        <f>IF(Games[[#This Row],[Team]]="","",((ABS(Games[[#This Row],[MOV]])+3)^0.8)/(7.5+0.006*ABS(Games[[#This Row],[PreGmRate]]-Games[[#This Row],[OppPreGmRate]]))*IF(Games[[#This Row],[OT]]=1,0.7,1))</f>
        <v>1.8937141454411275</v>
      </c>
      <c r="AI6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1">
        <f>IF(Games[[#This Row],[Team]]="","",Games[[#This Row],[K]]*IF(Games[[#This Row],[DivG]]=1,DivMult,1)*IF(Games[[#This Row],[ConfG]]=1,ConfMult,1)*Games[[#This Row],[POMult]])</f>
        <v>45.670499999999997</v>
      </c>
      <c r="AK61">
        <f>IF(Games[[#This Row],[Team]]="","",(Games[[#This Row],[Keff]]*Games[[#This Row],[MOVMult]])*(Games[[#This Row],[Result]]-Games[[#This Row],[ExpectedWin]]))</f>
        <v>-28.485515149949912</v>
      </c>
      <c r="AL61">
        <f>IF(Games[[#This Row],[Team]]="","",Games[[#This Row],[PreGmRate]]+Games[[#This Row],[RatingChange]])</f>
        <v>1488.6579805771089</v>
      </c>
      <c r="AM61">
        <f>IF(Games[[#This Row],[Team]]="","",IF(Games[[#This Row],[Type]]="R",IF(Games[[#This Row],[Result]]&gt;0.5,1,0),0))</f>
        <v>0</v>
      </c>
      <c r="AN61">
        <f>IF(Games[[#This Row],[Team]]="","",IF(Games[[#This Row],[Type]]="R",IF(Games[[#This Row],[Result]]&lt;0.5,1,0),0))</f>
        <v>1</v>
      </c>
      <c r="AO61">
        <f>IF(Games[[#This Row],[Team]]="","",IF(Games[[#This Row],[Type]]="R",IF(Games[[#This Row],[Result]]=0.5,1,0),0))</f>
        <v>0</v>
      </c>
    </row>
    <row r="62" spans="1:41" x14ac:dyDescent="0.35">
      <c r="A62" s="8">
        <v>35323</v>
      </c>
      <c r="B62">
        <v>1996</v>
      </c>
      <c r="C62" t="s">
        <v>197</v>
      </c>
      <c r="D62" t="s">
        <v>199</v>
      </c>
      <c r="E62" t="s">
        <v>130</v>
      </c>
      <c r="F62" t="s">
        <v>110</v>
      </c>
      <c r="G62" t="s">
        <v>201</v>
      </c>
      <c r="H62">
        <v>20</v>
      </c>
      <c r="I62">
        <v>14</v>
      </c>
      <c r="J62">
        <v>0</v>
      </c>
      <c r="K6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6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6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6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62">
        <f>IF(Games[[#This Row],[Team]]="","",IF(Games[[#This Row],[Conf]]=Games[[#This Row],[OppConf]],1,0))</f>
        <v>1</v>
      </c>
      <c r="P62">
        <f>IF(Games[[#This Row],[Team]]="","",IF(AND(Games[[#This Row],[Conf]]=Games[[#This Row],[OppConf]],Games[[#This Row],[Div]]=Games[[#This Row],[OppDiv]]),1,0))</f>
        <v>1</v>
      </c>
      <c r="Q62">
        <f>IF(Games[[#This Row],[Team]]="","",_xlfn.MINIFS(Games[Date],Games[Season],Games[[#This Row],[Season]]))</f>
        <v>35309</v>
      </c>
      <c r="R62">
        <f>IF(Games[[#This Row],[Team]]="","",INT((Games[[#This Row],[Date]]-(Games[[#This Row],[SeasonStart]]-MOD(WEEKDAY(Games[[#This Row],[SeasonStart]],2)-2,7)))/7)+1)</f>
        <v>3</v>
      </c>
      <c r="S62">
        <f>IF(Games[[#This Row],[Team]]="","",COUNTIFS(Games[Team],Games[[#This Row],[Team]],Games[Season],Games[[#This Row],[Season]],Games[Week],"&lt;="&amp;Games[[#This Row],[Week]]))</f>
        <v>3</v>
      </c>
      <c r="T62">
        <f>IF(Games[[#This Row],[Team]]="","",_xlfn.MAXIFS(Games[Week],Games[Team],Games[[#This Row],[Team]],Games[Season],Games[[#This Row],[Season]],Games[Week],"&lt;"&amp;Games[[#This Row],[Week]]))</f>
        <v>2</v>
      </c>
      <c r="U62">
        <f>IF(Games[[#This Row],[Team]]="","",_xlfn.MAXIFS(Games[Week],Games[Team],Games[[#This Row],[Opponent]],Games[Season],Games[[#This Row],[Season]],Games[Week],"&lt;"&amp;Games[[#This Row],[Week]]))</f>
        <v>2</v>
      </c>
      <c r="V6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6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6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6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1530.9019068073326</v>
      </c>
      <c r="Z6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1509.184603570028</v>
      </c>
      <c r="AA6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0.42813840642968803</v>
      </c>
      <c r="AB62">
        <f>IF(Games[[#This Row],[Team]]="","",Games[[#This Row],[PointsFor]]-Games[[#This Row],[PointsAgainst]])</f>
        <v>6</v>
      </c>
      <c r="AC62">
        <f>IF(Games[[#This Row],[Team]]="","",IF(Games[[#This Row],[MOV]]&gt;0,1,IF(Games[[#This Row],[MOV]]=0,0.5,0)))</f>
        <v>1</v>
      </c>
      <c r="AD62">
        <f>IF(Games[[#This Row],[Team]]="","",--(OR(AND(Games[[#This Row],[ExpectedWin]]&gt;=0.5,Games[[#This Row],[Result]]=1),AND(Games[[#This Row],[ExpectedWin]]&lt;0.5,Games[[#This Row],[Result]]=0))))</f>
        <v>0</v>
      </c>
      <c r="AE62">
        <f>IF(Games[[#This Row],[Team]]="","",-(Games[[#This Row],[Result]]*LN(Games[[#This Row],[ExpectedWin]])+(1-Games[[#This Row],[Result]])*LN(1-Games[[#This Row],[ExpectedWin]])))</f>
        <v>0.84830875616760704</v>
      </c>
      <c r="AF62">
        <f>IF(Games[[#This Row],[Team]]="","",IF(Games[[#This Row],[Season]]&gt;=2021,17,16))</f>
        <v>16</v>
      </c>
      <c r="AG62">
        <f>IF(Games[[#This Row],[Team]]="","",KMax-(KMax-KFloor)*MIN(Games[[#This Row],[GamesPlayed]],Games[[#This Row],[SeasonLen]])/Games[[#This Row],[SeasonLen]])</f>
        <v>44.162500000000001</v>
      </c>
      <c r="AH62">
        <f>IF(Games[[#This Row],[Team]]="","",((ABS(Games[[#This Row],[MOV]])+3)^0.8)/(7.5+0.006*ABS(Games[[#This Row],[PreGmRate]]-Games[[#This Row],[OppPreGmRate]]))*IF(Games[[#This Row],[OT]]=1,0.7,1))</f>
        <v>0.76006752444533987</v>
      </c>
      <c r="AI6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2">
        <f>IF(Games[[#This Row],[Team]]="","",Games[[#This Row],[K]]*IF(Games[[#This Row],[DivG]]=1,DivMult,1)*IF(Games[[#This Row],[ConfG]]=1,ConfMult,1)*Games[[#This Row],[POMult]])</f>
        <v>49.550325000000008</v>
      </c>
      <c r="AK62">
        <f>IF(Games[[#This Row],[Team]]="","",(Games[[#This Row],[Keff]]*Games[[#This Row],[MOVMult]])*(Games[[#This Row],[Result]]-Games[[#This Row],[ExpectedWin]]))</f>
        <v>21.537218508293417</v>
      </c>
      <c r="AL62">
        <f>IF(Games[[#This Row],[Team]]="","",Games[[#This Row],[PreGmRate]]+Games[[#This Row],[RatingChange]])</f>
        <v>1552.4391253156259</v>
      </c>
      <c r="AM62">
        <f>IF(Games[[#This Row],[Team]]="","",IF(Games[[#This Row],[Type]]="R",IF(Games[[#This Row],[Result]]&gt;0.5,1,0),0))</f>
        <v>1</v>
      </c>
      <c r="AN62">
        <f>IF(Games[[#This Row],[Team]]="","",IF(Games[[#This Row],[Type]]="R",IF(Games[[#This Row],[Result]]&lt;0.5,1,0),0))</f>
        <v>0</v>
      </c>
      <c r="AO62">
        <f>IF(Games[[#This Row],[Team]]="","",IF(Games[[#This Row],[Type]]="R",IF(Games[[#This Row],[Result]]=0.5,1,0),0))</f>
        <v>0</v>
      </c>
    </row>
    <row r="63" spans="1:41" x14ac:dyDescent="0.35">
      <c r="A63" s="8">
        <v>35323</v>
      </c>
      <c r="B63">
        <v>1996</v>
      </c>
      <c r="C63" t="s">
        <v>197</v>
      </c>
      <c r="D63" t="s">
        <v>199</v>
      </c>
      <c r="E63" t="s">
        <v>110</v>
      </c>
      <c r="F63" t="s">
        <v>130</v>
      </c>
      <c r="G63" t="s">
        <v>200</v>
      </c>
      <c r="H63">
        <v>14</v>
      </c>
      <c r="I63">
        <v>20</v>
      </c>
      <c r="J63">
        <v>0</v>
      </c>
      <c r="K6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6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6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6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63">
        <f>IF(Games[[#This Row],[Team]]="","",IF(Games[[#This Row],[Conf]]=Games[[#This Row],[OppConf]],1,0))</f>
        <v>1</v>
      </c>
      <c r="P63">
        <f>IF(Games[[#This Row],[Team]]="","",IF(AND(Games[[#This Row],[Conf]]=Games[[#This Row],[OppConf]],Games[[#This Row],[Div]]=Games[[#This Row],[OppDiv]]),1,0))</f>
        <v>1</v>
      </c>
      <c r="Q63">
        <f>IF(Games[[#This Row],[Team]]="","",_xlfn.MINIFS(Games[Date],Games[Season],Games[[#This Row],[Season]]))</f>
        <v>35309</v>
      </c>
      <c r="R63">
        <f>IF(Games[[#This Row],[Team]]="","",INT((Games[[#This Row],[Date]]-(Games[[#This Row],[SeasonStart]]-MOD(WEEKDAY(Games[[#This Row],[SeasonStart]],2)-2,7)))/7)+1)</f>
        <v>3</v>
      </c>
      <c r="S63">
        <f>IF(Games[[#This Row],[Team]]="","",COUNTIFS(Games[Team],Games[[#This Row],[Team]],Games[Season],Games[[#This Row],[Season]],Games[Week],"&lt;="&amp;Games[[#This Row],[Week]]))</f>
        <v>3</v>
      </c>
      <c r="T63">
        <f>IF(Games[[#This Row],[Team]]="","",_xlfn.MAXIFS(Games[Week],Games[Team],Games[[#This Row],[Team]],Games[Season],Games[[#This Row],[Season]],Games[Week],"&lt;"&amp;Games[[#This Row],[Week]]))</f>
        <v>2</v>
      </c>
      <c r="U63">
        <f>IF(Games[[#This Row],[Team]]="","",_xlfn.MAXIFS(Games[Week],Games[Team],Games[[#This Row],[Opponent]],Games[Season],Games[[#This Row],[Season]],Games[Week],"&lt;"&amp;Games[[#This Row],[Week]]))</f>
        <v>2</v>
      </c>
      <c r="V6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6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6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6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1509.184603570028</v>
      </c>
      <c r="Z6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1530.9019068073326</v>
      </c>
      <c r="AA6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0.57186159357031185</v>
      </c>
      <c r="AB63">
        <f>IF(Games[[#This Row],[Team]]="","",Games[[#This Row],[PointsFor]]-Games[[#This Row],[PointsAgainst]])</f>
        <v>-6</v>
      </c>
      <c r="AC63">
        <f>IF(Games[[#This Row],[Team]]="","",IF(Games[[#This Row],[MOV]]&gt;0,1,IF(Games[[#This Row],[MOV]]=0,0.5,0)))</f>
        <v>0</v>
      </c>
      <c r="AD63">
        <f>IF(Games[[#This Row],[Team]]="","",--(OR(AND(Games[[#This Row],[ExpectedWin]]&gt;=0.5,Games[[#This Row],[Result]]=1),AND(Games[[#This Row],[ExpectedWin]]&lt;0.5,Games[[#This Row],[Result]]=0))))</f>
        <v>0</v>
      </c>
      <c r="AE63">
        <f>IF(Games[[#This Row],[Team]]="","",-(Games[[#This Row],[Result]]*LN(Games[[#This Row],[ExpectedWin]])+(1-Games[[#This Row],[Result]])*LN(1-Games[[#This Row],[ExpectedWin]])))</f>
        <v>0.8483087561676067</v>
      </c>
      <c r="AF63">
        <f>IF(Games[[#This Row],[Team]]="","",IF(Games[[#This Row],[Season]]&gt;=2021,17,16))</f>
        <v>16</v>
      </c>
      <c r="AG63">
        <f>IF(Games[[#This Row],[Team]]="","",KMax-(KMax-KFloor)*MIN(Games[[#This Row],[GamesPlayed]],Games[[#This Row],[SeasonLen]])/Games[[#This Row],[SeasonLen]])</f>
        <v>44.162500000000001</v>
      </c>
      <c r="AH63">
        <f>IF(Games[[#This Row],[Team]]="","",((ABS(Games[[#This Row],[MOV]])+3)^0.8)/(7.5+0.006*ABS(Games[[#This Row],[PreGmRate]]-Games[[#This Row],[OppPreGmRate]]))*IF(Games[[#This Row],[OT]]=1,0.7,1))</f>
        <v>0.76006752444533987</v>
      </c>
      <c r="AI6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3">
        <f>IF(Games[[#This Row],[Team]]="","",Games[[#This Row],[K]]*IF(Games[[#This Row],[DivG]]=1,DivMult,1)*IF(Games[[#This Row],[ConfG]]=1,ConfMult,1)*Games[[#This Row],[POMult]])</f>
        <v>49.550325000000008</v>
      </c>
      <c r="AK63">
        <f>IF(Games[[#This Row],[Team]]="","",(Games[[#This Row],[Keff]]*Games[[#This Row],[MOVMult]])*(Games[[#This Row],[Result]]-Games[[#This Row],[ExpectedWin]]))</f>
        <v>-21.537218508293414</v>
      </c>
      <c r="AL63">
        <f>IF(Games[[#This Row],[Team]]="","",Games[[#This Row],[PreGmRate]]+Games[[#This Row],[RatingChange]])</f>
        <v>1487.6473850617347</v>
      </c>
      <c r="AM63">
        <f>IF(Games[[#This Row],[Team]]="","",IF(Games[[#This Row],[Type]]="R",IF(Games[[#This Row],[Result]]&gt;0.5,1,0),0))</f>
        <v>0</v>
      </c>
      <c r="AN63">
        <f>IF(Games[[#This Row],[Team]]="","",IF(Games[[#This Row],[Type]]="R",IF(Games[[#This Row],[Result]]&lt;0.5,1,0),0))</f>
        <v>1</v>
      </c>
      <c r="AO63">
        <f>IF(Games[[#This Row],[Team]]="","",IF(Games[[#This Row],[Type]]="R",IF(Games[[#This Row],[Result]]=0.5,1,0),0))</f>
        <v>0</v>
      </c>
    </row>
    <row r="64" spans="1:41" x14ac:dyDescent="0.35">
      <c r="A64" s="8">
        <v>35323</v>
      </c>
      <c r="B64">
        <v>1996</v>
      </c>
      <c r="C64" t="s">
        <v>197</v>
      </c>
      <c r="D64" t="s">
        <v>199</v>
      </c>
      <c r="E64" t="s">
        <v>112</v>
      </c>
      <c r="F64" t="s">
        <v>134</v>
      </c>
      <c r="G64" t="s">
        <v>200</v>
      </c>
      <c r="H64">
        <v>30</v>
      </c>
      <c r="I64">
        <v>15</v>
      </c>
      <c r="J64">
        <v>0</v>
      </c>
      <c r="K6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6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6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6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64">
        <f>IF(Games[[#This Row],[Team]]="","",IF(Games[[#This Row],[Conf]]=Games[[#This Row],[OppConf]],1,0))</f>
        <v>0</v>
      </c>
      <c r="P64">
        <f>IF(Games[[#This Row],[Team]]="","",IF(AND(Games[[#This Row],[Conf]]=Games[[#This Row],[OppConf]],Games[[#This Row],[Div]]=Games[[#This Row],[OppDiv]]),1,0))</f>
        <v>0</v>
      </c>
      <c r="Q64">
        <f>IF(Games[[#This Row],[Team]]="","",_xlfn.MINIFS(Games[Date],Games[Season],Games[[#This Row],[Season]]))</f>
        <v>35309</v>
      </c>
      <c r="R64">
        <f>IF(Games[[#This Row],[Team]]="","",INT((Games[[#This Row],[Date]]-(Games[[#This Row],[SeasonStart]]-MOD(WEEKDAY(Games[[#This Row],[SeasonStart]],2)-2,7)))/7)+1)</f>
        <v>3</v>
      </c>
      <c r="S64">
        <f>IF(Games[[#This Row],[Team]]="","",COUNTIFS(Games[Team],Games[[#This Row],[Team]],Games[Season],Games[[#This Row],[Season]],Games[Week],"&lt;="&amp;Games[[#This Row],[Week]]))</f>
        <v>3</v>
      </c>
      <c r="T64">
        <f>IF(Games[[#This Row],[Team]]="","",_xlfn.MAXIFS(Games[Week],Games[Team],Games[[#This Row],[Team]],Games[Season],Games[[#This Row],[Season]],Games[Week],"&lt;"&amp;Games[[#This Row],[Week]]))</f>
        <v>2</v>
      </c>
      <c r="U64">
        <f>IF(Games[[#This Row],[Team]]="","",_xlfn.MAXIFS(Games[Week],Games[Team],Games[[#This Row],[Opponent]],Games[Season],Games[[#This Row],[Season]],Games[Week],"&lt;"&amp;Games[[#This Row],[Week]]))</f>
        <v>2</v>
      </c>
      <c r="V6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6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6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6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1463.7794742422934</v>
      </c>
      <c r="Z6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1459.7515127497402</v>
      </c>
      <c r="AA6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0.607699437620424</v>
      </c>
      <c r="AB64">
        <f>IF(Games[[#This Row],[Team]]="","",Games[[#This Row],[PointsFor]]-Games[[#This Row],[PointsAgainst]])</f>
        <v>15</v>
      </c>
      <c r="AC64">
        <f>IF(Games[[#This Row],[Team]]="","",IF(Games[[#This Row],[MOV]]&gt;0,1,IF(Games[[#This Row],[MOV]]=0,0.5,0)))</f>
        <v>1</v>
      </c>
      <c r="AD64">
        <f>IF(Games[[#This Row],[Team]]="","",--(OR(AND(Games[[#This Row],[ExpectedWin]]&gt;=0.5,Games[[#This Row],[Result]]=1),AND(Games[[#This Row],[ExpectedWin]]&lt;0.5,Games[[#This Row],[Result]]=0))))</f>
        <v>1</v>
      </c>
      <c r="AE64">
        <f>IF(Games[[#This Row],[Team]]="","",-(Games[[#This Row],[Result]]*LN(Games[[#This Row],[ExpectedWin]])+(1-Games[[#This Row],[Result]])*LN(1-Games[[#This Row],[ExpectedWin]])))</f>
        <v>0.49807486526428685</v>
      </c>
      <c r="AF64">
        <f>IF(Games[[#This Row],[Team]]="","",IF(Games[[#This Row],[Season]]&gt;=2021,17,16))</f>
        <v>16</v>
      </c>
      <c r="AG64">
        <f>IF(Games[[#This Row],[Team]]="","",KMax-(KMax-KFloor)*MIN(Games[[#This Row],[GamesPlayed]],Games[[#This Row],[SeasonLen]])/Games[[#This Row],[SeasonLen]])</f>
        <v>44.162500000000001</v>
      </c>
      <c r="AH64">
        <f>IF(Games[[#This Row],[Team]]="","",((ABS(Games[[#This Row],[MOV]])+3)^0.8)/(7.5+0.006*ABS(Games[[#This Row],[PreGmRate]]-Games[[#This Row],[OppPreGmRate]]))*IF(Games[[#This Row],[OT]]=1,0.7,1))</f>
        <v>1.3420216851993161</v>
      </c>
      <c r="AI6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4">
        <f>IF(Games[[#This Row],[Team]]="","",Games[[#This Row],[K]]*IF(Games[[#This Row],[DivG]]=1,DivMult,1)*IF(Games[[#This Row],[ConfG]]=1,ConfMult,1)*Games[[#This Row],[POMult]])</f>
        <v>44.162500000000001</v>
      </c>
      <c r="AK64">
        <f>IF(Games[[#This Row],[Team]]="","",(Games[[#This Row],[Keff]]*Games[[#This Row],[MOVMult]])*(Games[[#This Row],[Result]]-Games[[#This Row],[ExpectedWin]]))</f>
        <v>23.25049024803549</v>
      </c>
      <c r="AL64">
        <f>IF(Games[[#This Row],[Team]]="","",Games[[#This Row],[PreGmRate]]+Games[[#This Row],[RatingChange]])</f>
        <v>1487.0299644903289</v>
      </c>
      <c r="AM64">
        <f>IF(Games[[#This Row],[Team]]="","",IF(Games[[#This Row],[Type]]="R",IF(Games[[#This Row],[Result]]&gt;0.5,1,0),0))</f>
        <v>1</v>
      </c>
      <c r="AN64">
        <f>IF(Games[[#This Row],[Team]]="","",IF(Games[[#This Row],[Type]]="R",IF(Games[[#This Row],[Result]]&lt;0.5,1,0),0))</f>
        <v>0</v>
      </c>
      <c r="AO64">
        <f>IF(Games[[#This Row],[Team]]="","",IF(Games[[#This Row],[Type]]="R",IF(Games[[#This Row],[Result]]=0.5,1,0),0))</f>
        <v>0</v>
      </c>
    </row>
    <row r="65" spans="1:41" x14ac:dyDescent="0.35">
      <c r="A65" s="8">
        <v>35323</v>
      </c>
      <c r="B65">
        <v>1996</v>
      </c>
      <c r="C65" t="s">
        <v>197</v>
      </c>
      <c r="D65" t="s">
        <v>199</v>
      </c>
      <c r="E65" t="s">
        <v>134</v>
      </c>
      <c r="F65" t="s">
        <v>112</v>
      </c>
      <c r="G65" t="s">
        <v>201</v>
      </c>
      <c r="H65">
        <v>15</v>
      </c>
      <c r="I65">
        <v>30</v>
      </c>
      <c r="J65">
        <v>0</v>
      </c>
      <c r="K6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6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6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6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65">
        <f>IF(Games[[#This Row],[Team]]="","",IF(Games[[#This Row],[Conf]]=Games[[#This Row],[OppConf]],1,0))</f>
        <v>0</v>
      </c>
      <c r="P65">
        <f>IF(Games[[#This Row],[Team]]="","",IF(AND(Games[[#This Row],[Conf]]=Games[[#This Row],[OppConf]],Games[[#This Row],[Div]]=Games[[#This Row],[OppDiv]]),1,0))</f>
        <v>0</v>
      </c>
      <c r="Q65">
        <f>IF(Games[[#This Row],[Team]]="","",_xlfn.MINIFS(Games[Date],Games[Season],Games[[#This Row],[Season]]))</f>
        <v>35309</v>
      </c>
      <c r="R65">
        <f>IF(Games[[#This Row],[Team]]="","",INT((Games[[#This Row],[Date]]-(Games[[#This Row],[SeasonStart]]-MOD(WEEKDAY(Games[[#This Row],[SeasonStart]],2)-2,7)))/7)+1)</f>
        <v>3</v>
      </c>
      <c r="S65">
        <f>IF(Games[[#This Row],[Team]]="","",COUNTIFS(Games[Team],Games[[#This Row],[Team]],Games[Season],Games[[#This Row],[Season]],Games[Week],"&lt;="&amp;Games[[#This Row],[Week]]))</f>
        <v>3</v>
      </c>
      <c r="T65">
        <f>IF(Games[[#This Row],[Team]]="","",_xlfn.MAXIFS(Games[Week],Games[Team],Games[[#This Row],[Team]],Games[Season],Games[[#This Row],[Season]],Games[Week],"&lt;"&amp;Games[[#This Row],[Week]]))</f>
        <v>2</v>
      </c>
      <c r="U65">
        <f>IF(Games[[#This Row],[Team]]="","",_xlfn.MAXIFS(Games[Week],Games[Team],Games[[#This Row],[Opponent]],Games[Season],Games[[#This Row],[Season]],Games[Week],"&lt;"&amp;Games[[#This Row],[Week]]))</f>
        <v>2</v>
      </c>
      <c r="V6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6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6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6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1459.7515127497402</v>
      </c>
      <c r="Z6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1463.7794742422934</v>
      </c>
      <c r="AA6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0.39230056237957595</v>
      </c>
      <c r="AB65">
        <f>IF(Games[[#This Row],[Team]]="","",Games[[#This Row],[PointsFor]]-Games[[#This Row],[PointsAgainst]])</f>
        <v>-15</v>
      </c>
      <c r="AC65">
        <f>IF(Games[[#This Row],[Team]]="","",IF(Games[[#This Row],[MOV]]&gt;0,1,IF(Games[[#This Row],[MOV]]=0,0.5,0)))</f>
        <v>0</v>
      </c>
      <c r="AD65">
        <f>IF(Games[[#This Row],[Team]]="","",--(OR(AND(Games[[#This Row],[ExpectedWin]]&gt;=0.5,Games[[#This Row],[Result]]=1),AND(Games[[#This Row],[ExpectedWin]]&lt;0.5,Games[[#This Row],[Result]]=0))))</f>
        <v>1</v>
      </c>
      <c r="AE65">
        <f>IF(Games[[#This Row],[Team]]="","",-(Games[[#This Row],[Result]]*LN(Games[[#This Row],[ExpectedWin]])+(1-Games[[#This Row],[Result]])*LN(1-Games[[#This Row],[ExpectedWin]])))</f>
        <v>0.49807486526428663</v>
      </c>
      <c r="AF65">
        <f>IF(Games[[#This Row],[Team]]="","",IF(Games[[#This Row],[Season]]&gt;=2021,17,16))</f>
        <v>16</v>
      </c>
      <c r="AG65">
        <f>IF(Games[[#This Row],[Team]]="","",KMax-(KMax-KFloor)*MIN(Games[[#This Row],[GamesPlayed]],Games[[#This Row],[SeasonLen]])/Games[[#This Row],[SeasonLen]])</f>
        <v>44.162500000000001</v>
      </c>
      <c r="AH65">
        <f>IF(Games[[#This Row],[Team]]="","",((ABS(Games[[#This Row],[MOV]])+3)^0.8)/(7.5+0.006*ABS(Games[[#This Row],[PreGmRate]]-Games[[#This Row],[OppPreGmRate]]))*IF(Games[[#This Row],[OT]]=1,0.7,1))</f>
        <v>1.3420216851993161</v>
      </c>
      <c r="AI6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5">
        <f>IF(Games[[#This Row],[Team]]="","",Games[[#This Row],[K]]*IF(Games[[#This Row],[DivG]]=1,DivMult,1)*IF(Games[[#This Row],[ConfG]]=1,ConfMult,1)*Games[[#This Row],[POMult]])</f>
        <v>44.162500000000001</v>
      </c>
      <c r="AK65">
        <f>IF(Games[[#This Row],[Team]]="","",(Games[[#This Row],[Keff]]*Games[[#This Row],[MOVMult]])*(Games[[#This Row],[Result]]-Games[[#This Row],[ExpectedWin]]))</f>
        <v>-23.250490248035486</v>
      </c>
      <c r="AL65">
        <f>IF(Games[[#This Row],[Team]]="","",Games[[#This Row],[PreGmRate]]+Games[[#This Row],[RatingChange]])</f>
        <v>1436.5010225017047</v>
      </c>
      <c r="AM65">
        <f>IF(Games[[#This Row],[Team]]="","",IF(Games[[#This Row],[Type]]="R",IF(Games[[#This Row],[Result]]&gt;0.5,1,0),0))</f>
        <v>0</v>
      </c>
      <c r="AN65">
        <f>IF(Games[[#This Row],[Team]]="","",IF(Games[[#This Row],[Type]]="R",IF(Games[[#This Row],[Result]]&lt;0.5,1,0),0))</f>
        <v>1</v>
      </c>
      <c r="AO65">
        <f>IF(Games[[#This Row],[Team]]="","",IF(Games[[#This Row],[Type]]="R",IF(Games[[#This Row],[Result]]=0.5,1,0),0))</f>
        <v>0</v>
      </c>
    </row>
    <row r="66" spans="1:41" x14ac:dyDescent="0.35">
      <c r="A66" s="8">
        <v>35323</v>
      </c>
      <c r="B66">
        <v>1996</v>
      </c>
      <c r="C66" t="s">
        <v>197</v>
      </c>
      <c r="D66" t="s">
        <v>199</v>
      </c>
      <c r="E66" t="s">
        <v>132</v>
      </c>
      <c r="F66" t="s">
        <v>93</v>
      </c>
      <c r="G66" t="s">
        <v>200</v>
      </c>
      <c r="H66">
        <v>31</v>
      </c>
      <c r="I66">
        <v>0</v>
      </c>
      <c r="J66">
        <v>0</v>
      </c>
      <c r="K6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6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6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6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66">
        <f>IF(Games[[#This Row],[Team]]="","",IF(Games[[#This Row],[Conf]]=Games[[#This Row],[OppConf]],1,0))</f>
        <v>0</v>
      </c>
      <c r="P66">
        <f>IF(Games[[#This Row],[Team]]="","",IF(AND(Games[[#This Row],[Conf]]=Games[[#This Row],[OppConf]],Games[[#This Row],[Div]]=Games[[#This Row],[OppDiv]]),1,0))</f>
        <v>0</v>
      </c>
      <c r="Q66">
        <f>IF(Games[[#This Row],[Team]]="","",_xlfn.MINIFS(Games[Date],Games[Season],Games[[#This Row],[Season]]))</f>
        <v>35309</v>
      </c>
      <c r="R66">
        <f>IF(Games[[#This Row],[Team]]="","",INT((Games[[#This Row],[Date]]-(Games[[#This Row],[SeasonStart]]-MOD(WEEKDAY(Games[[#This Row],[SeasonStart]],2)-2,7)))/7)+1)</f>
        <v>3</v>
      </c>
      <c r="S66">
        <f>IF(Games[[#This Row],[Team]]="","",COUNTIFS(Games[Team],Games[[#This Row],[Team]],Games[Season],Games[[#This Row],[Season]],Games[Week],"&lt;="&amp;Games[[#This Row],[Week]]))</f>
        <v>3</v>
      </c>
      <c r="T66">
        <f>IF(Games[[#This Row],[Team]]="","",_xlfn.MAXIFS(Games[Week],Games[Team],Games[[#This Row],[Team]],Games[Season],Games[[#This Row],[Season]],Games[Week],"&lt;"&amp;Games[[#This Row],[Week]]))</f>
        <v>2</v>
      </c>
      <c r="U66">
        <f>IF(Games[[#This Row],[Team]]="","",_xlfn.MAXIFS(Games[Week],Games[Team],Games[[#This Row],[Opponent]],Games[Season],Games[[#This Row],[Season]],Games[Week],"&lt;"&amp;Games[[#This Row],[Week]]))</f>
        <v>2</v>
      </c>
      <c r="V6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6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6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6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1459.6377117242148</v>
      </c>
      <c r="Z6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1435.755082888285</v>
      </c>
      <c r="AA6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0.63458667692498771</v>
      </c>
      <c r="AB66">
        <f>IF(Games[[#This Row],[Team]]="","",Games[[#This Row],[PointsFor]]-Games[[#This Row],[PointsAgainst]])</f>
        <v>31</v>
      </c>
      <c r="AC66">
        <f>IF(Games[[#This Row],[Team]]="","",IF(Games[[#This Row],[MOV]]&gt;0,1,IF(Games[[#This Row],[MOV]]=0,0.5,0)))</f>
        <v>1</v>
      </c>
      <c r="AD66">
        <f>IF(Games[[#This Row],[Team]]="","",--(OR(AND(Games[[#This Row],[ExpectedWin]]&gt;=0.5,Games[[#This Row],[Result]]=1),AND(Games[[#This Row],[ExpectedWin]]&lt;0.5,Games[[#This Row],[Result]]=0))))</f>
        <v>1</v>
      </c>
      <c r="AE66">
        <f>IF(Games[[#This Row],[Team]]="","",-(Games[[#This Row],[Result]]*LN(Games[[#This Row],[ExpectedWin]])+(1-Games[[#This Row],[Result]])*LN(1-Games[[#This Row],[ExpectedWin]])))</f>
        <v>0.45478139449876753</v>
      </c>
      <c r="AF66">
        <f>IF(Games[[#This Row],[Team]]="","",IF(Games[[#This Row],[Season]]&gt;=2021,17,16))</f>
        <v>16</v>
      </c>
      <c r="AG66">
        <f>IF(Games[[#This Row],[Team]]="","",KMax-(KMax-KFloor)*MIN(Games[[#This Row],[GamesPlayed]],Games[[#This Row],[SeasonLen]])/Games[[#This Row],[SeasonLen]])</f>
        <v>44.162500000000001</v>
      </c>
      <c r="AH66">
        <f>IF(Games[[#This Row],[Team]]="","",((ABS(Games[[#This Row],[MOV]])+3)^0.8)/(7.5+0.006*ABS(Games[[#This Row],[PreGmRate]]-Games[[#This Row],[OppPreGmRate]]))*IF(Games[[#This Row],[OT]]=1,0.7,1))</f>
        <v>2.1973663412461608</v>
      </c>
      <c r="AI6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6">
        <f>IF(Games[[#This Row],[Team]]="","",Games[[#This Row],[K]]*IF(Games[[#This Row],[DivG]]=1,DivMult,1)*IF(Games[[#This Row],[ConfG]]=1,ConfMult,1)*Games[[#This Row],[POMult]])</f>
        <v>44.162500000000001</v>
      </c>
      <c r="AK66">
        <f>IF(Games[[#This Row],[Team]]="","",(Games[[#This Row],[Keff]]*Games[[#This Row],[MOVMult]])*(Games[[#This Row],[Result]]-Games[[#This Row],[ExpectedWin]]))</f>
        <v>35.460144095014201</v>
      </c>
      <c r="AL66">
        <f>IF(Games[[#This Row],[Team]]="","",Games[[#This Row],[PreGmRate]]+Games[[#This Row],[RatingChange]])</f>
        <v>1495.0978558192289</v>
      </c>
      <c r="AM66">
        <f>IF(Games[[#This Row],[Team]]="","",IF(Games[[#This Row],[Type]]="R",IF(Games[[#This Row],[Result]]&gt;0.5,1,0),0))</f>
        <v>1</v>
      </c>
      <c r="AN66">
        <f>IF(Games[[#This Row],[Team]]="","",IF(Games[[#This Row],[Type]]="R",IF(Games[[#This Row],[Result]]&lt;0.5,1,0),0))</f>
        <v>0</v>
      </c>
      <c r="AO66">
        <f>IF(Games[[#This Row],[Team]]="","",IF(Games[[#This Row],[Type]]="R",IF(Games[[#This Row],[Result]]=0.5,1,0),0))</f>
        <v>0</v>
      </c>
    </row>
    <row r="67" spans="1:41" x14ac:dyDescent="0.35">
      <c r="A67" s="8">
        <v>35323</v>
      </c>
      <c r="B67">
        <v>1996</v>
      </c>
      <c r="C67" t="s">
        <v>197</v>
      </c>
      <c r="D67" t="s">
        <v>199</v>
      </c>
      <c r="E67" t="s">
        <v>93</v>
      </c>
      <c r="F67" t="s">
        <v>132</v>
      </c>
      <c r="G67" t="s">
        <v>201</v>
      </c>
      <c r="H67">
        <v>0</v>
      </c>
      <c r="I67">
        <v>31</v>
      </c>
      <c r="J67">
        <v>0</v>
      </c>
      <c r="K6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6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6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6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67">
        <f>IF(Games[[#This Row],[Team]]="","",IF(Games[[#This Row],[Conf]]=Games[[#This Row],[OppConf]],1,0))</f>
        <v>0</v>
      </c>
      <c r="P67">
        <f>IF(Games[[#This Row],[Team]]="","",IF(AND(Games[[#This Row],[Conf]]=Games[[#This Row],[OppConf]],Games[[#This Row],[Div]]=Games[[#This Row],[OppDiv]]),1,0))</f>
        <v>0</v>
      </c>
      <c r="Q67">
        <f>IF(Games[[#This Row],[Team]]="","",_xlfn.MINIFS(Games[Date],Games[Season],Games[[#This Row],[Season]]))</f>
        <v>35309</v>
      </c>
      <c r="R67">
        <f>IF(Games[[#This Row],[Team]]="","",INT((Games[[#This Row],[Date]]-(Games[[#This Row],[SeasonStart]]-MOD(WEEKDAY(Games[[#This Row],[SeasonStart]],2)-2,7)))/7)+1)</f>
        <v>3</v>
      </c>
      <c r="S67">
        <f>IF(Games[[#This Row],[Team]]="","",COUNTIFS(Games[Team],Games[[#This Row],[Team]],Games[Season],Games[[#This Row],[Season]],Games[Week],"&lt;="&amp;Games[[#This Row],[Week]]))</f>
        <v>3</v>
      </c>
      <c r="T67">
        <f>IF(Games[[#This Row],[Team]]="","",_xlfn.MAXIFS(Games[Week],Games[Team],Games[[#This Row],[Team]],Games[Season],Games[[#This Row],[Season]],Games[Week],"&lt;"&amp;Games[[#This Row],[Week]]))</f>
        <v>2</v>
      </c>
      <c r="U67">
        <f>IF(Games[[#This Row],[Team]]="","",_xlfn.MAXIFS(Games[Week],Games[Team],Games[[#This Row],[Opponent]],Games[Season],Games[[#This Row],[Season]],Games[Week],"&lt;"&amp;Games[[#This Row],[Week]]))</f>
        <v>2</v>
      </c>
      <c r="V6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6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6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6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1435.755082888285</v>
      </c>
      <c r="Z6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1459.6377117242148</v>
      </c>
      <c r="AA6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0.36541332307501223</v>
      </c>
      <c r="AB67">
        <f>IF(Games[[#This Row],[Team]]="","",Games[[#This Row],[PointsFor]]-Games[[#This Row],[PointsAgainst]])</f>
        <v>-31</v>
      </c>
      <c r="AC67">
        <f>IF(Games[[#This Row],[Team]]="","",IF(Games[[#This Row],[MOV]]&gt;0,1,IF(Games[[#This Row],[MOV]]=0,0.5,0)))</f>
        <v>0</v>
      </c>
      <c r="AD67">
        <f>IF(Games[[#This Row],[Team]]="","",--(OR(AND(Games[[#This Row],[ExpectedWin]]&gt;=0.5,Games[[#This Row],[Result]]=1),AND(Games[[#This Row],[ExpectedWin]]&lt;0.5,Games[[#This Row],[Result]]=0))))</f>
        <v>1</v>
      </c>
      <c r="AE67">
        <f>IF(Games[[#This Row],[Team]]="","",-(Games[[#This Row],[Result]]*LN(Games[[#This Row],[ExpectedWin]])+(1-Games[[#This Row],[Result]])*LN(1-Games[[#This Row],[ExpectedWin]])))</f>
        <v>0.45478139449876753</v>
      </c>
      <c r="AF67">
        <f>IF(Games[[#This Row],[Team]]="","",IF(Games[[#This Row],[Season]]&gt;=2021,17,16))</f>
        <v>16</v>
      </c>
      <c r="AG67">
        <f>IF(Games[[#This Row],[Team]]="","",KMax-(KMax-KFloor)*MIN(Games[[#This Row],[GamesPlayed]],Games[[#This Row],[SeasonLen]])/Games[[#This Row],[SeasonLen]])</f>
        <v>44.162500000000001</v>
      </c>
      <c r="AH67">
        <f>IF(Games[[#This Row],[Team]]="","",((ABS(Games[[#This Row],[MOV]])+3)^0.8)/(7.5+0.006*ABS(Games[[#This Row],[PreGmRate]]-Games[[#This Row],[OppPreGmRate]]))*IF(Games[[#This Row],[OT]]=1,0.7,1))</f>
        <v>2.1973663412461608</v>
      </c>
      <c r="AI6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7">
        <f>IF(Games[[#This Row],[Team]]="","",Games[[#This Row],[K]]*IF(Games[[#This Row],[DivG]]=1,DivMult,1)*IF(Games[[#This Row],[ConfG]]=1,ConfMult,1)*Games[[#This Row],[POMult]])</f>
        <v>44.162500000000001</v>
      </c>
      <c r="AK67">
        <f>IF(Games[[#This Row],[Team]]="","",(Games[[#This Row],[Keff]]*Games[[#This Row],[MOVMult]])*(Games[[#This Row],[Result]]-Games[[#This Row],[ExpectedWin]]))</f>
        <v>-35.460144095014194</v>
      </c>
      <c r="AL67">
        <f>IF(Games[[#This Row],[Team]]="","",Games[[#This Row],[PreGmRate]]+Games[[#This Row],[RatingChange]])</f>
        <v>1400.2949387932708</v>
      </c>
      <c r="AM67">
        <f>IF(Games[[#This Row],[Team]]="","",IF(Games[[#This Row],[Type]]="R",IF(Games[[#This Row],[Result]]&gt;0.5,1,0),0))</f>
        <v>0</v>
      </c>
      <c r="AN67">
        <f>IF(Games[[#This Row],[Team]]="","",IF(Games[[#This Row],[Type]]="R",IF(Games[[#This Row],[Result]]&lt;0.5,1,0),0))</f>
        <v>1</v>
      </c>
      <c r="AO67">
        <f>IF(Games[[#This Row],[Team]]="","",IF(Games[[#This Row],[Type]]="R",IF(Games[[#This Row],[Result]]=0.5,1,0),0))</f>
        <v>0</v>
      </c>
    </row>
    <row r="68" spans="1:41" x14ac:dyDescent="0.35">
      <c r="A68" s="8">
        <v>35323</v>
      </c>
      <c r="B68">
        <v>1996</v>
      </c>
      <c r="C68" t="s">
        <v>197</v>
      </c>
      <c r="D68" t="s">
        <v>199</v>
      </c>
      <c r="E68" t="s">
        <v>141</v>
      </c>
      <c r="F68" t="s">
        <v>118</v>
      </c>
      <c r="G68" t="s">
        <v>200</v>
      </c>
      <c r="H68">
        <v>24</v>
      </c>
      <c r="I68">
        <v>17</v>
      </c>
      <c r="J68">
        <v>0</v>
      </c>
      <c r="K6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6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6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6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68">
        <f>IF(Games[[#This Row],[Team]]="","",IF(Games[[#This Row],[Conf]]=Games[[#This Row],[OppConf]],1,0))</f>
        <v>1</v>
      </c>
      <c r="P68">
        <f>IF(Games[[#This Row],[Team]]="","",IF(AND(Games[[#This Row],[Conf]]=Games[[#This Row],[OppConf]],Games[[#This Row],[Div]]=Games[[#This Row],[OppDiv]]),1,0))</f>
        <v>0</v>
      </c>
      <c r="Q68">
        <f>IF(Games[[#This Row],[Team]]="","",_xlfn.MINIFS(Games[Date],Games[Season],Games[[#This Row],[Season]]))</f>
        <v>35309</v>
      </c>
      <c r="R68">
        <f>IF(Games[[#This Row],[Team]]="","",INT((Games[[#This Row],[Date]]-(Games[[#This Row],[SeasonStart]]-MOD(WEEKDAY(Games[[#This Row],[SeasonStart]],2)-2,7)))/7)+1)</f>
        <v>3</v>
      </c>
      <c r="S68">
        <f>IF(Games[[#This Row],[Team]]="","",COUNTIFS(Games[Team],Games[[#This Row],[Team]],Games[Season],Games[[#This Row],[Season]],Games[Week],"&lt;="&amp;Games[[#This Row],[Week]]))</f>
        <v>3</v>
      </c>
      <c r="T68">
        <f>IF(Games[[#This Row],[Team]]="","",_xlfn.MAXIFS(Games[Week],Games[Team],Games[[#This Row],[Team]],Games[Season],Games[[#This Row],[Season]],Games[Week],"&lt;"&amp;Games[[#This Row],[Week]]))</f>
        <v>2</v>
      </c>
      <c r="U68">
        <f>IF(Games[[#This Row],[Team]]="","",_xlfn.MAXIFS(Games[Week],Games[Team],Games[[#This Row],[Opponent]],Games[Season],Games[[#This Row],[Season]],Games[Week],"&lt;"&amp;Games[[#This Row],[Week]]))</f>
        <v>2</v>
      </c>
      <c r="V6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6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6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6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1488.6579805771089</v>
      </c>
      <c r="Z6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1508.1561224445506</v>
      </c>
      <c r="AA6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0.5665247857709601</v>
      </c>
      <c r="AB68">
        <f>IF(Games[[#This Row],[Team]]="","",Games[[#This Row],[PointsFor]]-Games[[#This Row],[PointsAgainst]])</f>
        <v>7</v>
      </c>
      <c r="AC68">
        <f>IF(Games[[#This Row],[Team]]="","",IF(Games[[#This Row],[MOV]]&gt;0,1,IF(Games[[#This Row],[MOV]]=0,0.5,0)))</f>
        <v>1</v>
      </c>
      <c r="AD68">
        <f>IF(Games[[#This Row],[Team]]="","",--(OR(AND(Games[[#This Row],[ExpectedWin]]&gt;=0.5,Games[[#This Row],[Result]]=1),AND(Games[[#This Row],[ExpectedWin]]&lt;0.5,Games[[#This Row],[Result]]=0))))</f>
        <v>1</v>
      </c>
      <c r="AE68">
        <f>IF(Games[[#This Row],[Team]]="","",-(Games[[#This Row],[Result]]*LN(Games[[#This Row],[ExpectedWin]])+(1-Games[[#This Row],[Result]])*LN(1-Games[[#This Row],[ExpectedWin]])))</f>
        <v>0.56823444700700343</v>
      </c>
      <c r="AF68">
        <f>IF(Games[[#This Row],[Team]]="","",IF(Games[[#This Row],[Season]]&gt;=2021,17,16))</f>
        <v>16</v>
      </c>
      <c r="AG68">
        <f>IF(Games[[#This Row],[Team]]="","",KMax-(KMax-KFloor)*MIN(Games[[#This Row],[GamesPlayed]],Games[[#This Row],[SeasonLen]])/Games[[#This Row],[SeasonLen]])</f>
        <v>44.162500000000001</v>
      </c>
      <c r="AH68">
        <f>IF(Games[[#This Row],[Team]]="","",((ABS(Games[[#This Row],[MOV]])+3)^0.8)/(7.5+0.006*ABS(Games[[#This Row],[PreGmRate]]-Games[[#This Row],[OppPreGmRate]]))*IF(Games[[#This Row],[OT]]=1,0.7,1))</f>
        <v>0.82835534724513282</v>
      </c>
      <c r="AI6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8">
        <f>IF(Games[[#This Row],[Team]]="","",Games[[#This Row],[K]]*IF(Games[[#This Row],[DivG]]=1,DivMult,1)*IF(Games[[#This Row],[ConfG]]=1,ConfMult,1)*Games[[#This Row],[POMult]])</f>
        <v>45.045750000000005</v>
      </c>
      <c r="AK68">
        <f>IF(Games[[#This Row],[Team]]="","",(Games[[#This Row],[Keff]]*Games[[#This Row],[MOVMult]])*(Games[[#This Row],[Result]]-Games[[#This Row],[ExpectedWin]]))</f>
        <v>16.174645543874384</v>
      </c>
      <c r="AL68">
        <f>IF(Games[[#This Row],[Team]]="","",Games[[#This Row],[PreGmRate]]+Games[[#This Row],[RatingChange]])</f>
        <v>1504.8326261209834</v>
      </c>
      <c r="AM68">
        <f>IF(Games[[#This Row],[Team]]="","",IF(Games[[#This Row],[Type]]="R",IF(Games[[#This Row],[Result]]&gt;0.5,1,0),0))</f>
        <v>1</v>
      </c>
      <c r="AN68">
        <f>IF(Games[[#This Row],[Team]]="","",IF(Games[[#This Row],[Type]]="R",IF(Games[[#This Row],[Result]]&lt;0.5,1,0),0))</f>
        <v>0</v>
      </c>
      <c r="AO68">
        <f>IF(Games[[#This Row],[Team]]="","",IF(Games[[#This Row],[Type]]="R",IF(Games[[#This Row],[Result]]=0.5,1,0),0))</f>
        <v>0</v>
      </c>
    </row>
    <row r="69" spans="1:41" x14ac:dyDescent="0.35">
      <c r="A69" s="8">
        <v>35323</v>
      </c>
      <c r="B69">
        <v>1996</v>
      </c>
      <c r="C69" t="s">
        <v>197</v>
      </c>
      <c r="D69" t="s">
        <v>199</v>
      </c>
      <c r="E69" t="s">
        <v>118</v>
      </c>
      <c r="F69" t="s">
        <v>141</v>
      </c>
      <c r="G69" t="s">
        <v>201</v>
      </c>
      <c r="H69">
        <v>17</v>
      </c>
      <c r="I69">
        <v>24</v>
      </c>
      <c r="J69">
        <v>0</v>
      </c>
      <c r="K6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6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6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6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69">
        <f>IF(Games[[#This Row],[Team]]="","",IF(Games[[#This Row],[Conf]]=Games[[#This Row],[OppConf]],1,0))</f>
        <v>1</v>
      </c>
      <c r="P69">
        <f>IF(Games[[#This Row],[Team]]="","",IF(AND(Games[[#This Row],[Conf]]=Games[[#This Row],[OppConf]],Games[[#This Row],[Div]]=Games[[#This Row],[OppDiv]]),1,0))</f>
        <v>0</v>
      </c>
      <c r="Q69">
        <f>IF(Games[[#This Row],[Team]]="","",_xlfn.MINIFS(Games[Date],Games[Season],Games[[#This Row],[Season]]))</f>
        <v>35309</v>
      </c>
      <c r="R69">
        <f>IF(Games[[#This Row],[Team]]="","",INT((Games[[#This Row],[Date]]-(Games[[#This Row],[SeasonStart]]-MOD(WEEKDAY(Games[[#This Row],[SeasonStart]],2)-2,7)))/7)+1)</f>
        <v>3</v>
      </c>
      <c r="S69">
        <f>IF(Games[[#This Row],[Team]]="","",COUNTIFS(Games[Team],Games[[#This Row],[Team]],Games[Season],Games[[#This Row],[Season]],Games[Week],"&lt;="&amp;Games[[#This Row],[Week]]))</f>
        <v>3</v>
      </c>
      <c r="T69">
        <f>IF(Games[[#This Row],[Team]]="","",_xlfn.MAXIFS(Games[Week],Games[Team],Games[[#This Row],[Team]],Games[Season],Games[[#This Row],[Season]],Games[Week],"&lt;"&amp;Games[[#This Row],[Week]]))</f>
        <v>2</v>
      </c>
      <c r="U69">
        <f>IF(Games[[#This Row],[Team]]="","",_xlfn.MAXIFS(Games[Week],Games[Team],Games[[#This Row],[Opponent]],Games[Season],Games[[#This Row],[Season]],Games[Week],"&lt;"&amp;Games[[#This Row],[Week]]))</f>
        <v>2</v>
      </c>
      <c r="V6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6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6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6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1508.1561224445506</v>
      </c>
      <c r="Z6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1488.6579805771089</v>
      </c>
      <c r="AA6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0.4334752142290399</v>
      </c>
      <c r="AB69">
        <f>IF(Games[[#This Row],[Team]]="","",Games[[#This Row],[PointsFor]]-Games[[#This Row],[PointsAgainst]])</f>
        <v>-7</v>
      </c>
      <c r="AC69">
        <f>IF(Games[[#This Row],[Team]]="","",IF(Games[[#This Row],[MOV]]&gt;0,1,IF(Games[[#This Row],[MOV]]=0,0.5,0)))</f>
        <v>0</v>
      </c>
      <c r="AD69">
        <f>IF(Games[[#This Row],[Team]]="","",--(OR(AND(Games[[#This Row],[ExpectedWin]]&gt;=0.5,Games[[#This Row],[Result]]=1),AND(Games[[#This Row],[ExpectedWin]]&lt;0.5,Games[[#This Row],[Result]]=0))))</f>
        <v>1</v>
      </c>
      <c r="AE69">
        <f>IF(Games[[#This Row],[Team]]="","",-(Games[[#This Row],[Result]]*LN(Games[[#This Row],[ExpectedWin]])+(1-Games[[#This Row],[Result]])*LN(1-Games[[#This Row],[ExpectedWin]])))</f>
        <v>0.56823444700700343</v>
      </c>
      <c r="AF69">
        <f>IF(Games[[#This Row],[Team]]="","",IF(Games[[#This Row],[Season]]&gt;=2021,17,16))</f>
        <v>16</v>
      </c>
      <c r="AG69">
        <f>IF(Games[[#This Row],[Team]]="","",KMax-(KMax-KFloor)*MIN(Games[[#This Row],[GamesPlayed]],Games[[#This Row],[SeasonLen]])/Games[[#This Row],[SeasonLen]])</f>
        <v>44.162500000000001</v>
      </c>
      <c r="AH69">
        <f>IF(Games[[#This Row],[Team]]="","",((ABS(Games[[#This Row],[MOV]])+3)^0.8)/(7.5+0.006*ABS(Games[[#This Row],[PreGmRate]]-Games[[#This Row],[OppPreGmRate]]))*IF(Games[[#This Row],[OT]]=1,0.7,1))</f>
        <v>0.82835534724513282</v>
      </c>
      <c r="AI6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9">
        <f>IF(Games[[#This Row],[Team]]="","",Games[[#This Row],[K]]*IF(Games[[#This Row],[DivG]]=1,DivMult,1)*IF(Games[[#This Row],[ConfG]]=1,ConfMult,1)*Games[[#This Row],[POMult]])</f>
        <v>45.045750000000005</v>
      </c>
      <c r="AK69">
        <f>IF(Games[[#This Row],[Team]]="","",(Games[[#This Row],[Keff]]*Games[[#This Row],[MOVMult]])*(Games[[#This Row],[Result]]-Games[[#This Row],[ExpectedWin]]))</f>
        <v>-16.174645543874384</v>
      </c>
      <c r="AL69">
        <f>IF(Games[[#This Row],[Team]]="","",Games[[#This Row],[PreGmRate]]+Games[[#This Row],[RatingChange]])</f>
        <v>1491.9814769006762</v>
      </c>
      <c r="AM69">
        <f>IF(Games[[#This Row],[Team]]="","",IF(Games[[#This Row],[Type]]="R",IF(Games[[#This Row],[Result]]&gt;0.5,1,0),0))</f>
        <v>0</v>
      </c>
      <c r="AN69">
        <f>IF(Games[[#This Row],[Team]]="","",IF(Games[[#This Row],[Type]]="R",IF(Games[[#This Row],[Result]]&lt;0.5,1,0),0))</f>
        <v>1</v>
      </c>
      <c r="AO69">
        <f>IF(Games[[#This Row],[Team]]="","",IF(Games[[#This Row],[Type]]="R",IF(Games[[#This Row],[Result]]=0.5,1,0),0))</f>
        <v>0</v>
      </c>
    </row>
    <row r="70" spans="1:41" x14ac:dyDescent="0.35">
      <c r="A70" s="8">
        <v>35323</v>
      </c>
      <c r="B70">
        <v>1996</v>
      </c>
      <c r="C70" t="s">
        <v>197</v>
      </c>
      <c r="D70" t="s">
        <v>199</v>
      </c>
      <c r="E70" t="s">
        <v>120</v>
      </c>
      <c r="F70" t="s">
        <v>145</v>
      </c>
      <c r="G70" t="s">
        <v>200</v>
      </c>
      <c r="H70">
        <v>42</v>
      </c>
      <c r="I70">
        <v>10</v>
      </c>
      <c r="J70">
        <v>0</v>
      </c>
      <c r="K7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7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7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7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70">
        <f>IF(Games[[#This Row],[Team]]="","",IF(Games[[#This Row],[Conf]]=Games[[#This Row],[OppConf]],1,0))</f>
        <v>0</v>
      </c>
      <c r="P70">
        <f>IF(Games[[#This Row],[Team]]="","",IF(AND(Games[[#This Row],[Conf]]=Games[[#This Row],[OppConf]],Games[[#This Row],[Div]]=Games[[#This Row],[OppDiv]]),1,0))</f>
        <v>0</v>
      </c>
      <c r="Q70">
        <f>IF(Games[[#This Row],[Team]]="","",_xlfn.MINIFS(Games[Date],Games[Season],Games[[#This Row],[Season]]))</f>
        <v>35309</v>
      </c>
      <c r="R70">
        <f>IF(Games[[#This Row],[Team]]="","",INT((Games[[#This Row],[Date]]-(Games[[#This Row],[SeasonStart]]-MOD(WEEKDAY(Games[[#This Row],[SeasonStart]],2)-2,7)))/7)+1)</f>
        <v>3</v>
      </c>
      <c r="S70">
        <f>IF(Games[[#This Row],[Team]]="","",COUNTIFS(Games[Team],Games[[#This Row],[Team]],Games[Season],Games[[#This Row],[Season]],Games[Week],"&lt;="&amp;Games[[#This Row],[Week]]))</f>
        <v>3</v>
      </c>
      <c r="T70">
        <f>IF(Games[[#This Row],[Team]]="","",_xlfn.MAXIFS(Games[Week],Games[Team],Games[[#This Row],[Team]],Games[Season],Games[[#This Row],[Season]],Games[Week],"&lt;"&amp;Games[[#This Row],[Week]]))</f>
        <v>2</v>
      </c>
      <c r="U70">
        <f>IF(Games[[#This Row],[Team]]="","",_xlfn.MAXIFS(Games[Week],Games[Team],Games[[#This Row],[Opponent]],Games[Season],Games[[#This Row],[Season]],Games[Week],"&lt;"&amp;Games[[#This Row],[Week]]))</f>
        <v>2</v>
      </c>
      <c r="V7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7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7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7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1597.1546406743771</v>
      </c>
      <c r="Z7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1552.9574457444257</v>
      </c>
      <c r="AA7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0.65347426068987891</v>
      </c>
      <c r="AB70">
        <f>IF(Games[[#This Row],[Team]]="","",Games[[#This Row],[PointsFor]]-Games[[#This Row],[PointsAgainst]])</f>
        <v>32</v>
      </c>
      <c r="AC70">
        <f>IF(Games[[#This Row],[Team]]="","",IF(Games[[#This Row],[MOV]]&gt;0,1,IF(Games[[#This Row],[MOV]]=0,0.5,0)))</f>
        <v>1</v>
      </c>
      <c r="AD70">
        <f>IF(Games[[#This Row],[Team]]="","",--(OR(AND(Games[[#This Row],[ExpectedWin]]&gt;=0.5,Games[[#This Row],[Result]]=1),AND(Games[[#This Row],[ExpectedWin]]&lt;0.5,Games[[#This Row],[Result]]=0))))</f>
        <v>1</v>
      </c>
      <c r="AE70">
        <f>IF(Games[[#This Row],[Team]]="","",-(Games[[#This Row],[Result]]*LN(Games[[#This Row],[ExpectedWin]])+(1-Games[[#This Row],[Result]])*LN(1-Games[[#This Row],[ExpectedWin]])))</f>
        <v>0.42545213354912231</v>
      </c>
      <c r="AF70">
        <f>IF(Games[[#This Row],[Team]]="","",IF(Games[[#This Row],[Season]]&gt;=2021,17,16))</f>
        <v>16</v>
      </c>
      <c r="AG70">
        <f>IF(Games[[#This Row],[Team]]="","",KMax-(KMax-KFloor)*MIN(Games[[#This Row],[GamesPlayed]],Games[[#This Row],[SeasonLen]])/Games[[#This Row],[SeasonLen]])</f>
        <v>44.162500000000001</v>
      </c>
      <c r="AH70">
        <f>IF(Games[[#This Row],[Team]]="","",((ABS(Games[[#This Row],[MOV]])+3)^0.8)/(7.5+0.006*ABS(Games[[#This Row],[PreGmRate]]-Games[[#This Row],[OppPreGmRate]]))*IF(Games[[#This Row],[OT]]=1,0.7,1))</f>
        <v>2.2136182716841373</v>
      </c>
      <c r="AI7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0">
        <f>IF(Games[[#This Row],[Team]]="","",Games[[#This Row],[K]]*IF(Games[[#This Row],[DivG]]=1,DivMult,1)*IF(Games[[#This Row],[ConfG]]=1,ConfMult,1)*Games[[#This Row],[POMult]])</f>
        <v>44.162500000000001</v>
      </c>
      <c r="AK70">
        <f>IF(Games[[#This Row],[Team]]="","",(Games[[#This Row],[Keff]]*Games[[#This Row],[MOVMult]])*(Games[[#This Row],[Result]]-Games[[#This Row],[ExpectedWin]]))</f>
        <v>33.875980960986162</v>
      </c>
      <c r="AL70">
        <f>IF(Games[[#This Row],[Team]]="","",Games[[#This Row],[PreGmRate]]+Games[[#This Row],[RatingChange]])</f>
        <v>1631.0306216353633</v>
      </c>
      <c r="AM70">
        <f>IF(Games[[#This Row],[Team]]="","",IF(Games[[#This Row],[Type]]="R",IF(Games[[#This Row],[Result]]&gt;0.5,1,0),0))</f>
        <v>1</v>
      </c>
      <c r="AN70">
        <f>IF(Games[[#This Row],[Team]]="","",IF(Games[[#This Row],[Type]]="R",IF(Games[[#This Row],[Result]]&lt;0.5,1,0),0))</f>
        <v>0</v>
      </c>
      <c r="AO70">
        <f>IF(Games[[#This Row],[Team]]="","",IF(Games[[#This Row],[Type]]="R",IF(Games[[#This Row],[Result]]=0.5,1,0),0))</f>
        <v>0</v>
      </c>
    </row>
    <row r="71" spans="1:41" x14ac:dyDescent="0.35">
      <c r="A71" s="8">
        <v>35323</v>
      </c>
      <c r="B71">
        <v>1996</v>
      </c>
      <c r="C71" t="s">
        <v>197</v>
      </c>
      <c r="D71" t="s">
        <v>199</v>
      </c>
      <c r="E71" t="s">
        <v>145</v>
      </c>
      <c r="F71" t="s">
        <v>120</v>
      </c>
      <c r="G71" t="s">
        <v>201</v>
      </c>
      <c r="H71">
        <v>10</v>
      </c>
      <c r="I71">
        <v>42</v>
      </c>
      <c r="J71">
        <v>0</v>
      </c>
      <c r="K7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7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7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7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71">
        <f>IF(Games[[#This Row],[Team]]="","",IF(Games[[#This Row],[Conf]]=Games[[#This Row],[OppConf]],1,0))</f>
        <v>0</v>
      </c>
      <c r="P71">
        <f>IF(Games[[#This Row],[Team]]="","",IF(AND(Games[[#This Row],[Conf]]=Games[[#This Row],[OppConf]],Games[[#This Row],[Div]]=Games[[#This Row],[OppDiv]]),1,0))</f>
        <v>0</v>
      </c>
      <c r="Q71">
        <f>IF(Games[[#This Row],[Team]]="","",_xlfn.MINIFS(Games[Date],Games[Season],Games[[#This Row],[Season]]))</f>
        <v>35309</v>
      </c>
      <c r="R71">
        <f>IF(Games[[#This Row],[Team]]="","",INT((Games[[#This Row],[Date]]-(Games[[#This Row],[SeasonStart]]-MOD(WEEKDAY(Games[[#This Row],[SeasonStart]],2)-2,7)))/7)+1)</f>
        <v>3</v>
      </c>
      <c r="S71">
        <f>IF(Games[[#This Row],[Team]]="","",COUNTIFS(Games[Team],Games[[#This Row],[Team]],Games[Season],Games[[#This Row],[Season]],Games[Week],"&lt;="&amp;Games[[#This Row],[Week]]))</f>
        <v>3</v>
      </c>
      <c r="T71">
        <f>IF(Games[[#This Row],[Team]]="","",_xlfn.MAXIFS(Games[Week],Games[Team],Games[[#This Row],[Team]],Games[Season],Games[[#This Row],[Season]],Games[Week],"&lt;"&amp;Games[[#This Row],[Week]]))</f>
        <v>2</v>
      </c>
      <c r="U71">
        <f>IF(Games[[#This Row],[Team]]="","",_xlfn.MAXIFS(Games[Week],Games[Team],Games[[#This Row],[Opponent]],Games[Season],Games[[#This Row],[Season]],Games[Week],"&lt;"&amp;Games[[#This Row],[Week]]))</f>
        <v>2</v>
      </c>
      <c r="V7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7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7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7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1552.9574457444257</v>
      </c>
      <c r="Z7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1597.1546406743771</v>
      </c>
      <c r="AA7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0.34652573931012109</v>
      </c>
      <c r="AB71">
        <f>IF(Games[[#This Row],[Team]]="","",Games[[#This Row],[PointsFor]]-Games[[#This Row],[PointsAgainst]])</f>
        <v>-32</v>
      </c>
      <c r="AC71">
        <f>IF(Games[[#This Row],[Team]]="","",IF(Games[[#This Row],[MOV]]&gt;0,1,IF(Games[[#This Row],[MOV]]=0,0.5,0)))</f>
        <v>0</v>
      </c>
      <c r="AD71">
        <f>IF(Games[[#This Row],[Team]]="","",--(OR(AND(Games[[#This Row],[ExpectedWin]]&gt;=0.5,Games[[#This Row],[Result]]=1),AND(Games[[#This Row],[ExpectedWin]]&lt;0.5,Games[[#This Row],[Result]]=0))))</f>
        <v>1</v>
      </c>
      <c r="AE71">
        <f>IF(Games[[#This Row],[Team]]="","",-(Games[[#This Row],[Result]]*LN(Games[[#This Row],[ExpectedWin]])+(1-Games[[#This Row],[Result]])*LN(1-Games[[#This Row],[ExpectedWin]])))</f>
        <v>0.42545213354912231</v>
      </c>
      <c r="AF71">
        <f>IF(Games[[#This Row],[Team]]="","",IF(Games[[#This Row],[Season]]&gt;=2021,17,16))</f>
        <v>16</v>
      </c>
      <c r="AG71">
        <f>IF(Games[[#This Row],[Team]]="","",KMax-(KMax-KFloor)*MIN(Games[[#This Row],[GamesPlayed]],Games[[#This Row],[SeasonLen]])/Games[[#This Row],[SeasonLen]])</f>
        <v>44.162500000000001</v>
      </c>
      <c r="AH71">
        <f>IF(Games[[#This Row],[Team]]="","",((ABS(Games[[#This Row],[MOV]])+3)^0.8)/(7.5+0.006*ABS(Games[[#This Row],[PreGmRate]]-Games[[#This Row],[OppPreGmRate]]))*IF(Games[[#This Row],[OT]]=1,0.7,1))</f>
        <v>2.2136182716841373</v>
      </c>
      <c r="AI7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1">
        <f>IF(Games[[#This Row],[Team]]="","",Games[[#This Row],[K]]*IF(Games[[#This Row],[DivG]]=1,DivMult,1)*IF(Games[[#This Row],[ConfG]]=1,ConfMult,1)*Games[[#This Row],[POMult]])</f>
        <v>44.162500000000001</v>
      </c>
      <c r="AK71">
        <f>IF(Games[[#This Row],[Team]]="","",(Games[[#This Row],[Keff]]*Games[[#This Row],[MOVMult]])*(Games[[#This Row],[Result]]-Games[[#This Row],[ExpectedWin]]))</f>
        <v>-33.875980960986162</v>
      </c>
      <c r="AL71">
        <f>IF(Games[[#This Row],[Team]]="","",Games[[#This Row],[PreGmRate]]+Games[[#This Row],[RatingChange]])</f>
        <v>1519.0814647834395</v>
      </c>
      <c r="AM71">
        <f>IF(Games[[#This Row],[Team]]="","",IF(Games[[#This Row],[Type]]="R",IF(Games[[#This Row],[Result]]&gt;0.5,1,0),0))</f>
        <v>0</v>
      </c>
      <c r="AN71">
        <f>IF(Games[[#This Row],[Team]]="","",IF(Games[[#This Row],[Type]]="R",IF(Games[[#This Row],[Result]]&lt;0.5,1,0),0))</f>
        <v>1</v>
      </c>
      <c r="AO71">
        <f>IF(Games[[#This Row],[Team]]="","",IF(Games[[#This Row],[Type]]="R",IF(Games[[#This Row],[Result]]=0.5,1,0),0))</f>
        <v>0</v>
      </c>
    </row>
    <row r="72" spans="1:41" x14ac:dyDescent="0.35">
      <c r="A72" s="8">
        <v>35323</v>
      </c>
      <c r="B72">
        <v>1996</v>
      </c>
      <c r="C72" t="s">
        <v>197</v>
      </c>
      <c r="D72" t="s">
        <v>199</v>
      </c>
      <c r="E72" t="s">
        <v>128</v>
      </c>
      <c r="F72" t="s">
        <v>138</v>
      </c>
      <c r="G72" t="s">
        <v>200</v>
      </c>
      <c r="H72">
        <v>36</v>
      </c>
      <c r="I72">
        <v>27</v>
      </c>
      <c r="J72">
        <v>0</v>
      </c>
      <c r="K7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7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7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7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72">
        <f>IF(Games[[#This Row],[Team]]="","",IF(Games[[#This Row],[Conf]]=Games[[#This Row],[OppConf]],1,0))</f>
        <v>1</v>
      </c>
      <c r="P72">
        <f>IF(Games[[#This Row],[Team]]="","",IF(AND(Games[[#This Row],[Conf]]=Games[[#This Row],[OppConf]],Games[[#This Row],[Div]]=Games[[#This Row],[OppDiv]]),1,0))</f>
        <v>1</v>
      </c>
      <c r="Q72">
        <f>IF(Games[[#This Row],[Team]]="","",_xlfn.MINIFS(Games[Date],Games[Season],Games[[#This Row],[Season]]))</f>
        <v>35309</v>
      </c>
      <c r="R72">
        <f>IF(Games[[#This Row],[Team]]="","",INT((Games[[#This Row],[Date]]-(Games[[#This Row],[SeasonStart]]-MOD(WEEKDAY(Games[[#This Row],[SeasonStart]],2)-2,7)))/7)+1)</f>
        <v>3</v>
      </c>
      <c r="S72">
        <f>IF(Games[[#This Row],[Team]]="","",COUNTIFS(Games[Team],Games[[#This Row],[Team]],Games[Season],Games[[#This Row],[Season]],Games[Week],"&lt;="&amp;Games[[#This Row],[Week]]))</f>
        <v>3</v>
      </c>
      <c r="T72">
        <f>IF(Games[[#This Row],[Team]]="","",_xlfn.MAXIFS(Games[Week],Games[Team],Games[[#This Row],[Team]],Games[Season],Games[[#This Row],[Season]],Games[Week],"&lt;"&amp;Games[[#This Row],[Week]]))</f>
        <v>2</v>
      </c>
      <c r="U72">
        <f>IF(Games[[#This Row],[Team]]="","",_xlfn.MAXIFS(Games[Week],Games[Team],Games[[#This Row],[Opponent]],Games[Season],Games[[#This Row],[Season]],Games[Week],"&lt;"&amp;Games[[#This Row],[Week]]))</f>
        <v>2</v>
      </c>
      <c r="V7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7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7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7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1575.1117328367568</v>
      </c>
      <c r="Z7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1431.7174772058443</v>
      </c>
      <c r="AA7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0.7755481749326667</v>
      </c>
      <c r="AB72">
        <f>IF(Games[[#This Row],[Team]]="","",Games[[#This Row],[PointsFor]]-Games[[#This Row],[PointsAgainst]])</f>
        <v>9</v>
      </c>
      <c r="AC72">
        <f>IF(Games[[#This Row],[Team]]="","",IF(Games[[#This Row],[MOV]]&gt;0,1,IF(Games[[#This Row],[MOV]]=0,0.5,0)))</f>
        <v>1</v>
      </c>
      <c r="AD72">
        <f>IF(Games[[#This Row],[Team]]="","",--(OR(AND(Games[[#This Row],[ExpectedWin]]&gt;=0.5,Games[[#This Row],[Result]]=1),AND(Games[[#This Row],[ExpectedWin]]&lt;0.5,Games[[#This Row],[Result]]=0))))</f>
        <v>1</v>
      </c>
      <c r="AE72">
        <f>IF(Games[[#This Row],[Team]]="","",-(Games[[#This Row],[Result]]*LN(Games[[#This Row],[ExpectedWin]])+(1-Games[[#This Row],[Result]])*LN(1-Games[[#This Row],[ExpectedWin]])))</f>
        <v>0.25418517716968519</v>
      </c>
      <c r="AF72">
        <f>IF(Games[[#This Row],[Team]]="","",IF(Games[[#This Row],[Season]]&gt;=2021,17,16))</f>
        <v>16</v>
      </c>
      <c r="AG72">
        <f>IF(Games[[#This Row],[Team]]="","",KMax-(KMax-KFloor)*MIN(Games[[#This Row],[GamesPlayed]],Games[[#This Row],[SeasonLen]])/Games[[#This Row],[SeasonLen]])</f>
        <v>44.162500000000001</v>
      </c>
      <c r="AH72">
        <f>IF(Games[[#This Row],[Team]]="","",((ABS(Games[[#This Row],[MOV]])+3)^0.8)/(7.5+0.006*ABS(Games[[#This Row],[PreGmRate]]-Games[[#This Row],[OppPreGmRate]]))*IF(Games[[#This Row],[OT]]=1,0.7,1))</f>
        <v>0.87321207107710586</v>
      </c>
      <c r="AI7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2">
        <f>IF(Games[[#This Row],[Team]]="","",Games[[#This Row],[K]]*IF(Games[[#This Row],[DivG]]=1,DivMult,1)*IF(Games[[#This Row],[ConfG]]=1,ConfMult,1)*Games[[#This Row],[POMult]])</f>
        <v>49.550325000000008</v>
      </c>
      <c r="AK72">
        <f>IF(Games[[#This Row],[Team]]="","",(Games[[#This Row],[Keff]]*Games[[#This Row],[MOVMult]])*(Games[[#This Row],[Result]]-Games[[#This Row],[ExpectedWin]]))</f>
        <v>9.7115685299072645</v>
      </c>
      <c r="AL72">
        <f>IF(Games[[#This Row],[Team]]="","",Games[[#This Row],[PreGmRate]]+Games[[#This Row],[RatingChange]])</f>
        <v>1584.8233013666641</v>
      </c>
      <c r="AM72">
        <f>IF(Games[[#This Row],[Team]]="","",IF(Games[[#This Row],[Type]]="R",IF(Games[[#This Row],[Result]]&gt;0.5,1,0),0))</f>
        <v>1</v>
      </c>
      <c r="AN72">
        <f>IF(Games[[#This Row],[Team]]="","",IF(Games[[#This Row],[Type]]="R",IF(Games[[#This Row],[Result]]&lt;0.5,1,0),0))</f>
        <v>0</v>
      </c>
      <c r="AO72">
        <f>IF(Games[[#This Row],[Team]]="","",IF(Games[[#This Row],[Type]]="R",IF(Games[[#This Row],[Result]]=0.5,1,0),0))</f>
        <v>0</v>
      </c>
    </row>
    <row r="73" spans="1:41" x14ac:dyDescent="0.35">
      <c r="A73" s="8">
        <v>35323</v>
      </c>
      <c r="B73">
        <v>1996</v>
      </c>
      <c r="C73" t="s">
        <v>197</v>
      </c>
      <c r="D73" t="s">
        <v>199</v>
      </c>
      <c r="E73" t="s">
        <v>138</v>
      </c>
      <c r="F73" t="s">
        <v>128</v>
      </c>
      <c r="G73" t="s">
        <v>201</v>
      </c>
      <c r="H73">
        <v>27</v>
      </c>
      <c r="I73">
        <v>36</v>
      </c>
      <c r="J73">
        <v>0</v>
      </c>
      <c r="K7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7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7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7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73">
        <f>IF(Games[[#This Row],[Team]]="","",IF(Games[[#This Row],[Conf]]=Games[[#This Row],[OppConf]],1,0))</f>
        <v>1</v>
      </c>
      <c r="P73">
        <f>IF(Games[[#This Row],[Team]]="","",IF(AND(Games[[#This Row],[Conf]]=Games[[#This Row],[OppConf]],Games[[#This Row],[Div]]=Games[[#This Row],[OppDiv]]),1,0))</f>
        <v>1</v>
      </c>
      <c r="Q73">
        <f>IF(Games[[#This Row],[Team]]="","",_xlfn.MINIFS(Games[Date],Games[Season],Games[[#This Row],[Season]]))</f>
        <v>35309</v>
      </c>
      <c r="R73">
        <f>IF(Games[[#This Row],[Team]]="","",INT((Games[[#This Row],[Date]]-(Games[[#This Row],[SeasonStart]]-MOD(WEEKDAY(Games[[#This Row],[SeasonStart]],2)-2,7)))/7)+1)</f>
        <v>3</v>
      </c>
      <c r="S73">
        <f>IF(Games[[#This Row],[Team]]="","",COUNTIFS(Games[Team],Games[[#This Row],[Team]],Games[Season],Games[[#This Row],[Season]],Games[Week],"&lt;="&amp;Games[[#This Row],[Week]]))</f>
        <v>3</v>
      </c>
      <c r="T73">
        <f>IF(Games[[#This Row],[Team]]="","",_xlfn.MAXIFS(Games[Week],Games[Team],Games[[#This Row],[Team]],Games[Season],Games[[#This Row],[Season]],Games[Week],"&lt;"&amp;Games[[#This Row],[Week]]))</f>
        <v>2</v>
      </c>
      <c r="U73">
        <f>IF(Games[[#This Row],[Team]]="","",_xlfn.MAXIFS(Games[Week],Games[Team],Games[[#This Row],[Opponent]],Games[Season],Games[[#This Row],[Season]],Games[Week],"&lt;"&amp;Games[[#This Row],[Week]]))</f>
        <v>2</v>
      </c>
      <c r="V7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7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7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7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1431.7174772058443</v>
      </c>
      <c r="Z7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1575.1117328367568</v>
      </c>
      <c r="AA7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0.22445182506733335</v>
      </c>
      <c r="AB73">
        <f>IF(Games[[#This Row],[Team]]="","",Games[[#This Row],[PointsFor]]-Games[[#This Row],[PointsAgainst]])</f>
        <v>-9</v>
      </c>
      <c r="AC73">
        <f>IF(Games[[#This Row],[Team]]="","",IF(Games[[#This Row],[MOV]]&gt;0,1,IF(Games[[#This Row],[MOV]]=0,0.5,0)))</f>
        <v>0</v>
      </c>
      <c r="AD73">
        <f>IF(Games[[#This Row],[Team]]="","",--(OR(AND(Games[[#This Row],[ExpectedWin]]&gt;=0.5,Games[[#This Row],[Result]]=1),AND(Games[[#This Row],[ExpectedWin]]&lt;0.5,Games[[#This Row],[Result]]=0))))</f>
        <v>1</v>
      </c>
      <c r="AE73">
        <f>IF(Games[[#This Row],[Team]]="","",-(Games[[#This Row],[Result]]*LN(Games[[#This Row],[ExpectedWin]])+(1-Games[[#This Row],[Result]])*LN(1-Games[[#This Row],[ExpectedWin]])))</f>
        <v>0.25418517716968519</v>
      </c>
      <c r="AF73">
        <f>IF(Games[[#This Row],[Team]]="","",IF(Games[[#This Row],[Season]]&gt;=2021,17,16))</f>
        <v>16</v>
      </c>
      <c r="AG73">
        <f>IF(Games[[#This Row],[Team]]="","",KMax-(KMax-KFloor)*MIN(Games[[#This Row],[GamesPlayed]],Games[[#This Row],[SeasonLen]])/Games[[#This Row],[SeasonLen]])</f>
        <v>44.162500000000001</v>
      </c>
      <c r="AH73">
        <f>IF(Games[[#This Row],[Team]]="","",((ABS(Games[[#This Row],[MOV]])+3)^0.8)/(7.5+0.006*ABS(Games[[#This Row],[PreGmRate]]-Games[[#This Row],[OppPreGmRate]]))*IF(Games[[#This Row],[OT]]=1,0.7,1))</f>
        <v>0.87321207107710586</v>
      </c>
      <c r="AI7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3">
        <f>IF(Games[[#This Row],[Team]]="","",Games[[#This Row],[K]]*IF(Games[[#This Row],[DivG]]=1,DivMult,1)*IF(Games[[#This Row],[ConfG]]=1,ConfMult,1)*Games[[#This Row],[POMult]])</f>
        <v>49.550325000000008</v>
      </c>
      <c r="AK73">
        <f>IF(Games[[#This Row],[Team]]="","",(Games[[#This Row],[Keff]]*Games[[#This Row],[MOVMult]])*(Games[[#This Row],[Result]]-Games[[#This Row],[ExpectedWin]]))</f>
        <v>-9.711568529907268</v>
      </c>
      <c r="AL73">
        <f>IF(Games[[#This Row],[Team]]="","",Games[[#This Row],[PreGmRate]]+Games[[#This Row],[RatingChange]])</f>
        <v>1422.005908675937</v>
      </c>
      <c r="AM73">
        <f>IF(Games[[#This Row],[Team]]="","",IF(Games[[#This Row],[Type]]="R",IF(Games[[#This Row],[Result]]&gt;0.5,1,0),0))</f>
        <v>0</v>
      </c>
      <c r="AN73">
        <f>IF(Games[[#This Row],[Team]]="","",IF(Games[[#This Row],[Type]]="R",IF(Games[[#This Row],[Result]]&lt;0.5,1,0),0))</f>
        <v>1</v>
      </c>
      <c r="AO73">
        <f>IF(Games[[#This Row],[Team]]="","",IF(Games[[#This Row],[Type]]="R",IF(Games[[#This Row],[Result]]=0.5,1,0),0))</f>
        <v>0</v>
      </c>
    </row>
    <row r="74" spans="1:41" x14ac:dyDescent="0.35">
      <c r="A74" s="8">
        <v>35323</v>
      </c>
      <c r="B74">
        <v>1996</v>
      </c>
      <c r="C74" t="s">
        <v>197</v>
      </c>
      <c r="D74" t="s">
        <v>199</v>
      </c>
      <c r="E74" t="s">
        <v>153</v>
      </c>
      <c r="F74" t="s">
        <v>101</v>
      </c>
      <c r="G74" t="s">
        <v>200</v>
      </c>
      <c r="H74">
        <v>29</v>
      </c>
      <c r="I74">
        <v>13</v>
      </c>
      <c r="J74">
        <v>0</v>
      </c>
      <c r="K7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7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7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7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74">
        <f>IF(Games[[#This Row],[Team]]="","",IF(Games[[#This Row],[Conf]]=Games[[#This Row],[OppConf]],1,0))</f>
        <v>1</v>
      </c>
      <c r="P74">
        <f>IF(Games[[#This Row],[Team]]="","",IF(AND(Games[[#This Row],[Conf]]=Games[[#This Row],[OppConf]],Games[[#This Row],[Div]]=Games[[#This Row],[OppDiv]]),1,0))</f>
        <v>1</v>
      </c>
      <c r="Q74">
        <f>IF(Games[[#This Row],[Team]]="","",_xlfn.MINIFS(Games[Date],Games[Season],Games[[#This Row],[Season]]))</f>
        <v>35309</v>
      </c>
      <c r="R74">
        <f>IF(Games[[#This Row],[Team]]="","",INT((Games[[#This Row],[Date]]-(Games[[#This Row],[SeasonStart]]-MOD(WEEKDAY(Games[[#This Row],[SeasonStart]],2)-2,7)))/7)+1)</f>
        <v>3</v>
      </c>
      <c r="S74">
        <f>IF(Games[[#This Row],[Team]]="","",COUNTIFS(Games[Team],Games[[#This Row],[Team]],Games[Season],Games[[#This Row],[Season]],Games[Week],"&lt;="&amp;Games[[#This Row],[Week]]))</f>
        <v>3</v>
      </c>
      <c r="T74">
        <f>IF(Games[[#This Row],[Team]]="","",_xlfn.MAXIFS(Games[Week],Games[Team],Games[[#This Row],[Team]],Games[Season],Games[[#This Row],[Season]],Games[Week],"&lt;"&amp;Games[[#This Row],[Week]]))</f>
        <v>2</v>
      </c>
      <c r="U74">
        <f>IF(Games[[#This Row],[Team]]="","",_xlfn.MAXIFS(Games[Week],Games[Team],Games[[#This Row],[Opponent]],Games[Season],Games[[#This Row],[Season]],Games[Week],"&lt;"&amp;Games[[#This Row],[Week]]))</f>
        <v>2</v>
      </c>
      <c r="V7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7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7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7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1515.5429712283619</v>
      </c>
      <c r="Z7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1484.5154979735512</v>
      </c>
      <c r="AA7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0.64407010927326869</v>
      </c>
      <c r="AB74">
        <f>IF(Games[[#This Row],[Team]]="","",Games[[#This Row],[PointsFor]]-Games[[#This Row],[PointsAgainst]])</f>
        <v>16</v>
      </c>
      <c r="AC74">
        <f>IF(Games[[#This Row],[Team]]="","",IF(Games[[#This Row],[MOV]]&gt;0,1,IF(Games[[#This Row],[MOV]]=0,0.5,0)))</f>
        <v>1</v>
      </c>
      <c r="AD74">
        <f>IF(Games[[#This Row],[Team]]="","",--(OR(AND(Games[[#This Row],[ExpectedWin]]&gt;=0.5,Games[[#This Row],[Result]]=1),AND(Games[[#This Row],[ExpectedWin]]&lt;0.5,Games[[#This Row],[Result]]=0))))</f>
        <v>1</v>
      </c>
      <c r="AE74">
        <f>IF(Games[[#This Row],[Team]]="","",-(Games[[#This Row],[Result]]*LN(Games[[#This Row],[ExpectedWin]])+(1-Games[[#This Row],[Result]])*LN(1-Games[[#This Row],[ExpectedWin]])))</f>
        <v>0.43994769347202101</v>
      </c>
      <c r="AF74">
        <f>IF(Games[[#This Row],[Team]]="","",IF(Games[[#This Row],[Season]]&gt;=2021,17,16))</f>
        <v>16</v>
      </c>
      <c r="AG74">
        <f>IF(Games[[#This Row],[Team]]="","",KMax-(KMax-KFloor)*MIN(Games[[#This Row],[GamesPlayed]],Games[[#This Row],[SeasonLen]])/Games[[#This Row],[SeasonLen]])</f>
        <v>44.162500000000001</v>
      </c>
      <c r="AH74">
        <f>IF(Games[[#This Row],[Team]]="","",((ABS(Games[[#This Row],[MOV]])+3)^0.8)/(7.5+0.006*ABS(Games[[#This Row],[PreGmRate]]-Games[[#This Row],[OppPreGmRate]]))*IF(Games[[#This Row],[OT]]=1,0.7,1))</f>
        <v>1.3718075430171282</v>
      </c>
      <c r="AI7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4">
        <f>IF(Games[[#This Row],[Team]]="","",Games[[#This Row],[K]]*IF(Games[[#This Row],[DivG]]=1,DivMult,1)*IF(Games[[#This Row],[ConfG]]=1,ConfMult,1)*Games[[#This Row],[POMult]])</f>
        <v>49.550325000000008</v>
      </c>
      <c r="AK74">
        <f>IF(Games[[#This Row],[Team]]="","",(Games[[#This Row],[Keff]]*Games[[#This Row],[MOVMult]])*(Games[[#This Row],[Result]]-Games[[#This Row],[ExpectedWin]]))</f>
        <v>24.193803842087117</v>
      </c>
      <c r="AL74">
        <f>IF(Games[[#This Row],[Team]]="","",Games[[#This Row],[PreGmRate]]+Games[[#This Row],[RatingChange]])</f>
        <v>1539.7367750704491</v>
      </c>
      <c r="AM74">
        <f>IF(Games[[#This Row],[Team]]="","",IF(Games[[#This Row],[Type]]="R",IF(Games[[#This Row],[Result]]&gt;0.5,1,0),0))</f>
        <v>1</v>
      </c>
      <c r="AN74">
        <f>IF(Games[[#This Row],[Team]]="","",IF(Games[[#This Row],[Type]]="R",IF(Games[[#This Row],[Result]]&lt;0.5,1,0),0))</f>
        <v>0</v>
      </c>
      <c r="AO74">
        <f>IF(Games[[#This Row],[Team]]="","",IF(Games[[#This Row],[Type]]="R",IF(Games[[#This Row],[Result]]=0.5,1,0),0))</f>
        <v>0</v>
      </c>
    </row>
    <row r="75" spans="1:41" x14ac:dyDescent="0.35">
      <c r="A75" s="8">
        <v>35323</v>
      </c>
      <c r="B75">
        <v>1996</v>
      </c>
      <c r="C75" t="s">
        <v>197</v>
      </c>
      <c r="D75" t="s">
        <v>199</v>
      </c>
      <c r="E75" t="s">
        <v>101</v>
      </c>
      <c r="F75" t="s">
        <v>153</v>
      </c>
      <c r="G75" t="s">
        <v>201</v>
      </c>
      <c r="H75">
        <v>13</v>
      </c>
      <c r="I75">
        <v>29</v>
      </c>
      <c r="J75">
        <v>0</v>
      </c>
      <c r="K7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7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7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7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75">
        <f>IF(Games[[#This Row],[Team]]="","",IF(Games[[#This Row],[Conf]]=Games[[#This Row],[OppConf]],1,0))</f>
        <v>1</v>
      </c>
      <c r="P75">
        <f>IF(Games[[#This Row],[Team]]="","",IF(AND(Games[[#This Row],[Conf]]=Games[[#This Row],[OppConf]],Games[[#This Row],[Div]]=Games[[#This Row],[OppDiv]]),1,0))</f>
        <v>1</v>
      </c>
      <c r="Q75">
        <f>IF(Games[[#This Row],[Team]]="","",_xlfn.MINIFS(Games[Date],Games[Season],Games[[#This Row],[Season]]))</f>
        <v>35309</v>
      </c>
      <c r="R75">
        <f>IF(Games[[#This Row],[Team]]="","",INT((Games[[#This Row],[Date]]-(Games[[#This Row],[SeasonStart]]-MOD(WEEKDAY(Games[[#This Row],[SeasonStart]],2)-2,7)))/7)+1)</f>
        <v>3</v>
      </c>
      <c r="S75">
        <f>IF(Games[[#This Row],[Team]]="","",COUNTIFS(Games[Team],Games[[#This Row],[Team]],Games[Season],Games[[#This Row],[Season]],Games[Week],"&lt;="&amp;Games[[#This Row],[Week]]))</f>
        <v>3</v>
      </c>
      <c r="T75">
        <f>IF(Games[[#This Row],[Team]]="","",_xlfn.MAXIFS(Games[Week],Games[Team],Games[[#This Row],[Team]],Games[Season],Games[[#This Row],[Season]],Games[Week],"&lt;"&amp;Games[[#This Row],[Week]]))</f>
        <v>2</v>
      </c>
      <c r="U75">
        <f>IF(Games[[#This Row],[Team]]="","",_xlfn.MAXIFS(Games[Week],Games[Team],Games[[#This Row],[Opponent]],Games[Season],Games[[#This Row],[Season]],Games[Week],"&lt;"&amp;Games[[#This Row],[Week]]))</f>
        <v>2</v>
      </c>
      <c r="V7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7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7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7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1484.5154979735512</v>
      </c>
      <c r="Z7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1515.5429712283619</v>
      </c>
      <c r="AA7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0.35592989072673137</v>
      </c>
      <c r="AB75">
        <f>IF(Games[[#This Row],[Team]]="","",Games[[#This Row],[PointsFor]]-Games[[#This Row],[PointsAgainst]])</f>
        <v>-16</v>
      </c>
      <c r="AC75">
        <f>IF(Games[[#This Row],[Team]]="","",IF(Games[[#This Row],[MOV]]&gt;0,1,IF(Games[[#This Row],[MOV]]=0,0.5,0)))</f>
        <v>0</v>
      </c>
      <c r="AD75">
        <f>IF(Games[[#This Row],[Team]]="","",--(OR(AND(Games[[#This Row],[ExpectedWin]]&gt;=0.5,Games[[#This Row],[Result]]=1),AND(Games[[#This Row],[ExpectedWin]]&lt;0.5,Games[[#This Row],[Result]]=0))))</f>
        <v>1</v>
      </c>
      <c r="AE75">
        <f>IF(Games[[#This Row],[Team]]="","",-(Games[[#This Row],[Result]]*LN(Games[[#This Row],[ExpectedWin]])+(1-Games[[#This Row],[Result]])*LN(1-Games[[#This Row],[ExpectedWin]])))</f>
        <v>0.43994769347202117</v>
      </c>
      <c r="AF75">
        <f>IF(Games[[#This Row],[Team]]="","",IF(Games[[#This Row],[Season]]&gt;=2021,17,16))</f>
        <v>16</v>
      </c>
      <c r="AG75">
        <f>IF(Games[[#This Row],[Team]]="","",KMax-(KMax-KFloor)*MIN(Games[[#This Row],[GamesPlayed]],Games[[#This Row],[SeasonLen]])/Games[[#This Row],[SeasonLen]])</f>
        <v>44.162500000000001</v>
      </c>
      <c r="AH75">
        <f>IF(Games[[#This Row],[Team]]="","",((ABS(Games[[#This Row],[MOV]])+3)^0.8)/(7.5+0.006*ABS(Games[[#This Row],[PreGmRate]]-Games[[#This Row],[OppPreGmRate]]))*IF(Games[[#This Row],[OT]]=1,0.7,1))</f>
        <v>1.3718075430171282</v>
      </c>
      <c r="AI7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5">
        <f>IF(Games[[#This Row],[Team]]="","",Games[[#This Row],[K]]*IF(Games[[#This Row],[DivG]]=1,DivMult,1)*IF(Games[[#This Row],[ConfG]]=1,ConfMult,1)*Games[[#This Row],[POMult]])</f>
        <v>49.550325000000008</v>
      </c>
      <c r="AK75">
        <f>IF(Games[[#This Row],[Team]]="","",(Games[[#This Row],[Keff]]*Games[[#This Row],[MOVMult]])*(Games[[#This Row],[Result]]-Games[[#This Row],[ExpectedWin]]))</f>
        <v>-24.193803842087121</v>
      </c>
      <c r="AL75">
        <f>IF(Games[[#This Row],[Team]]="","",Games[[#This Row],[PreGmRate]]+Games[[#This Row],[RatingChange]])</f>
        <v>1460.321694131464</v>
      </c>
      <c r="AM75">
        <f>IF(Games[[#This Row],[Team]]="","",IF(Games[[#This Row],[Type]]="R",IF(Games[[#This Row],[Result]]&gt;0.5,1,0),0))</f>
        <v>0</v>
      </c>
      <c r="AN75">
        <f>IF(Games[[#This Row],[Team]]="","",IF(Games[[#This Row],[Type]]="R",IF(Games[[#This Row],[Result]]&lt;0.5,1,0),0))</f>
        <v>1</v>
      </c>
      <c r="AO75">
        <f>IF(Games[[#This Row],[Team]]="","",IF(Games[[#This Row],[Type]]="R",IF(Games[[#This Row],[Result]]=0.5,1,0),0))</f>
        <v>0</v>
      </c>
    </row>
    <row r="76" spans="1:41" x14ac:dyDescent="0.35">
      <c r="A76" s="8">
        <v>35323</v>
      </c>
      <c r="B76">
        <v>1996</v>
      </c>
      <c r="C76" t="s">
        <v>197</v>
      </c>
      <c r="D76" t="s">
        <v>199</v>
      </c>
      <c r="E76" t="s">
        <v>122</v>
      </c>
      <c r="F76" t="s">
        <v>114</v>
      </c>
      <c r="G76" t="s">
        <v>201</v>
      </c>
      <c r="H76">
        <v>25</v>
      </c>
      <c r="I76">
        <v>24</v>
      </c>
      <c r="J76">
        <v>0</v>
      </c>
      <c r="K7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7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7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7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76">
        <f>IF(Games[[#This Row],[Team]]="","",IF(Games[[#This Row],[Conf]]=Games[[#This Row],[OppConf]],1,0))</f>
        <v>0</v>
      </c>
      <c r="P76">
        <f>IF(Games[[#This Row],[Team]]="","",IF(AND(Games[[#This Row],[Conf]]=Games[[#This Row],[OppConf]],Games[[#This Row],[Div]]=Games[[#This Row],[OppDiv]]),1,0))</f>
        <v>0</v>
      </c>
      <c r="Q76">
        <f>IF(Games[[#This Row],[Team]]="","",_xlfn.MINIFS(Games[Date],Games[Season],Games[[#This Row],[Season]]))</f>
        <v>35309</v>
      </c>
      <c r="R76">
        <f>IF(Games[[#This Row],[Team]]="","",INT((Games[[#This Row],[Date]]-(Games[[#This Row],[SeasonStart]]-MOD(WEEKDAY(Games[[#This Row],[SeasonStart]],2)-2,7)))/7)+1)</f>
        <v>3</v>
      </c>
      <c r="S76">
        <f>IF(Games[[#This Row],[Team]]="","",COUNTIFS(Games[Team],Games[[#This Row],[Team]],Games[Season],Games[[#This Row],[Season]],Games[Week],"&lt;="&amp;Games[[#This Row],[Week]]))</f>
        <v>3</v>
      </c>
      <c r="T76">
        <f>IF(Games[[#This Row],[Team]]="","",_xlfn.MAXIFS(Games[Week],Games[Team],Games[[#This Row],[Team]],Games[Season],Games[[#This Row],[Season]],Games[Week],"&lt;"&amp;Games[[#This Row],[Week]]))</f>
        <v>2</v>
      </c>
      <c r="U76">
        <f>IF(Games[[#This Row],[Team]]="","",_xlfn.MAXIFS(Games[Week],Games[Team],Games[[#This Row],[Opponent]],Games[Season],Games[[#This Row],[Season]],Games[Week],"&lt;"&amp;Games[[#This Row],[Week]]))</f>
        <v>2</v>
      </c>
      <c r="V7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7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7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7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1548.1623222478029</v>
      </c>
      <c r="Z7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1517.0856750722</v>
      </c>
      <c r="AA7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0.44137741572393691</v>
      </c>
      <c r="AB76">
        <f>IF(Games[[#This Row],[Team]]="","",Games[[#This Row],[PointsFor]]-Games[[#This Row],[PointsAgainst]])</f>
        <v>1</v>
      </c>
      <c r="AC76">
        <f>IF(Games[[#This Row],[Team]]="","",IF(Games[[#This Row],[MOV]]&gt;0,1,IF(Games[[#This Row],[MOV]]=0,0.5,0)))</f>
        <v>1</v>
      </c>
      <c r="AD76">
        <f>IF(Games[[#This Row],[Team]]="","",--(OR(AND(Games[[#This Row],[ExpectedWin]]&gt;=0.5,Games[[#This Row],[Result]]=1),AND(Games[[#This Row],[ExpectedWin]]&lt;0.5,Games[[#This Row],[Result]]=0))))</f>
        <v>0</v>
      </c>
      <c r="AE76">
        <f>IF(Games[[#This Row],[Team]]="","",-(Games[[#This Row],[Result]]*LN(Games[[#This Row],[ExpectedWin]])+(1-Games[[#This Row],[Result]])*LN(1-Games[[#This Row],[ExpectedWin]])))</f>
        <v>0.81785495157057075</v>
      </c>
      <c r="AF76">
        <f>IF(Games[[#This Row],[Team]]="","",IF(Games[[#This Row],[Season]]&gt;=2021,17,16))</f>
        <v>16</v>
      </c>
      <c r="AG76">
        <f>IF(Games[[#This Row],[Team]]="","",KMax-(KMax-KFloor)*MIN(Games[[#This Row],[GamesPlayed]],Games[[#This Row],[SeasonLen]])/Games[[#This Row],[SeasonLen]])</f>
        <v>44.162500000000001</v>
      </c>
      <c r="AH76">
        <f>IF(Games[[#This Row],[Team]]="","",((ABS(Games[[#This Row],[MOV]])+3)^0.8)/(7.5+0.006*ABS(Games[[#This Row],[PreGmRate]]-Games[[#This Row],[OppPreGmRate]]))*IF(Games[[#This Row],[OT]]=1,0.7,1))</f>
        <v>0.39438612562126479</v>
      </c>
      <c r="AI7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6">
        <f>IF(Games[[#This Row],[Team]]="","",Games[[#This Row],[K]]*IF(Games[[#This Row],[DivG]]=1,DivMult,1)*IF(Games[[#This Row],[ConfG]]=1,ConfMult,1)*Games[[#This Row],[POMult]])</f>
        <v>44.162500000000001</v>
      </c>
      <c r="AK76">
        <f>IF(Games[[#This Row],[Team]]="","",(Games[[#This Row],[Keff]]*Games[[#This Row],[MOVMult]])*(Games[[#This Row],[Result]]-Games[[#This Row],[ExpectedWin]]))</f>
        <v>9.7295727166389909</v>
      </c>
      <c r="AL76">
        <f>IF(Games[[#This Row],[Team]]="","",Games[[#This Row],[PreGmRate]]+Games[[#This Row],[RatingChange]])</f>
        <v>1557.8918949644419</v>
      </c>
      <c r="AM76">
        <f>IF(Games[[#This Row],[Team]]="","",IF(Games[[#This Row],[Type]]="R",IF(Games[[#This Row],[Result]]&gt;0.5,1,0),0))</f>
        <v>1</v>
      </c>
      <c r="AN76">
        <f>IF(Games[[#This Row],[Team]]="","",IF(Games[[#This Row],[Type]]="R",IF(Games[[#This Row],[Result]]&lt;0.5,1,0),0))</f>
        <v>0</v>
      </c>
      <c r="AO76">
        <f>IF(Games[[#This Row],[Team]]="","",IF(Games[[#This Row],[Type]]="R",IF(Games[[#This Row],[Result]]=0.5,1,0),0))</f>
        <v>0</v>
      </c>
    </row>
    <row r="77" spans="1:41" x14ac:dyDescent="0.35">
      <c r="A77" s="8">
        <v>35323</v>
      </c>
      <c r="B77">
        <v>1996</v>
      </c>
      <c r="C77" t="s">
        <v>197</v>
      </c>
      <c r="D77" t="s">
        <v>199</v>
      </c>
      <c r="E77" t="s">
        <v>114</v>
      </c>
      <c r="F77" t="s">
        <v>122</v>
      </c>
      <c r="G77" t="s">
        <v>200</v>
      </c>
      <c r="H77">
        <v>24</v>
      </c>
      <c r="I77">
        <v>25</v>
      </c>
      <c r="J77">
        <v>0</v>
      </c>
      <c r="K7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7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7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7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77">
        <f>IF(Games[[#This Row],[Team]]="","",IF(Games[[#This Row],[Conf]]=Games[[#This Row],[OppConf]],1,0))</f>
        <v>0</v>
      </c>
      <c r="P77">
        <f>IF(Games[[#This Row],[Team]]="","",IF(AND(Games[[#This Row],[Conf]]=Games[[#This Row],[OppConf]],Games[[#This Row],[Div]]=Games[[#This Row],[OppDiv]]),1,0))</f>
        <v>0</v>
      </c>
      <c r="Q77">
        <f>IF(Games[[#This Row],[Team]]="","",_xlfn.MINIFS(Games[Date],Games[Season],Games[[#This Row],[Season]]))</f>
        <v>35309</v>
      </c>
      <c r="R77">
        <f>IF(Games[[#This Row],[Team]]="","",INT((Games[[#This Row],[Date]]-(Games[[#This Row],[SeasonStart]]-MOD(WEEKDAY(Games[[#This Row],[SeasonStart]],2)-2,7)))/7)+1)</f>
        <v>3</v>
      </c>
      <c r="S77">
        <f>IF(Games[[#This Row],[Team]]="","",COUNTIFS(Games[Team],Games[[#This Row],[Team]],Games[Season],Games[[#This Row],[Season]],Games[Week],"&lt;="&amp;Games[[#This Row],[Week]]))</f>
        <v>3</v>
      </c>
      <c r="T77">
        <f>IF(Games[[#This Row],[Team]]="","",_xlfn.MAXIFS(Games[Week],Games[Team],Games[[#This Row],[Team]],Games[Season],Games[[#This Row],[Season]],Games[Week],"&lt;"&amp;Games[[#This Row],[Week]]))</f>
        <v>2</v>
      </c>
      <c r="U77">
        <f>IF(Games[[#This Row],[Team]]="","",_xlfn.MAXIFS(Games[Week],Games[Team],Games[[#This Row],[Opponent]],Games[Season],Games[[#This Row],[Season]],Games[Week],"&lt;"&amp;Games[[#This Row],[Week]]))</f>
        <v>2</v>
      </c>
      <c r="V7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7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7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7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1517.0856750722</v>
      </c>
      <c r="Z7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1548.1623222478029</v>
      </c>
      <c r="AA7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0.55862258427606304</v>
      </c>
      <c r="AB77">
        <f>IF(Games[[#This Row],[Team]]="","",Games[[#This Row],[PointsFor]]-Games[[#This Row],[PointsAgainst]])</f>
        <v>-1</v>
      </c>
      <c r="AC77">
        <f>IF(Games[[#This Row],[Team]]="","",IF(Games[[#This Row],[MOV]]&gt;0,1,IF(Games[[#This Row],[MOV]]=0,0.5,0)))</f>
        <v>0</v>
      </c>
      <c r="AD77">
        <f>IF(Games[[#This Row],[Team]]="","",--(OR(AND(Games[[#This Row],[ExpectedWin]]&gt;=0.5,Games[[#This Row],[Result]]=1),AND(Games[[#This Row],[ExpectedWin]]&lt;0.5,Games[[#This Row],[Result]]=0))))</f>
        <v>0</v>
      </c>
      <c r="AE77">
        <f>IF(Games[[#This Row],[Team]]="","",-(Games[[#This Row],[Result]]*LN(Games[[#This Row],[ExpectedWin]])+(1-Games[[#This Row],[Result]])*LN(1-Games[[#This Row],[ExpectedWin]])))</f>
        <v>0.81785495157057064</v>
      </c>
      <c r="AF77">
        <f>IF(Games[[#This Row],[Team]]="","",IF(Games[[#This Row],[Season]]&gt;=2021,17,16))</f>
        <v>16</v>
      </c>
      <c r="AG77">
        <f>IF(Games[[#This Row],[Team]]="","",KMax-(KMax-KFloor)*MIN(Games[[#This Row],[GamesPlayed]],Games[[#This Row],[SeasonLen]])/Games[[#This Row],[SeasonLen]])</f>
        <v>44.162500000000001</v>
      </c>
      <c r="AH77">
        <f>IF(Games[[#This Row],[Team]]="","",((ABS(Games[[#This Row],[MOV]])+3)^0.8)/(7.5+0.006*ABS(Games[[#This Row],[PreGmRate]]-Games[[#This Row],[OppPreGmRate]]))*IF(Games[[#This Row],[OT]]=1,0.7,1))</f>
        <v>0.39438612562126479</v>
      </c>
      <c r="AI7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7">
        <f>IF(Games[[#This Row],[Team]]="","",Games[[#This Row],[K]]*IF(Games[[#This Row],[DivG]]=1,DivMult,1)*IF(Games[[#This Row],[ConfG]]=1,ConfMult,1)*Games[[#This Row],[POMult]])</f>
        <v>44.162500000000001</v>
      </c>
      <c r="AK77">
        <f>IF(Games[[#This Row],[Team]]="","",(Games[[#This Row],[Keff]]*Games[[#This Row],[MOVMult]])*(Games[[#This Row],[Result]]-Games[[#This Row],[ExpectedWin]]))</f>
        <v>-9.7295727166389909</v>
      </c>
      <c r="AL77">
        <f>IF(Games[[#This Row],[Team]]="","",Games[[#This Row],[PreGmRate]]+Games[[#This Row],[RatingChange]])</f>
        <v>1507.356102355561</v>
      </c>
      <c r="AM77">
        <f>IF(Games[[#This Row],[Team]]="","",IF(Games[[#This Row],[Type]]="R",IF(Games[[#This Row],[Result]]&gt;0.5,1,0),0))</f>
        <v>0</v>
      </c>
      <c r="AN77">
        <f>IF(Games[[#This Row],[Team]]="","",IF(Games[[#This Row],[Type]]="R",IF(Games[[#This Row],[Result]]&lt;0.5,1,0),0))</f>
        <v>1</v>
      </c>
      <c r="AO77">
        <f>IF(Games[[#This Row],[Team]]="","",IF(Games[[#This Row],[Type]]="R",IF(Games[[#This Row],[Result]]=0.5,1,0),0))</f>
        <v>0</v>
      </c>
    </row>
    <row r="78" spans="1:41" x14ac:dyDescent="0.35">
      <c r="A78" s="8">
        <v>35323</v>
      </c>
      <c r="B78">
        <v>1996</v>
      </c>
      <c r="C78" t="s">
        <v>197</v>
      </c>
      <c r="D78" t="s">
        <v>199</v>
      </c>
      <c r="E78" t="s">
        <v>140</v>
      </c>
      <c r="F78" t="s">
        <v>124</v>
      </c>
      <c r="G78" t="s">
        <v>200</v>
      </c>
      <c r="H78">
        <v>17</v>
      </c>
      <c r="I78">
        <v>3</v>
      </c>
      <c r="J78">
        <v>0</v>
      </c>
      <c r="K7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7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7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7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78">
        <f>IF(Games[[#This Row],[Team]]="","",IF(Games[[#This Row],[Conf]]=Games[[#This Row],[OppConf]],1,0))</f>
        <v>1</v>
      </c>
      <c r="P78">
        <f>IF(Games[[#This Row],[Team]]="","",IF(AND(Games[[#This Row],[Conf]]=Games[[#This Row],[OppConf]],Games[[#This Row],[Div]]=Games[[#This Row],[OppDiv]]),1,0))</f>
        <v>0</v>
      </c>
      <c r="Q78">
        <f>IF(Games[[#This Row],[Team]]="","",_xlfn.MINIFS(Games[Date],Games[Season],Games[[#This Row],[Season]]))</f>
        <v>35309</v>
      </c>
      <c r="R78">
        <f>IF(Games[[#This Row],[Team]]="","",INT((Games[[#This Row],[Date]]-(Games[[#This Row],[SeasonStart]]-MOD(WEEKDAY(Games[[#This Row],[SeasonStart]],2)-2,7)))/7)+1)</f>
        <v>3</v>
      </c>
      <c r="S78">
        <f>IF(Games[[#This Row],[Team]]="","",COUNTIFS(Games[Team],Games[[#This Row],[Team]],Games[Season],Games[[#This Row],[Season]],Games[Week],"&lt;="&amp;Games[[#This Row],[Week]]))</f>
        <v>3</v>
      </c>
      <c r="T78">
        <f>IF(Games[[#This Row],[Team]]="","",_xlfn.MAXIFS(Games[Week],Games[Team],Games[[#This Row],[Team]],Games[Season],Games[[#This Row],[Season]],Games[Week],"&lt;"&amp;Games[[#This Row],[Week]]))</f>
        <v>2</v>
      </c>
      <c r="U78">
        <f>IF(Games[[#This Row],[Team]]="","",_xlfn.MAXIFS(Games[Week],Games[Team],Games[[#This Row],[Opponent]],Games[Season],Games[[#This Row],[Season]],Games[Week],"&lt;"&amp;Games[[#This Row],[Week]]))</f>
        <v>2</v>
      </c>
      <c r="V7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7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7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7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1461.7532026825554</v>
      </c>
      <c r="Z7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1500.4663562857295</v>
      </c>
      <c r="AA7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0.54775758927689222</v>
      </c>
      <c r="AB78">
        <f>IF(Games[[#This Row],[Team]]="","",Games[[#This Row],[PointsFor]]-Games[[#This Row],[PointsAgainst]])</f>
        <v>14</v>
      </c>
      <c r="AC78">
        <f>IF(Games[[#This Row],[Team]]="","",IF(Games[[#This Row],[MOV]]&gt;0,1,IF(Games[[#This Row],[MOV]]=0,0.5,0)))</f>
        <v>1</v>
      </c>
      <c r="AD78">
        <f>IF(Games[[#This Row],[Team]]="","",--(OR(AND(Games[[#This Row],[ExpectedWin]]&gt;=0.5,Games[[#This Row],[Result]]=1),AND(Games[[#This Row],[ExpectedWin]]&lt;0.5,Games[[#This Row],[Result]]=0))))</f>
        <v>1</v>
      </c>
      <c r="AE78">
        <f>IF(Games[[#This Row],[Team]]="","",-(Games[[#This Row],[Result]]*LN(Games[[#This Row],[ExpectedWin]])+(1-Games[[#This Row],[Result]])*LN(1-Games[[#This Row],[ExpectedWin]])))</f>
        <v>0.60192244523624328</v>
      </c>
      <c r="AF78">
        <f>IF(Games[[#This Row],[Team]]="","",IF(Games[[#This Row],[Season]]&gt;=2021,17,16))</f>
        <v>16</v>
      </c>
      <c r="AG78">
        <f>IF(Games[[#This Row],[Team]]="","",KMax-(KMax-KFloor)*MIN(Games[[#This Row],[GamesPlayed]],Games[[#This Row],[SeasonLen]])/Games[[#This Row],[SeasonLen]])</f>
        <v>44.162500000000001</v>
      </c>
      <c r="AH78">
        <f>IF(Games[[#This Row],[Team]]="","",((ABS(Games[[#This Row],[MOV]])+3)^0.8)/(7.5+0.006*ABS(Games[[#This Row],[PreGmRate]]-Games[[#This Row],[OppPreGmRate]]))*IF(Games[[#This Row],[OT]]=1,0.7,1))</f>
        <v>1.2475318019693287</v>
      </c>
      <c r="AI7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8">
        <f>IF(Games[[#This Row],[Team]]="","",Games[[#This Row],[K]]*IF(Games[[#This Row],[DivG]]=1,DivMult,1)*IF(Games[[#This Row],[ConfG]]=1,ConfMult,1)*Games[[#This Row],[POMult]])</f>
        <v>45.045750000000005</v>
      </c>
      <c r="AK78">
        <f>IF(Games[[#This Row],[Team]]="","",(Games[[#This Row],[Keff]]*Games[[#This Row],[MOVMult]])*(Games[[#This Row],[Result]]-Games[[#This Row],[ExpectedWin]]))</f>
        <v>25.414217076558955</v>
      </c>
      <c r="AL78">
        <f>IF(Games[[#This Row],[Team]]="","",Games[[#This Row],[PreGmRate]]+Games[[#This Row],[RatingChange]])</f>
        <v>1487.1674197591144</v>
      </c>
      <c r="AM78">
        <f>IF(Games[[#This Row],[Team]]="","",IF(Games[[#This Row],[Type]]="R",IF(Games[[#This Row],[Result]]&gt;0.5,1,0),0))</f>
        <v>1</v>
      </c>
      <c r="AN78">
        <f>IF(Games[[#This Row],[Team]]="","",IF(Games[[#This Row],[Type]]="R",IF(Games[[#This Row],[Result]]&lt;0.5,1,0),0))</f>
        <v>0</v>
      </c>
      <c r="AO78">
        <f>IF(Games[[#This Row],[Team]]="","",IF(Games[[#This Row],[Type]]="R",IF(Games[[#This Row],[Result]]=0.5,1,0),0))</f>
        <v>0</v>
      </c>
    </row>
    <row r="79" spans="1:41" x14ac:dyDescent="0.35">
      <c r="A79" s="8">
        <v>35323</v>
      </c>
      <c r="B79">
        <v>1996</v>
      </c>
      <c r="C79" t="s">
        <v>197</v>
      </c>
      <c r="D79" t="s">
        <v>199</v>
      </c>
      <c r="E79" t="s">
        <v>124</v>
      </c>
      <c r="F79" t="s">
        <v>140</v>
      </c>
      <c r="G79" t="s">
        <v>201</v>
      </c>
      <c r="H79">
        <v>3</v>
      </c>
      <c r="I79">
        <v>17</v>
      </c>
      <c r="J79">
        <v>0</v>
      </c>
      <c r="K7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7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7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7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79">
        <f>IF(Games[[#This Row],[Team]]="","",IF(Games[[#This Row],[Conf]]=Games[[#This Row],[OppConf]],1,0))</f>
        <v>1</v>
      </c>
      <c r="P79">
        <f>IF(Games[[#This Row],[Team]]="","",IF(AND(Games[[#This Row],[Conf]]=Games[[#This Row],[OppConf]],Games[[#This Row],[Div]]=Games[[#This Row],[OppDiv]]),1,0))</f>
        <v>0</v>
      </c>
      <c r="Q79">
        <f>IF(Games[[#This Row],[Team]]="","",_xlfn.MINIFS(Games[Date],Games[Season],Games[[#This Row],[Season]]))</f>
        <v>35309</v>
      </c>
      <c r="R79">
        <f>IF(Games[[#This Row],[Team]]="","",INT((Games[[#This Row],[Date]]-(Games[[#This Row],[SeasonStart]]-MOD(WEEKDAY(Games[[#This Row],[SeasonStart]],2)-2,7)))/7)+1)</f>
        <v>3</v>
      </c>
      <c r="S79">
        <f>IF(Games[[#This Row],[Team]]="","",COUNTIFS(Games[Team],Games[[#This Row],[Team]],Games[Season],Games[[#This Row],[Season]],Games[Week],"&lt;="&amp;Games[[#This Row],[Week]]))</f>
        <v>3</v>
      </c>
      <c r="T79">
        <f>IF(Games[[#This Row],[Team]]="","",_xlfn.MAXIFS(Games[Week],Games[Team],Games[[#This Row],[Team]],Games[Season],Games[[#This Row],[Season]],Games[Week],"&lt;"&amp;Games[[#This Row],[Week]]))</f>
        <v>2</v>
      </c>
      <c r="U79">
        <f>IF(Games[[#This Row],[Team]]="","",_xlfn.MAXIFS(Games[Week],Games[Team],Games[[#This Row],[Opponent]],Games[Season],Games[[#This Row],[Season]],Games[Week],"&lt;"&amp;Games[[#This Row],[Week]]))</f>
        <v>2</v>
      </c>
      <c r="V7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7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7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7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1500.4663562857295</v>
      </c>
      <c r="Z7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1461.7532026825554</v>
      </c>
      <c r="AA7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0.45224241072310778</v>
      </c>
      <c r="AB79">
        <f>IF(Games[[#This Row],[Team]]="","",Games[[#This Row],[PointsFor]]-Games[[#This Row],[PointsAgainst]])</f>
        <v>-14</v>
      </c>
      <c r="AC79">
        <f>IF(Games[[#This Row],[Team]]="","",IF(Games[[#This Row],[MOV]]&gt;0,1,IF(Games[[#This Row],[MOV]]=0,0.5,0)))</f>
        <v>0</v>
      </c>
      <c r="AD79">
        <f>IF(Games[[#This Row],[Team]]="","",--(OR(AND(Games[[#This Row],[ExpectedWin]]&gt;=0.5,Games[[#This Row],[Result]]=1),AND(Games[[#This Row],[ExpectedWin]]&lt;0.5,Games[[#This Row],[Result]]=0))))</f>
        <v>1</v>
      </c>
      <c r="AE79">
        <f>IF(Games[[#This Row],[Team]]="","",-(Games[[#This Row],[Result]]*LN(Games[[#This Row],[ExpectedWin]])+(1-Games[[#This Row],[Result]])*LN(1-Games[[#This Row],[ExpectedWin]])))</f>
        <v>0.60192244523624328</v>
      </c>
      <c r="AF79">
        <f>IF(Games[[#This Row],[Team]]="","",IF(Games[[#This Row],[Season]]&gt;=2021,17,16))</f>
        <v>16</v>
      </c>
      <c r="AG79">
        <f>IF(Games[[#This Row],[Team]]="","",KMax-(KMax-KFloor)*MIN(Games[[#This Row],[GamesPlayed]],Games[[#This Row],[SeasonLen]])/Games[[#This Row],[SeasonLen]])</f>
        <v>44.162500000000001</v>
      </c>
      <c r="AH79">
        <f>IF(Games[[#This Row],[Team]]="","",((ABS(Games[[#This Row],[MOV]])+3)^0.8)/(7.5+0.006*ABS(Games[[#This Row],[PreGmRate]]-Games[[#This Row],[OppPreGmRate]]))*IF(Games[[#This Row],[OT]]=1,0.7,1))</f>
        <v>1.2475318019693287</v>
      </c>
      <c r="AI7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9">
        <f>IF(Games[[#This Row],[Team]]="","",Games[[#This Row],[K]]*IF(Games[[#This Row],[DivG]]=1,DivMult,1)*IF(Games[[#This Row],[ConfG]]=1,ConfMult,1)*Games[[#This Row],[POMult]])</f>
        <v>45.045750000000005</v>
      </c>
      <c r="AK79">
        <f>IF(Games[[#This Row],[Team]]="","",(Games[[#This Row],[Keff]]*Games[[#This Row],[MOVMult]])*(Games[[#This Row],[Result]]-Games[[#This Row],[ExpectedWin]]))</f>
        <v>-25.414217076558955</v>
      </c>
      <c r="AL79">
        <f>IF(Games[[#This Row],[Team]]="","",Games[[#This Row],[PreGmRate]]+Games[[#This Row],[RatingChange]])</f>
        <v>1475.0521392091705</v>
      </c>
      <c r="AM79">
        <f>IF(Games[[#This Row],[Team]]="","",IF(Games[[#This Row],[Type]]="R",IF(Games[[#This Row],[Result]]&gt;0.5,1,0),0))</f>
        <v>0</v>
      </c>
      <c r="AN79">
        <f>IF(Games[[#This Row],[Team]]="","",IF(Games[[#This Row],[Type]]="R",IF(Games[[#This Row],[Result]]&lt;0.5,1,0),0))</f>
        <v>1</v>
      </c>
      <c r="AO79">
        <f>IF(Games[[#This Row],[Team]]="","",IF(Games[[#This Row],[Type]]="R",IF(Games[[#This Row],[Result]]=0.5,1,0),0))</f>
        <v>0</v>
      </c>
    </row>
    <row r="80" spans="1:41" x14ac:dyDescent="0.35">
      <c r="A80" s="8">
        <v>35323</v>
      </c>
      <c r="B80">
        <v>1996</v>
      </c>
      <c r="C80" t="s">
        <v>197</v>
      </c>
      <c r="D80" t="s">
        <v>199</v>
      </c>
      <c r="E80" t="s">
        <v>126</v>
      </c>
      <c r="F80" t="s">
        <v>146</v>
      </c>
      <c r="G80" t="s">
        <v>201</v>
      </c>
      <c r="H80">
        <v>35</v>
      </c>
      <c r="I80">
        <v>17</v>
      </c>
      <c r="J80">
        <v>0</v>
      </c>
      <c r="K8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8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8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8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80">
        <f>IF(Games[[#This Row],[Team]]="","",IF(Games[[#This Row],[Conf]]=Games[[#This Row],[OppConf]],1,0))</f>
        <v>1</v>
      </c>
      <c r="P80">
        <f>IF(Games[[#This Row],[Team]]="","",IF(AND(Games[[#This Row],[Conf]]=Games[[#This Row],[OppConf]],Games[[#This Row],[Div]]=Games[[#This Row],[OppDiv]]),1,0))</f>
        <v>1</v>
      </c>
      <c r="Q80">
        <f>IF(Games[[#This Row],[Team]]="","",_xlfn.MINIFS(Games[Date],Games[Season],Games[[#This Row],[Season]]))</f>
        <v>35309</v>
      </c>
      <c r="R80">
        <f>IF(Games[[#This Row],[Team]]="","",INT((Games[[#This Row],[Date]]-(Games[[#This Row],[SeasonStart]]-MOD(WEEKDAY(Games[[#This Row],[SeasonStart]],2)-2,7)))/7)+1)</f>
        <v>3</v>
      </c>
      <c r="S80">
        <f>IF(Games[[#This Row],[Team]]="","",COUNTIFS(Games[Team],Games[[#This Row],[Team]],Games[Season],Games[[#This Row],[Season]],Games[Week],"&lt;="&amp;Games[[#This Row],[Week]]))</f>
        <v>3</v>
      </c>
      <c r="T80">
        <f>IF(Games[[#This Row],[Team]]="","",_xlfn.MAXIFS(Games[Week],Games[Team],Games[[#This Row],[Team]],Games[Season],Games[[#This Row],[Season]],Games[Week],"&lt;"&amp;Games[[#This Row],[Week]]))</f>
        <v>2</v>
      </c>
      <c r="U80">
        <f>IF(Games[[#This Row],[Team]]="","",_xlfn.MAXIFS(Games[Week],Games[Team],Games[[#This Row],[Opponent]],Games[Season],Games[[#This Row],[Season]],Games[Week],"&lt;"&amp;Games[[#This Row],[Week]]))</f>
        <v>2</v>
      </c>
      <c r="V8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8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8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8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1536.5528838834371</v>
      </c>
      <c r="Z8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1439.76820467273</v>
      </c>
      <c r="AA8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0.535607640615539</v>
      </c>
      <c r="AB80">
        <f>IF(Games[[#This Row],[Team]]="","",Games[[#This Row],[PointsFor]]-Games[[#This Row],[PointsAgainst]])</f>
        <v>18</v>
      </c>
      <c r="AC80">
        <f>IF(Games[[#This Row],[Team]]="","",IF(Games[[#This Row],[MOV]]&gt;0,1,IF(Games[[#This Row],[MOV]]=0,0.5,0)))</f>
        <v>1</v>
      </c>
      <c r="AD80">
        <f>IF(Games[[#This Row],[Team]]="","",--(OR(AND(Games[[#This Row],[ExpectedWin]]&gt;=0.5,Games[[#This Row],[Result]]=1),AND(Games[[#This Row],[ExpectedWin]]&lt;0.5,Games[[#This Row],[Result]]=0))))</f>
        <v>1</v>
      </c>
      <c r="AE80">
        <f>IF(Games[[#This Row],[Team]]="","",-(Games[[#This Row],[Result]]*LN(Games[[#This Row],[ExpectedWin]])+(1-Games[[#This Row],[Result]])*LN(1-Games[[#This Row],[ExpectedWin]])))</f>
        <v>0.62435339974121962</v>
      </c>
      <c r="AF80">
        <f>IF(Games[[#This Row],[Team]]="","",IF(Games[[#This Row],[Season]]&gt;=2021,17,16))</f>
        <v>16</v>
      </c>
      <c r="AG80">
        <f>IF(Games[[#This Row],[Team]]="","",KMax-(KMax-KFloor)*MIN(Games[[#This Row],[GamesPlayed]],Games[[#This Row],[SeasonLen]])/Games[[#This Row],[SeasonLen]])</f>
        <v>44.162500000000001</v>
      </c>
      <c r="AH80">
        <f>IF(Games[[#This Row],[Team]]="","",((ABS(Games[[#This Row],[MOV]])+3)^0.8)/(7.5+0.006*ABS(Games[[#This Row],[PreGmRate]]-Games[[#This Row],[OppPreGmRate]]))*IF(Games[[#This Row],[OT]]=1,0.7,1))</f>
        <v>1.413598312706392</v>
      </c>
      <c r="AI8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0">
        <f>IF(Games[[#This Row],[Team]]="","",Games[[#This Row],[K]]*IF(Games[[#This Row],[DivG]]=1,DivMult,1)*IF(Games[[#This Row],[ConfG]]=1,ConfMult,1)*Games[[#This Row],[POMult]])</f>
        <v>49.550325000000008</v>
      </c>
      <c r="AK80">
        <f>IF(Games[[#This Row],[Team]]="","",(Games[[#This Row],[Keff]]*Games[[#This Row],[MOVMult]])*(Games[[#This Row],[Result]]-Games[[#This Row],[ExpectedWin]]))</f>
        <v>32.528017218816998</v>
      </c>
      <c r="AL80">
        <f>IF(Games[[#This Row],[Team]]="","",Games[[#This Row],[PreGmRate]]+Games[[#This Row],[RatingChange]])</f>
        <v>1569.0809011022541</v>
      </c>
      <c r="AM80">
        <f>IF(Games[[#This Row],[Team]]="","",IF(Games[[#This Row],[Type]]="R",IF(Games[[#This Row],[Result]]&gt;0.5,1,0),0))</f>
        <v>1</v>
      </c>
      <c r="AN80">
        <f>IF(Games[[#This Row],[Team]]="","",IF(Games[[#This Row],[Type]]="R",IF(Games[[#This Row],[Result]]&lt;0.5,1,0),0))</f>
        <v>0</v>
      </c>
      <c r="AO80">
        <f>IF(Games[[#This Row],[Team]]="","",IF(Games[[#This Row],[Type]]="R",IF(Games[[#This Row],[Result]]=0.5,1,0),0))</f>
        <v>0</v>
      </c>
    </row>
    <row r="81" spans="1:41" x14ac:dyDescent="0.35">
      <c r="A81" s="8">
        <v>35323</v>
      </c>
      <c r="B81">
        <v>1996</v>
      </c>
      <c r="C81" t="s">
        <v>197</v>
      </c>
      <c r="D81" t="s">
        <v>199</v>
      </c>
      <c r="E81" t="s">
        <v>146</v>
      </c>
      <c r="F81" t="s">
        <v>126</v>
      </c>
      <c r="G81" t="s">
        <v>200</v>
      </c>
      <c r="H81">
        <v>17</v>
      </c>
      <c r="I81">
        <v>35</v>
      </c>
      <c r="J81">
        <v>0</v>
      </c>
      <c r="K8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8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8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8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81">
        <f>IF(Games[[#This Row],[Team]]="","",IF(Games[[#This Row],[Conf]]=Games[[#This Row],[OppConf]],1,0))</f>
        <v>1</v>
      </c>
      <c r="P81">
        <f>IF(Games[[#This Row],[Team]]="","",IF(AND(Games[[#This Row],[Conf]]=Games[[#This Row],[OppConf]],Games[[#This Row],[Div]]=Games[[#This Row],[OppDiv]]),1,0))</f>
        <v>1</v>
      </c>
      <c r="Q81">
        <f>IF(Games[[#This Row],[Team]]="","",_xlfn.MINIFS(Games[Date],Games[Season],Games[[#This Row],[Season]]))</f>
        <v>35309</v>
      </c>
      <c r="R81">
        <f>IF(Games[[#This Row],[Team]]="","",INT((Games[[#This Row],[Date]]-(Games[[#This Row],[SeasonStart]]-MOD(WEEKDAY(Games[[#This Row],[SeasonStart]],2)-2,7)))/7)+1)</f>
        <v>3</v>
      </c>
      <c r="S81">
        <f>IF(Games[[#This Row],[Team]]="","",COUNTIFS(Games[Team],Games[[#This Row],[Team]],Games[Season],Games[[#This Row],[Season]],Games[Week],"&lt;="&amp;Games[[#This Row],[Week]]))</f>
        <v>3</v>
      </c>
      <c r="T81">
        <f>IF(Games[[#This Row],[Team]]="","",_xlfn.MAXIFS(Games[Week],Games[Team],Games[[#This Row],[Team]],Games[Season],Games[[#This Row],[Season]],Games[Week],"&lt;"&amp;Games[[#This Row],[Week]]))</f>
        <v>2</v>
      </c>
      <c r="U81">
        <f>IF(Games[[#This Row],[Team]]="","",_xlfn.MAXIFS(Games[Week],Games[Team],Games[[#This Row],[Opponent]],Games[Season],Games[[#This Row],[Season]],Games[Week],"&lt;"&amp;Games[[#This Row],[Week]]))</f>
        <v>2</v>
      </c>
      <c r="V8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8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8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8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1439.76820467273</v>
      </c>
      <c r="Z8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1536.5528838834371</v>
      </c>
      <c r="AA8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0.46439235938446094</v>
      </c>
      <c r="AB81">
        <f>IF(Games[[#This Row],[Team]]="","",Games[[#This Row],[PointsFor]]-Games[[#This Row],[PointsAgainst]])</f>
        <v>-18</v>
      </c>
      <c r="AC81">
        <f>IF(Games[[#This Row],[Team]]="","",IF(Games[[#This Row],[MOV]]&gt;0,1,IF(Games[[#This Row],[MOV]]=0,0.5,0)))</f>
        <v>0</v>
      </c>
      <c r="AD81">
        <f>IF(Games[[#This Row],[Team]]="","",--(OR(AND(Games[[#This Row],[ExpectedWin]]&gt;=0.5,Games[[#This Row],[Result]]=1),AND(Games[[#This Row],[ExpectedWin]]&lt;0.5,Games[[#This Row],[Result]]=0))))</f>
        <v>1</v>
      </c>
      <c r="AE81">
        <f>IF(Games[[#This Row],[Team]]="","",-(Games[[#This Row],[Result]]*LN(Games[[#This Row],[ExpectedWin]])+(1-Games[[#This Row],[Result]])*LN(1-Games[[#This Row],[ExpectedWin]])))</f>
        <v>0.62435339974121962</v>
      </c>
      <c r="AF81">
        <f>IF(Games[[#This Row],[Team]]="","",IF(Games[[#This Row],[Season]]&gt;=2021,17,16))</f>
        <v>16</v>
      </c>
      <c r="AG81">
        <f>IF(Games[[#This Row],[Team]]="","",KMax-(KMax-KFloor)*MIN(Games[[#This Row],[GamesPlayed]],Games[[#This Row],[SeasonLen]])/Games[[#This Row],[SeasonLen]])</f>
        <v>44.162500000000001</v>
      </c>
      <c r="AH81">
        <f>IF(Games[[#This Row],[Team]]="","",((ABS(Games[[#This Row],[MOV]])+3)^0.8)/(7.5+0.006*ABS(Games[[#This Row],[PreGmRate]]-Games[[#This Row],[OppPreGmRate]]))*IF(Games[[#This Row],[OT]]=1,0.7,1))</f>
        <v>1.413598312706392</v>
      </c>
      <c r="AI8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1">
        <f>IF(Games[[#This Row],[Team]]="","",Games[[#This Row],[K]]*IF(Games[[#This Row],[DivG]]=1,DivMult,1)*IF(Games[[#This Row],[ConfG]]=1,ConfMult,1)*Games[[#This Row],[POMult]])</f>
        <v>49.550325000000008</v>
      </c>
      <c r="AK81">
        <f>IF(Games[[#This Row],[Team]]="","",(Games[[#This Row],[Keff]]*Games[[#This Row],[MOVMult]])*(Games[[#This Row],[Result]]-Games[[#This Row],[ExpectedWin]]))</f>
        <v>-32.528017218816991</v>
      </c>
      <c r="AL81">
        <f>IF(Games[[#This Row],[Team]]="","",Games[[#This Row],[PreGmRate]]+Games[[#This Row],[RatingChange]])</f>
        <v>1407.240187453913</v>
      </c>
      <c r="AM81">
        <f>IF(Games[[#This Row],[Team]]="","",IF(Games[[#This Row],[Type]]="R",IF(Games[[#This Row],[Result]]&gt;0.5,1,0),0))</f>
        <v>0</v>
      </c>
      <c r="AN81">
        <f>IF(Games[[#This Row],[Team]]="","",IF(Games[[#This Row],[Type]]="R",IF(Games[[#This Row],[Result]]&lt;0.5,1,0),0))</f>
        <v>1</v>
      </c>
      <c r="AO81">
        <f>IF(Games[[#This Row],[Team]]="","",IF(Games[[#This Row],[Type]]="R",IF(Games[[#This Row],[Result]]=0.5,1,0),0))</f>
        <v>0</v>
      </c>
    </row>
    <row r="82" spans="1:41" x14ac:dyDescent="0.35">
      <c r="A82" s="8">
        <v>35323</v>
      </c>
      <c r="B82">
        <v>1996</v>
      </c>
      <c r="C82" t="s">
        <v>197</v>
      </c>
      <c r="D82" t="s">
        <v>199</v>
      </c>
      <c r="E82" t="s">
        <v>154</v>
      </c>
      <c r="F82" t="s">
        <v>136</v>
      </c>
      <c r="G82" t="s">
        <v>201</v>
      </c>
      <c r="H82">
        <v>31</v>
      </c>
      <c r="I82">
        <v>10</v>
      </c>
      <c r="J82">
        <v>0</v>
      </c>
      <c r="K8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8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8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8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82">
        <f>IF(Games[[#This Row],[Team]]="","",IF(Games[[#This Row],[Conf]]=Games[[#This Row],[OppConf]],1,0))</f>
        <v>1</v>
      </c>
      <c r="P82">
        <f>IF(Games[[#This Row],[Team]]="","",IF(AND(Games[[#This Row],[Conf]]=Games[[#This Row],[OppConf]],Games[[#This Row],[Div]]=Games[[#This Row],[OppDiv]]),1,0))</f>
        <v>1</v>
      </c>
      <c r="Q82">
        <f>IF(Games[[#This Row],[Team]]="","",_xlfn.MINIFS(Games[Date],Games[Season],Games[[#This Row],[Season]]))</f>
        <v>35309</v>
      </c>
      <c r="R82">
        <f>IF(Games[[#This Row],[Team]]="","",INT((Games[[#This Row],[Date]]-(Games[[#This Row],[SeasonStart]]-MOD(WEEKDAY(Games[[#This Row],[SeasonStart]],2)-2,7)))/7)+1)</f>
        <v>3</v>
      </c>
      <c r="S82">
        <f>IF(Games[[#This Row],[Team]]="","",COUNTIFS(Games[Team],Games[[#This Row],[Team]],Games[Season],Games[[#This Row],[Season]],Games[Week],"&lt;="&amp;Games[[#This Row],[Week]]))</f>
        <v>3</v>
      </c>
      <c r="T82">
        <f>IF(Games[[#This Row],[Team]]="","",_xlfn.MAXIFS(Games[Week],Games[Team],Games[[#This Row],[Team]],Games[Season],Games[[#This Row],[Season]],Games[Week],"&lt;"&amp;Games[[#This Row],[Week]]))</f>
        <v>2</v>
      </c>
      <c r="U82">
        <f>IF(Games[[#This Row],[Team]]="","",_xlfn.MAXIFS(Games[Week],Games[Team],Games[[#This Row],[Opponent]],Games[Season],Games[[#This Row],[Season]],Games[Week],"&lt;"&amp;Games[[#This Row],[Week]]))</f>
        <v>2</v>
      </c>
      <c r="V8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8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8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8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1499.5652708014536</v>
      </c>
      <c r="Z8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1446.3253692597934</v>
      </c>
      <c r="AA8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0.47302825555659606</v>
      </c>
      <c r="AB82">
        <f>IF(Games[[#This Row],[Team]]="","",Games[[#This Row],[PointsFor]]-Games[[#This Row],[PointsAgainst]])</f>
        <v>21</v>
      </c>
      <c r="AC82">
        <f>IF(Games[[#This Row],[Team]]="","",IF(Games[[#This Row],[MOV]]&gt;0,1,IF(Games[[#This Row],[MOV]]=0,0.5,0)))</f>
        <v>1</v>
      </c>
      <c r="AD82">
        <f>IF(Games[[#This Row],[Team]]="","",--(OR(AND(Games[[#This Row],[ExpectedWin]]&gt;=0.5,Games[[#This Row],[Result]]=1),AND(Games[[#This Row],[ExpectedWin]]&lt;0.5,Games[[#This Row],[Result]]=0))))</f>
        <v>0</v>
      </c>
      <c r="AE82">
        <f>IF(Games[[#This Row],[Team]]="","",-(Games[[#This Row],[Result]]*LN(Games[[#This Row],[ExpectedWin]])+(1-Games[[#This Row],[Result]])*LN(1-Games[[#This Row],[ExpectedWin]])))</f>
        <v>0.7486001553682593</v>
      </c>
      <c r="AF82">
        <f>IF(Games[[#This Row],[Team]]="","",IF(Games[[#This Row],[Season]]&gt;=2021,17,16))</f>
        <v>16</v>
      </c>
      <c r="AG82">
        <f>IF(Games[[#This Row],[Team]]="","",KMax-(KMax-KFloor)*MIN(Games[[#This Row],[GamesPlayed]],Games[[#This Row],[SeasonLen]])/Games[[#This Row],[SeasonLen]])</f>
        <v>44.162500000000001</v>
      </c>
      <c r="AH82">
        <f>IF(Games[[#This Row],[Team]]="","",((ABS(Games[[#This Row],[MOV]])+3)^0.8)/(7.5+0.006*ABS(Games[[#This Row],[PreGmRate]]-Games[[#This Row],[OppPreGmRate]]))*IF(Games[[#This Row],[OT]]=1,0.7,1))</f>
        <v>1.625523957324833</v>
      </c>
      <c r="AI8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2">
        <f>IF(Games[[#This Row],[Team]]="","",Games[[#This Row],[K]]*IF(Games[[#This Row],[DivG]]=1,DivMult,1)*IF(Games[[#This Row],[ConfG]]=1,ConfMult,1)*Games[[#This Row],[POMult]])</f>
        <v>49.550325000000008</v>
      </c>
      <c r="AK82">
        <f>IF(Games[[#This Row],[Team]]="","",(Games[[#This Row],[Keff]]*Games[[#This Row],[MOVMult]])*(Games[[#This Row],[Result]]-Games[[#This Row],[ExpectedWin]]))</f>
        <v>42.445065830047433</v>
      </c>
      <c r="AL82">
        <f>IF(Games[[#This Row],[Team]]="","",Games[[#This Row],[PreGmRate]]+Games[[#This Row],[RatingChange]])</f>
        <v>1542.0103366315011</v>
      </c>
      <c r="AM82">
        <f>IF(Games[[#This Row],[Team]]="","",IF(Games[[#This Row],[Type]]="R",IF(Games[[#This Row],[Result]]&gt;0.5,1,0),0))</f>
        <v>1</v>
      </c>
      <c r="AN82">
        <f>IF(Games[[#This Row],[Team]]="","",IF(Games[[#This Row],[Type]]="R",IF(Games[[#This Row],[Result]]&lt;0.5,1,0),0))</f>
        <v>0</v>
      </c>
      <c r="AO82">
        <f>IF(Games[[#This Row],[Team]]="","",IF(Games[[#This Row],[Type]]="R",IF(Games[[#This Row],[Result]]=0.5,1,0),0))</f>
        <v>0</v>
      </c>
    </row>
    <row r="83" spans="1:41" x14ac:dyDescent="0.35">
      <c r="A83" s="8">
        <v>35323</v>
      </c>
      <c r="B83">
        <v>1996</v>
      </c>
      <c r="C83" t="s">
        <v>197</v>
      </c>
      <c r="D83" t="s">
        <v>199</v>
      </c>
      <c r="E83" t="s">
        <v>136</v>
      </c>
      <c r="F83" t="s">
        <v>154</v>
      </c>
      <c r="G83" t="s">
        <v>200</v>
      </c>
      <c r="H83">
        <v>10</v>
      </c>
      <c r="I83">
        <v>31</v>
      </c>
      <c r="J83">
        <v>0</v>
      </c>
      <c r="K8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8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8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8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83">
        <f>IF(Games[[#This Row],[Team]]="","",IF(Games[[#This Row],[Conf]]=Games[[#This Row],[OppConf]],1,0))</f>
        <v>1</v>
      </c>
      <c r="P83">
        <f>IF(Games[[#This Row],[Team]]="","",IF(AND(Games[[#This Row],[Conf]]=Games[[#This Row],[OppConf]],Games[[#This Row],[Div]]=Games[[#This Row],[OppDiv]]),1,0))</f>
        <v>1</v>
      </c>
      <c r="Q83">
        <f>IF(Games[[#This Row],[Team]]="","",_xlfn.MINIFS(Games[Date],Games[Season],Games[[#This Row],[Season]]))</f>
        <v>35309</v>
      </c>
      <c r="R83">
        <f>IF(Games[[#This Row],[Team]]="","",INT((Games[[#This Row],[Date]]-(Games[[#This Row],[SeasonStart]]-MOD(WEEKDAY(Games[[#This Row],[SeasonStart]],2)-2,7)))/7)+1)</f>
        <v>3</v>
      </c>
      <c r="S83">
        <f>IF(Games[[#This Row],[Team]]="","",COUNTIFS(Games[Team],Games[[#This Row],[Team]],Games[Season],Games[[#This Row],[Season]],Games[Week],"&lt;="&amp;Games[[#This Row],[Week]]))</f>
        <v>3</v>
      </c>
      <c r="T83">
        <f>IF(Games[[#This Row],[Team]]="","",_xlfn.MAXIFS(Games[Week],Games[Team],Games[[#This Row],[Team]],Games[Season],Games[[#This Row],[Season]],Games[Week],"&lt;"&amp;Games[[#This Row],[Week]]))</f>
        <v>2</v>
      </c>
      <c r="U83">
        <f>IF(Games[[#This Row],[Team]]="","",_xlfn.MAXIFS(Games[Week],Games[Team],Games[[#This Row],[Opponent]],Games[Season],Games[[#This Row],[Season]],Games[Week],"&lt;"&amp;Games[[#This Row],[Week]]))</f>
        <v>2</v>
      </c>
      <c r="V8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8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8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8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1446.3253692597934</v>
      </c>
      <c r="Z8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1499.5652708014536</v>
      </c>
      <c r="AA8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0.52697174444340389</v>
      </c>
      <c r="AB83">
        <f>IF(Games[[#This Row],[Team]]="","",Games[[#This Row],[PointsFor]]-Games[[#This Row],[PointsAgainst]])</f>
        <v>-21</v>
      </c>
      <c r="AC83">
        <f>IF(Games[[#This Row],[Team]]="","",IF(Games[[#This Row],[MOV]]&gt;0,1,IF(Games[[#This Row],[MOV]]=0,0.5,0)))</f>
        <v>0</v>
      </c>
      <c r="AD83">
        <f>IF(Games[[#This Row],[Team]]="","",--(OR(AND(Games[[#This Row],[ExpectedWin]]&gt;=0.5,Games[[#This Row],[Result]]=1),AND(Games[[#This Row],[ExpectedWin]]&lt;0.5,Games[[#This Row],[Result]]=0))))</f>
        <v>0</v>
      </c>
      <c r="AE83">
        <f>IF(Games[[#This Row],[Team]]="","",-(Games[[#This Row],[Result]]*LN(Games[[#This Row],[ExpectedWin]])+(1-Games[[#This Row],[Result]])*LN(1-Games[[#This Row],[ExpectedWin]])))</f>
        <v>0.74860015536825919</v>
      </c>
      <c r="AF83">
        <f>IF(Games[[#This Row],[Team]]="","",IF(Games[[#This Row],[Season]]&gt;=2021,17,16))</f>
        <v>16</v>
      </c>
      <c r="AG83">
        <f>IF(Games[[#This Row],[Team]]="","",KMax-(KMax-KFloor)*MIN(Games[[#This Row],[GamesPlayed]],Games[[#This Row],[SeasonLen]])/Games[[#This Row],[SeasonLen]])</f>
        <v>44.162500000000001</v>
      </c>
      <c r="AH83">
        <f>IF(Games[[#This Row],[Team]]="","",((ABS(Games[[#This Row],[MOV]])+3)^0.8)/(7.5+0.006*ABS(Games[[#This Row],[PreGmRate]]-Games[[#This Row],[OppPreGmRate]]))*IF(Games[[#This Row],[OT]]=1,0.7,1))</f>
        <v>1.625523957324833</v>
      </c>
      <c r="AI8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3">
        <f>IF(Games[[#This Row],[Team]]="","",Games[[#This Row],[K]]*IF(Games[[#This Row],[DivG]]=1,DivMult,1)*IF(Games[[#This Row],[ConfG]]=1,ConfMult,1)*Games[[#This Row],[POMult]])</f>
        <v>49.550325000000008</v>
      </c>
      <c r="AK83">
        <f>IF(Games[[#This Row],[Team]]="","",(Games[[#This Row],[Keff]]*Games[[#This Row],[MOVMult]])*(Games[[#This Row],[Result]]-Games[[#This Row],[ExpectedWin]]))</f>
        <v>-42.445065830047433</v>
      </c>
      <c r="AL83">
        <f>IF(Games[[#This Row],[Team]]="","",Games[[#This Row],[PreGmRate]]+Games[[#This Row],[RatingChange]])</f>
        <v>1403.8803034297459</v>
      </c>
      <c r="AM83">
        <f>IF(Games[[#This Row],[Team]]="","",IF(Games[[#This Row],[Type]]="R",IF(Games[[#This Row],[Result]]&gt;0.5,1,0),0))</f>
        <v>0</v>
      </c>
      <c r="AN83">
        <f>IF(Games[[#This Row],[Team]]="","",IF(Games[[#This Row],[Type]]="R",IF(Games[[#This Row],[Result]]&lt;0.5,1,0),0))</f>
        <v>1</v>
      </c>
      <c r="AO83">
        <f>IF(Games[[#This Row],[Team]]="","",IF(Games[[#This Row],[Type]]="R",IF(Games[[#This Row],[Result]]=0.5,1,0),0))</f>
        <v>0</v>
      </c>
    </row>
    <row r="84" spans="1:41" x14ac:dyDescent="0.35">
      <c r="A84" s="8">
        <v>35323</v>
      </c>
      <c r="B84">
        <v>1996</v>
      </c>
      <c r="C84" t="s">
        <v>197</v>
      </c>
      <c r="D84" t="s">
        <v>199</v>
      </c>
      <c r="E84" t="s">
        <v>116</v>
      </c>
      <c r="F84" t="s">
        <v>151</v>
      </c>
      <c r="G84" t="s">
        <v>200</v>
      </c>
      <c r="H84">
        <v>27</v>
      </c>
      <c r="I84">
        <v>23</v>
      </c>
      <c r="J84">
        <v>0</v>
      </c>
      <c r="K8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8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8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8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84">
        <f>IF(Games[[#This Row],[Team]]="","",IF(Games[[#This Row],[Conf]]=Games[[#This Row],[OppConf]],1,0))</f>
        <v>0</v>
      </c>
      <c r="P84">
        <f>IF(Games[[#This Row],[Team]]="","",IF(AND(Games[[#This Row],[Conf]]=Games[[#This Row],[OppConf]],Games[[#This Row],[Div]]=Games[[#This Row],[OppDiv]]),1,0))</f>
        <v>0</v>
      </c>
      <c r="Q84">
        <f>IF(Games[[#This Row],[Team]]="","",_xlfn.MINIFS(Games[Date],Games[Season],Games[[#This Row],[Season]]))</f>
        <v>35309</v>
      </c>
      <c r="R84">
        <f>IF(Games[[#This Row],[Team]]="","",INT((Games[[#This Row],[Date]]-(Games[[#This Row],[SeasonStart]]-MOD(WEEKDAY(Games[[#This Row],[SeasonStart]],2)-2,7)))/7)+1)</f>
        <v>3</v>
      </c>
      <c r="S84">
        <f>IF(Games[[#This Row],[Team]]="","",COUNTIFS(Games[Team],Games[[#This Row],[Team]],Games[Season],Games[[#This Row],[Season]],Games[Week],"&lt;="&amp;Games[[#This Row],[Week]]))</f>
        <v>3</v>
      </c>
      <c r="T84">
        <f>IF(Games[[#This Row],[Team]]="","",_xlfn.MAXIFS(Games[Week],Games[Team],Games[[#This Row],[Team]],Games[Season],Games[[#This Row],[Season]],Games[Week],"&lt;"&amp;Games[[#This Row],[Week]]))</f>
        <v>2</v>
      </c>
      <c r="U84">
        <f>IF(Games[[#This Row],[Team]]="","",_xlfn.MAXIFS(Games[Week],Games[Team],Games[[#This Row],[Opponent]],Games[Season],Games[[#This Row],[Season]],Games[Week],"&lt;"&amp;Games[[#This Row],[Week]]))</f>
        <v>2</v>
      </c>
      <c r="V8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8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8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8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1560.0673142430219</v>
      </c>
      <c r="Z8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1410.3615753337483</v>
      </c>
      <c r="AA8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0.78180920204037985</v>
      </c>
      <c r="AB84">
        <f>IF(Games[[#This Row],[Team]]="","",Games[[#This Row],[PointsFor]]-Games[[#This Row],[PointsAgainst]])</f>
        <v>4</v>
      </c>
      <c r="AC84">
        <f>IF(Games[[#This Row],[Team]]="","",IF(Games[[#This Row],[MOV]]&gt;0,1,IF(Games[[#This Row],[MOV]]=0,0.5,0)))</f>
        <v>1</v>
      </c>
      <c r="AD84">
        <f>IF(Games[[#This Row],[Team]]="","",--(OR(AND(Games[[#This Row],[ExpectedWin]]&gt;=0.5,Games[[#This Row],[Result]]=1),AND(Games[[#This Row],[ExpectedWin]]&lt;0.5,Games[[#This Row],[Result]]=0))))</f>
        <v>1</v>
      </c>
      <c r="AE84">
        <f>IF(Games[[#This Row],[Team]]="","",-(Games[[#This Row],[Result]]*LN(Games[[#This Row],[ExpectedWin]])+(1-Games[[#This Row],[Result]])*LN(1-Games[[#This Row],[ExpectedWin]])))</f>
        <v>0.24614455536717522</v>
      </c>
      <c r="AF84">
        <f>IF(Games[[#This Row],[Team]]="","",IF(Games[[#This Row],[Season]]&gt;=2021,17,16))</f>
        <v>16</v>
      </c>
      <c r="AG84">
        <f>IF(Games[[#This Row],[Team]]="","",KMax-(KMax-KFloor)*MIN(Games[[#This Row],[GamesPlayed]],Games[[#This Row],[SeasonLen]])/Games[[#This Row],[SeasonLen]])</f>
        <v>44.162500000000001</v>
      </c>
      <c r="AH84">
        <f>IF(Games[[#This Row],[Team]]="","",((ABS(Games[[#This Row],[MOV]])+3)^0.8)/(7.5+0.006*ABS(Games[[#This Row],[PreGmRate]]-Games[[#This Row],[OppPreGmRate]]))*IF(Games[[#This Row],[OT]]=1,0.7,1))</f>
        <v>0.56479447333689625</v>
      </c>
      <c r="AI8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4">
        <f>IF(Games[[#This Row],[Team]]="","",Games[[#This Row],[K]]*IF(Games[[#This Row],[DivG]]=1,DivMult,1)*IF(Games[[#This Row],[ConfG]]=1,ConfMult,1)*Games[[#This Row],[POMult]])</f>
        <v>44.162500000000001</v>
      </c>
      <c r="AK84">
        <f>IF(Games[[#This Row],[Team]]="","",(Games[[#This Row],[Keff]]*Games[[#This Row],[MOVMult]])*(Games[[#This Row],[Result]]-Games[[#This Row],[ExpectedWin]]))</f>
        <v>5.4422754555880166</v>
      </c>
      <c r="AL84">
        <f>IF(Games[[#This Row],[Team]]="","",Games[[#This Row],[PreGmRate]]+Games[[#This Row],[RatingChange]])</f>
        <v>1565.5095896986099</v>
      </c>
      <c r="AM84">
        <f>IF(Games[[#This Row],[Team]]="","",IF(Games[[#This Row],[Type]]="R",IF(Games[[#This Row],[Result]]&gt;0.5,1,0),0))</f>
        <v>1</v>
      </c>
      <c r="AN84">
        <f>IF(Games[[#This Row],[Team]]="","",IF(Games[[#This Row],[Type]]="R",IF(Games[[#This Row],[Result]]&lt;0.5,1,0),0))</f>
        <v>0</v>
      </c>
      <c r="AO84">
        <f>IF(Games[[#This Row],[Team]]="","",IF(Games[[#This Row],[Type]]="R",IF(Games[[#This Row],[Result]]=0.5,1,0),0))</f>
        <v>0</v>
      </c>
    </row>
    <row r="85" spans="1:41" x14ac:dyDescent="0.35">
      <c r="A85" s="8">
        <v>35323</v>
      </c>
      <c r="B85">
        <v>1996</v>
      </c>
      <c r="C85" t="s">
        <v>197</v>
      </c>
      <c r="D85" t="s">
        <v>199</v>
      </c>
      <c r="E85" t="s">
        <v>151</v>
      </c>
      <c r="F85" t="s">
        <v>116</v>
      </c>
      <c r="G85" t="s">
        <v>201</v>
      </c>
      <c r="H85">
        <v>23</v>
      </c>
      <c r="I85">
        <v>27</v>
      </c>
      <c r="J85">
        <v>0</v>
      </c>
      <c r="K8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8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8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8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85">
        <f>IF(Games[[#This Row],[Team]]="","",IF(Games[[#This Row],[Conf]]=Games[[#This Row],[OppConf]],1,0))</f>
        <v>0</v>
      </c>
      <c r="P85">
        <f>IF(Games[[#This Row],[Team]]="","",IF(AND(Games[[#This Row],[Conf]]=Games[[#This Row],[OppConf]],Games[[#This Row],[Div]]=Games[[#This Row],[OppDiv]]),1,0))</f>
        <v>0</v>
      </c>
      <c r="Q85">
        <f>IF(Games[[#This Row],[Team]]="","",_xlfn.MINIFS(Games[Date],Games[Season],Games[[#This Row],[Season]]))</f>
        <v>35309</v>
      </c>
      <c r="R85">
        <f>IF(Games[[#This Row],[Team]]="","",INT((Games[[#This Row],[Date]]-(Games[[#This Row],[SeasonStart]]-MOD(WEEKDAY(Games[[#This Row],[SeasonStart]],2)-2,7)))/7)+1)</f>
        <v>3</v>
      </c>
      <c r="S85">
        <f>IF(Games[[#This Row],[Team]]="","",COUNTIFS(Games[Team],Games[[#This Row],[Team]],Games[Season],Games[[#This Row],[Season]],Games[Week],"&lt;="&amp;Games[[#This Row],[Week]]))</f>
        <v>3</v>
      </c>
      <c r="T85">
        <f>IF(Games[[#This Row],[Team]]="","",_xlfn.MAXIFS(Games[Week],Games[Team],Games[[#This Row],[Team]],Games[Season],Games[[#This Row],[Season]],Games[Week],"&lt;"&amp;Games[[#This Row],[Week]]))</f>
        <v>2</v>
      </c>
      <c r="U85">
        <f>IF(Games[[#This Row],[Team]]="","",_xlfn.MAXIFS(Games[Week],Games[Team],Games[[#This Row],[Opponent]],Games[Season],Games[[#This Row],[Season]],Games[Week],"&lt;"&amp;Games[[#This Row],[Week]]))</f>
        <v>2</v>
      </c>
      <c r="V8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8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8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8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1410.3615753337483</v>
      </c>
      <c r="Z8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1560.0673142430219</v>
      </c>
      <c r="AA8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0.21819079795962024</v>
      </c>
      <c r="AB85">
        <f>IF(Games[[#This Row],[Team]]="","",Games[[#This Row],[PointsFor]]-Games[[#This Row],[PointsAgainst]])</f>
        <v>-4</v>
      </c>
      <c r="AC85">
        <f>IF(Games[[#This Row],[Team]]="","",IF(Games[[#This Row],[MOV]]&gt;0,1,IF(Games[[#This Row],[MOV]]=0,0.5,0)))</f>
        <v>0</v>
      </c>
      <c r="AD85">
        <f>IF(Games[[#This Row],[Team]]="","",--(OR(AND(Games[[#This Row],[ExpectedWin]]&gt;=0.5,Games[[#This Row],[Result]]=1),AND(Games[[#This Row],[ExpectedWin]]&lt;0.5,Games[[#This Row],[Result]]=0))))</f>
        <v>1</v>
      </c>
      <c r="AE85">
        <f>IF(Games[[#This Row],[Team]]="","",-(Games[[#This Row],[Result]]*LN(Games[[#This Row],[ExpectedWin]])+(1-Games[[#This Row],[Result]])*LN(1-Games[[#This Row],[ExpectedWin]])))</f>
        <v>0.24614455536717536</v>
      </c>
      <c r="AF85">
        <f>IF(Games[[#This Row],[Team]]="","",IF(Games[[#This Row],[Season]]&gt;=2021,17,16))</f>
        <v>16</v>
      </c>
      <c r="AG85">
        <f>IF(Games[[#This Row],[Team]]="","",KMax-(KMax-KFloor)*MIN(Games[[#This Row],[GamesPlayed]],Games[[#This Row],[SeasonLen]])/Games[[#This Row],[SeasonLen]])</f>
        <v>44.162500000000001</v>
      </c>
      <c r="AH85">
        <f>IF(Games[[#This Row],[Team]]="","",((ABS(Games[[#This Row],[MOV]])+3)^0.8)/(7.5+0.006*ABS(Games[[#This Row],[PreGmRate]]-Games[[#This Row],[OppPreGmRate]]))*IF(Games[[#This Row],[OT]]=1,0.7,1))</f>
        <v>0.56479447333689625</v>
      </c>
      <c r="AI8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5">
        <f>IF(Games[[#This Row],[Team]]="","",Games[[#This Row],[K]]*IF(Games[[#This Row],[DivG]]=1,DivMult,1)*IF(Games[[#This Row],[ConfG]]=1,ConfMult,1)*Games[[#This Row],[POMult]])</f>
        <v>44.162500000000001</v>
      </c>
      <c r="AK85">
        <f>IF(Games[[#This Row],[Team]]="","",(Games[[#This Row],[Keff]]*Games[[#This Row],[MOVMult]])*(Games[[#This Row],[Result]]-Games[[#This Row],[ExpectedWin]]))</f>
        <v>-5.4422754555880184</v>
      </c>
      <c r="AL85">
        <f>IF(Games[[#This Row],[Team]]="","",Games[[#This Row],[PreGmRate]]+Games[[#This Row],[RatingChange]])</f>
        <v>1404.9192998781602</v>
      </c>
      <c r="AM85">
        <f>IF(Games[[#This Row],[Team]]="","",IF(Games[[#This Row],[Type]]="R",IF(Games[[#This Row],[Result]]&gt;0.5,1,0),0))</f>
        <v>0</v>
      </c>
      <c r="AN85">
        <f>IF(Games[[#This Row],[Team]]="","",IF(Games[[#This Row],[Type]]="R",IF(Games[[#This Row],[Result]]&lt;0.5,1,0),0))</f>
        <v>1</v>
      </c>
      <c r="AO85">
        <f>IF(Games[[#This Row],[Team]]="","",IF(Games[[#This Row],[Type]]="R",IF(Games[[#This Row],[Result]]=0.5,1,0),0))</f>
        <v>0</v>
      </c>
    </row>
    <row r="86" spans="1:41" x14ac:dyDescent="0.35">
      <c r="A86" s="8">
        <v>35324</v>
      </c>
      <c r="B86">
        <v>1996</v>
      </c>
      <c r="C86" t="s">
        <v>197</v>
      </c>
      <c r="D86" t="s">
        <v>199</v>
      </c>
      <c r="E86" t="s">
        <v>143</v>
      </c>
      <c r="F86" t="s">
        <v>106</v>
      </c>
      <c r="G86" t="s">
        <v>200</v>
      </c>
      <c r="H86">
        <v>24</v>
      </c>
      <c r="I86">
        <v>6</v>
      </c>
      <c r="J86">
        <v>0</v>
      </c>
      <c r="K8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8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8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8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86">
        <f>IF(Games[[#This Row],[Team]]="","",IF(Games[[#This Row],[Conf]]=Games[[#This Row],[OppConf]],1,0))</f>
        <v>1</v>
      </c>
      <c r="P86">
        <f>IF(Games[[#This Row],[Team]]="","",IF(AND(Games[[#This Row],[Conf]]=Games[[#This Row],[OppConf]],Games[[#This Row],[Div]]=Games[[#This Row],[OppDiv]]),1,0))</f>
        <v>0</v>
      </c>
      <c r="Q86">
        <f>IF(Games[[#This Row],[Team]]="","",_xlfn.MINIFS(Games[Date],Games[Season],Games[[#This Row],[Season]]))</f>
        <v>35309</v>
      </c>
      <c r="R86">
        <f>IF(Games[[#This Row],[Team]]="","",INT((Games[[#This Row],[Date]]-(Games[[#This Row],[SeasonStart]]-MOD(WEEKDAY(Games[[#This Row],[SeasonStart]],2)-2,7)))/7)+1)</f>
        <v>3</v>
      </c>
      <c r="S86">
        <f>IF(Games[[#This Row],[Team]]="","",COUNTIFS(Games[Team],Games[[#This Row],[Team]],Games[Season],Games[[#This Row],[Season]],Games[Week],"&lt;="&amp;Games[[#This Row],[Week]]))</f>
        <v>3</v>
      </c>
      <c r="T86">
        <f>IF(Games[[#This Row],[Team]]="","",_xlfn.MAXIFS(Games[Week],Games[Team],Games[[#This Row],[Team]],Games[Season],Games[[#This Row],[Season]],Games[Week],"&lt;"&amp;Games[[#This Row],[Week]]))</f>
        <v>2</v>
      </c>
      <c r="U86">
        <f>IF(Games[[#This Row],[Team]]="","",_xlfn.MAXIFS(Games[Week],Games[Team],Games[[#This Row],[Opponent]],Games[Season],Games[[#This Row],[Season]],Games[Week],"&lt;"&amp;Games[[#This Row],[Week]]))</f>
        <v>2</v>
      </c>
      <c r="V8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8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8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8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1501.1690879463649</v>
      </c>
      <c r="Z8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1525.0000874125938</v>
      </c>
      <c r="AA8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0.5688800035522048</v>
      </c>
      <c r="AB86">
        <f>IF(Games[[#This Row],[Team]]="","",Games[[#This Row],[PointsFor]]-Games[[#This Row],[PointsAgainst]])</f>
        <v>18</v>
      </c>
      <c r="AC86">
        <f>IF(Games[[#This Row],[Team]]="","",IF(Games[[#This Row],[MOV]]&gt;0,1,IF(Games[[#This Row],[MOV]]=0,0.5,0)))</f>
        <v>1</v>
      </c>
      <c r="AD86">
        <f>IF(Games[[#This Row],[Team]]="","",--(OR(AND(Games[[#This Row],[ExpectedWin]]&gt;=0.5,Games[[#This Row],[Result]]=1),AND(Games[[#This Row],[ExpectedWin]]&lt;0.5,Games[[#This Row],[Result]]=0))))</f>
        <v>1</v>
      </c>
      <c r="AE86">
        <f>IF(Games[[#This Row],[Team]]="","",-(Games[[#This Row],[Result]]*LN(Games[[#This Row],[ExpectedWin]])+(1-Games[[#This Row],[Result]])*LN(1-Games[[#This Row],[ExpectedWin]])))</f>
        <v>0.56408575716266696</v>
      </c>
      <c r="AF86">
        <f>IF(Games[[#This Row],[Team]]="","",IF(Games[[#This Row],[Season]]&gt;=2021,17,16))</f>
        <v>16</v>
      </c>
      <c r="AG86">
        <f>IF(Games[[#This Row],[Team]]="","",KMax-(KMax-KFloor)*MIN(Games[[#This Row],[GamesPlayed]],Games[[#This Row],[SeasonLen]])/Games[[#This Row],[SeasonLen]])</f>
        <v>44.162500000000001</v>
      </c>
      <c r="AH86">
        <f>IF(Games[[#This Row],[Team]]="","",((ABS(Games[[#This Row],[MOV]])+3)^0.8)/(7.5+0.006*ABS(Games[[#This Row],[PreGmRate]]-Games[[#This Row],[OppPreGmRate]]))*IF(Games[[#This Row],[OT]]=1,0.7,1))</f>
        <v>1.4945566177215237</v>
      </c>
      <c r="AI8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6">
        <f>IF(Games[[#This Row],[Team]]="","",Games[[#This Row],[K]]*IF(Games[[#This Row],[DivG]]=1,DivMult,1)*IF(Games[[#This Row],[ConfG]]=1,ConfMult,1)*Games[[#This Row],[POMult]])</f>
        <v>45.045750000000005</v>
      </c>
      <c r="AK86">
        <f>IF(Games[[#This Row],[Team]]="","",(Games[[#This Row],[Keff]]*Games[[#This Row],[MOVMult]])*(Games[[#This Row],[Result]]-Games[[#This Row],[ExpectedWin]]))</f>
        <v>29.02447421344128</v>
      </c>
      <c r="AL86">
        <f>IF(Games[[#This Row],[Team]]="","",Games[[#This Row],[PreGmRate]]+Games[[#This Row],[RatingChange]])</f>
        <v>1530.1935621598061</v>
      </c>
      <c r="AM86">
        <f>IF(Games[[#This Row],[Team]]="","",IF(Games[[#This Row],[Type]]="R",IF(Games[[#This Row],[Result]]&gt;0.5,1,0),0))</f>
        <v>1</v>
      </c>
      <c r="AN86">
        <f>IF(Games[[#This Row],[Team]]="","",IF(Games[[#This Row],[Type]]="R",IF(Games[[#This Row],[Result]]&lt;0.5,1,0),0))</f>
        <v>0</v>
      </c>
      <c r="AO86">
        <f>IF(Games[[#This Row],[Team]]="","",IF(Games[[#This Row],[Type]]="R",IF(Games[[#This Row],[Result]]=0.5,1,0),0))</f>
        <v>0</v>
      </c>
    </row>
    <row r="87" spans="1:41" x14ac:dyDescent="0.35">
      <c r="A87" s="8">
        <v>35324</v>
      </c>
      <c r="B87">
        <v>1996</v>
      </c>
      <c r="C87" t="s">
        <v>197</v>
      </c>
      <c r="D87" t="s">
        <v>199</v>
      </c>
      <c r="E87" t="s">
        <v>106</v>
      </c>
      <c r="F87" t="s">
        <v>143</v>
      </c>
      <c r="G87" t="s">
        <v>201</v>
      </c>
      <c r="H87">
        <v>6</v>
      </c>
      <c r="I87">
        <v>24</v>
      </c>
      <c r="J87">
        <v>0</v>
      </c>
      <c r="K8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8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8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8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87">
        <f>IF(Games[[#This Row],[Team]]="","",IF(Games[[#This Row],[Conf]]=Games[[#This Row],[OppConf]],1,0))</f>
        <v>1</v>
      </c>
      <c r="P87">
        <f>IF(Games[[#This Row],[Team]]="","",IF(AND(Games[[#This Row],[Conf]]=Games[[#This Row],[OppConf]],Games[[#This Row],[Div]]=Games[[#This Row],[OppDiv]]),1,0))</f>
        <v>0</v>
      </c>
      <c r="Q87">
        <f>IF(Games[[#This Row],[Team]]="","",_xlfn.MINIFS(Games[Date],Games[Season],Games[[#This Row],[Season]]))</f>
        <v>35309</v>
      </c>
      <c r="R87">
        <f>IF(Games[[#This Row],[Team]]="","",INT((Games[[#This Row],[Date]]-(Games[[#This Row],[SeasonStart]]-MOD(WEEKDAY(Games[[#This Row],[SeasonStart]],2)-2,7)))/7)+1)</f>
        <v>3</v>
      </c>
      <c r="S87">
        <f>IF(Games[[#This Row],[Team]]="","",COUNTIFS(Games[Team],Games[[#This Row],[Team]],Games[Season],Games[[#This Row],[Season]],Games[Week],"&lt;="&amp;Games[[#This Row],[Week]]))</f>
        <v>3</v>
      </c>
      <c r="T87">
        <f>IF(Games[[#This Row],[Team]]="","",_xlfn.MAXIFS(Games[Week],Games[Team],Games[[#This Row],[Team]],Games[Season],Games[[#This Row],[Season]],Games[Week],"&lt;"&amp;Games[[#This Row],[Week]]))</f>
        <v>2</v>
      </c>
      <c r="U87">
        <f>IF(Games[[#This Row],[Team]]="","",_xlfn.MAXIFS(Games[Week],Games[Team],Games[[#This Row],[Opponent]],Games[Season],Games[[#This Row],[Season]],Games[Week],"&lt;"&amp;Games[[#This Row],[Week]]))</f>
        <v>2</v>
      </c>
      <c r="V8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8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8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8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1525.0000874125938</v>
      </c>
      <c r="Z8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1501.1690879463649</v>
      </c>
      <c r="AA8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0.4311199964477952</v>
      </c>
      <c r="AB87">
        <f>IF(Games[[#This Row],[Team]]="","",Games[[#This Row],[PointsFor]]-Games[[#This Row],[PointsAgainst]])</f>
        <v>-18</v>
      </c>
      <c r="AC87">
        <f>IF(Games[[#This Row],[Team]]="","",IF(Games[[#This Row],[MOV]]&gt;0,1,IF(Games[[#This Row],[MOV]]=0,0.5,0)))</f>
        <v>0</v>
      </c>
      <c r="AD87">
        <f>IF(Games[[#This Row],[Team]]="","",--(OR(AND(Games[[#This Row],[ExpectedWin]]&gt;=0.5,Games[[#This Row],[Result]]=1),AND(Games[[#This Row],[ExpectedWin]]&lt;0.5,Games[[#This Row],[Result]]=0))))</f>
        <v>1</v>
      </c>
      <c r="AE87">
        <f>IF(Games[[#This Row],[Team]]="","",-(Games[[#This Row],[Result]]*LN(Games[[#This Row],[ExpectedWin]])+(1-Games[[#This Row],[Result]])*LN(1-Games[[#This Row],[ExpectedWin]])))</f>
        <v>0.56408575716266696</v>
      </c>
      <c r="AF87">
        <f>IF(Games[[#This Row],[Team]]="","",IF(Games[[#This Row],[Season]]&gt;=2021,17,16))</f>
        <v>16</v>
      </c>
      <c r="AG87">
        <f>IF(Games[[#This Row],[Team]]="","",KMax-(KMax-KFloor)*MIN(Games[[#This Row],[GamesPlayed]],Games[[#This Row],[SeasonLen]])/Games[[#This Row],[SeasonLen]])</f>
        <v>44.162500000000001</v>
      </c>
      <c r="AH87">
        <f>IF(Games[[#This Row],[Team]]="","",((ABS(Games[[#This Row],[MOV]])+3)^0.8)/(7.5+0.006*ABS(Games[[#This Row],[PreGmRate]]-Games[[#This Row],[OppPreGmRate]]))*IF(Games[[#This Row],[OT]]=1,0.7,1))</f>
        <v>1.4945566177215237</v>
      </c>
      <c r="AI8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7">
        <f>IF(Games[[#This Row],[Team]]="","",Games[[#This Row],[K]]*IF(Games[[#This Row],[DivG]]=1,DivMult,1)*IF(Games[[#This Row],[ConfG]]=1,ConfMult,1)*Games[[#This Row],[POMult]])</f>
        <v>45.045750000000005</v>
      </c>
      <c r="AK87">
        <f>IF(Games[[#This Row],[Team]]="","",(Games[[#This Row],[Keff]]*Games[[#This Row],[MOVMult]])*(Games[[#This Row],[Result]]-Games[[#This Row],[ExpectedWin]]))</f>
        <v>-29.02447421344128</v>
      </c>
      <c r="AL87">
        <f>IF(Games[[#This Row],[Team]]="","",Games[[#This Row],[PreGmRate]]+Games[[#This Row],[RatingChange]])</f>
        <v>1495.9756131991526</v>
      </c>
      <c r="AM87">
        <f>IF(Games[[#This Row],[Team]]="","",IF(Games[[#This Row],[Type]]="R",IF(Games[[#This Row],[Result]]&gt;0.5,1,0),0))</f>
        <v>0</v>
      </c>
      <c r="AN87">
        <f>IF(Games[[#This Row],[Team]]="","",IF(Games[[#This Row],[Type]]="R",IF(Games[[#This Row],[Result]]&lt;0.5,1,0),0))</f>
        <v>1</v>
      </c>
      <c r="AO87">
        <f>IF(Games[[#This Row],[Team]]="","",IF(Games[[#This Row],[Type]]="R",IF(Games[[#This Row],[Result]]=0.5,1,0),0))</f>
        <v>0</v>
      </c>
    </row>
    <row r="88" spans="1:41" x14ac:dyDescent="0.35">
      <c r="A88" s="8">
        <v>35330</v>
      </c>
      <c r="B88">
        <v>1996</v>
      </c>
      <c r="C88" t="s">
        <v>197</v>
      </c>
      <c r="D88" t="s">
        <v>199</v>
      </c>
      <c r="E88" t="s">
        <v>108</v>
      </c>
      <c r="F88" t="s">
        <v>148</v>
      </c>
      <c r="G88" t="s">
        <v>200</v>
      </c>
      <c r="H88">
        <v>23</v>
      </c>
      <c r="I88">
        <v>7</v>
      </c>
      <c r="J88">
        <v>0</v>
      </c>
      <c r="K8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8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8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8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88">
        <f>IF(Games[[#This Row],[Team]]="","",IF(Games[[#This Row],[Conf]]=Games[[#This Row],[OppConf]],1,0))</f>
        <v>1</v>
      </c>
      <c r="P88">
        <f>IF(Games[[#This Row],[Team]]="","",IF(AND(Games[[#This Row],[Conf]]=Games[[#This Row],[OppConf]],Games[[#This Row],[Div]]=Games[[#This Row],[OppDiv]]),1,0))</f>
        <v>1</v>
      </c>
      <c r="Q88">
        <f>IF(Games[[#This Row],[Team]]="","",_xlfn.MINIFS(Games[Date],Games[Season],Games[[#This Row],[Season]]))</f>
        <v>35309</v>
      </c>
      <c r="R88">
        <f>IF(Games[[#This Row],[Team]]="","",INT((Games[[#This Row],[Date]]-(Games[[#This Row],[SeasonStart]]-MOD(WEEKDAY(Games[[#This Row],[SeasonStart]],2)-2,7)))/7)+1)</f>
        <v>4</v>
      </c>
      <c r="S88">
        <f>IF(Games[[#This Row],[Team]]="","",COUNTIFS(Games[Team],Games[[#This Row],[Team]],Games[Season],Games[[#This Row],[Season]],Games[Week],"&lt;="&amp;Games[[#This Row],[Week]]))</f>
        <v>3</v>
      </c>
      <c r="T88">
        <f>IF(Games[[#This Row],[Team]]="","",_xlfn.MAXIFS(Games[Week],Games[Team],Games[[#This Row],[Team]],Games[Season],Games[[#This Row],[Season]],Games[Week],"&lt;"&amp;Games[[#This Row],[Week]]))</f>
        <v>2</v>
      </c>
      <c r="U88">
        <f>IF(Games[[#This Row],[Team]]="","",_xlfn.MAXIFS(Games[Week],Games[Team],Games[[#This Row],[Opponent]],Games[Season],Games[[#This Row],[Season]],Games[Week],"&lt;"&amp;Games[[#This Row],[Week]]))</f>
        <v>2</v>
      </c>
      <c r="V8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8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8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8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1548.3721835669571</v>
      </c>
      <c r="Z8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1574.4062370148706</v>
      </c>
      <c r="AA8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0.56576704471744244</v>
      </c>
      <c r="AB88">
        <f>IF(Games[[#This Row],[Team]]="","",Games[[#This Row],[PointsFor]]-Games[[#This Row],[PointsAgainst]])</f>
        <v>16</v>
      </c>
      <c r="AC88">
        <f>IF(Games[[#This Row],[Team]]="","",IF(Games[[#This Row],[MOV]]&gt;0,1,IF(Games[[#This Row],[MOV]]=0,0.5,0)))</f>
        <v>1</v>
      </c>
      <c r="AD88">
        <f>IF(Games[[#This Row],[Team]]="","",--(OR(AND(Games[[#This Row],[ExpectedWin]]&gt;=0.5,Games[[#This Row],[Result]]=1),AND(Games[[#This Row],[ExpectedWin]]&lt;0.5,Games[[#This Row],[Result]]=0))))</f>
        <v>1</v>
      </c>
      <c r="AE88">
        <f>IF(Games[[#This Row],[Team]]="","",-(Games[[#This Row],[Result]]*LN(Games[[#This Row],[ExpectedWin]])+(1-Games[[#This Row],[Result]])*LN(1-Games[[#This Row],[ExpectedWin]])))</f>
        <v>0.56957286727328227</v>
      </c>
      <c r="AF88">
        <f>IF(Games[[#This Row],[Team]]="","",IF(Games[[#This Row],[Season]]&gt;=2021,17,16))</f>
        <v>16</v>
      </c>
      <c r="AG88">
        <f>IF(Games[[#This Row],[Team]]="","",KMax-(KMax-KFloor)*MIN(Games[[#This Row],[GamesPlayed]],Games[[#This Row],[SeasonLen]])/Games[[#This Row],[SeasonLen]])</f>
        <v>44.162500000000001</v>
      </c>
      <c r="AH88">
        <f>IF(Games[[#This Row],[Team]]="","",((ABS(Games[[#This Row],[MOV]])+3)^0.8)/(7.5+0.006*ABS(Games[[#This Row],[PreGmRate]]-Games[[#This Row],[OppPreGmRate]]))*IF(Games[[#This Row],[OT]]=1,0.7,1))</f>
        <v>1.3771757468969883</v>
      </c>
      <c r="AI8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8">
        <f>IF(Games[[#This Row],[Team]]="","",Games[[#This Row],[K]]*IF(Games[[#This Row],[DivG]]=1,DivMult,1)*IF(Games[[#This Row],[ConfG]]=1,ConfMult,1)*Games[[#This Row],[POMult]])</f>
        <v>49.550325000000008</v>
      </c>
      <c r="AK88">
        <f>IF(Games[[#This Row],[Team]]="","",(Games[[#This Row],[Keff]]*Games[[#This Row],[MOVMult]])*(Games[[#This Row],[Result]]-Games[[#This Row],[ExpectedWin]]))</f>
        <v>29.63184228829952</v>
      </c>
      <c r="AL88">
        <f>IF(Games[[#This Row],[Team]]="","",Games[[#This Row],[PreGmRate]]+Games[[#This Row],[RatingChange]])</f>
        <v>1578.0040258552567</v>
      </c>
      <c r="AM88">
        <f>IF(Games[[#This Row],[Team]]="","",IF(Games[[#This Row],[Type]]="R",IF(Games[[#This Row],[Result]]&gt;0.5,1,0),0))</f>
        <v>1</v>
      </c>
      <c r="AN88">
        <f>IF(Games[[#This Row],[Team]]="","",IF(Games[[#This Row],[Type]]="R",IF(Games[[#This Row],[Result]]&lt;0.5,1,0),0))</f>
        <v>0</v>
      </c>
      <c r="AO88">
        <f>IF(Games[[#This Row],[Team]]="","",IF(Games[[#This Row],[Type]]="R",IF(Games[[#This Row],[Result]]=0.5,1,0),0))</f>
        <v>0</v>
      </c>
    </row>
    <row r="89" spans="1:41" x14ac:dyDescent="0.35">
      <c r="A89" s="8">
        <v>35330</v>
      </c>
      <c r="B89">
        <v>1996</v>
      </c>
      <c r="C89" t="s">
        <v>197</v>
      </c>
      <c r="D89" t="s">
        <v>199</v>
      </c>
      <c r="E89" t="s">
        <v>148</v>
      </c>
      <c r="F89" t="s">
        <v>108</v>
      </c>
      <c r="G89" t="s">
        <v>201</v>
      </c>
      <c r="H89">
        <v>7</v>
      </c>
      <c r="I89">
        <v>23</v>
      </c>
      <c r="J89">
        <v>0</v>
      </c>
      <c r="K8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8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8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8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89">
        <f>IF(Games[[#This Row],[Team]]="","",IF(Games[[#This Row],[Conf]]=Games[[#This Row],[OppConf]],1,0))</f>
        <v>1</v>
      </c>
      <c r="P89">
        <f>IF(Games[[#This Row],[Team]]="","",IF(AND(Games[[#This Row],[Conf]]=Games[[#This Row],[OppConf]],Games[[#This Row],[Div]]=Games[[#This Row],[OppDiv]]),1,0))</f>
        <v>1</v>
      </c>
      <c r="Q89">
        <f>IF(Games[[#This Row],[Team]]="","",_xlfn.MINIFS(Games[Date],Games[Season],Games[[#This Row],[Season]]))</f>
        <v>35309</v>
      </c>
      <c r="R89">
        <f>IF(Games[[#This Row],[Team]]="","",INT((Games[[#This Row],[Date]]-(Games[[#This Row],[SeasonStart]]-MOD(WEEKDAY(Games[[#This Row],[SeasonStart]],2)-2,7)))/7)+1)</f>
        <v>4</v>
      </c>
      <c r="S89">
        <f>IF(Games[[#This Row],[Team]]="","",COUNTIFS(Games[Team],Games[[#This Row],[Team]],Games[Season],Games[[#This Row],[Season]],Games[Week],"&lt;="&amp;Games[[#This Row],[Week]]))</f>
        <v>3</v>
      </c>
      <c r="T89">
        <f>IF(Games[[#This Row],[Team]]="","",_xlfn.MAXIFS(Games[Week],Games[Team],Games[[#This Row],[Team]],Games[Season],Games[[#This Row],[Season]],Games[Week],"&lt;"&amp;Games[[#This Row],[Week]]))</f>
        <v>2</v>
      </c>
      <c r="U89">
        <f>IF(Games[[#This Row],[Team]]="","",_xlfn.MAXIFS(Games[Week],Games[Team],Games[[#This Row],[Opponent]],Games[Season],Games[[#This Row],[Season]],Games[Week],"&lt;"&amp;Games[[#This Row],[Week]]))</f>
        <v>2</v>
      </c>
      <c r="V8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8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8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8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1574.4062370148706</v>
      </c>
      <c r="Z8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1548.3721835669571</v>
      </c>
      <c r="AA8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0.43423295528255751</v>
      </c>
      <c r="AB89">
        <f>IF(Games[[#This Row],[Team]]="","",Games[[#This Row],[PointsFor]]-Games[[#This Row],[PointsAgainst]])</f>
        <v>-16</v>
      </c>
      <c r="AC89">
        <f>IF(Games[[#This Row],[Team]]="","",IF(Games[[#This Row],[MOV]]&gt;0,1,IF(Games[[#This Row],[MOV]]=0,0.5,0)))</f>
        <v>0</v>
      </c>
      <c r="AD89">
        <f>IF(Games[[#This Row],[Team]]="","",--(OR(AND(Games[[#This Row],[ExpectedWin]]&gt;=0.5,Games[[#This Row],[Result]]=1),AND(Games[[#This Row],[ExpectedWin]]&lt;0.5,Games[[#This Row],[Result]]=0))))</f>
        <v>1</v>
      </c>
      <c r="AE89">
        <f>IF(Games[[#This Row],[Team]]="","",-(Games[[#This Row],[Result]]*LN(Games[[#This Row],[ExpectedWin]])+(1-Games[[#This Row],[Result]])*LN(1-Games[[#This Row],[ExpectedWin]])))</f>
        <v>0.56957286727328205</v>
      </c>
      <c r="AF89">
        <f>IF(Games[[#This Row],[Team]]="","",IF(Games[[#This Row],[Season]]&gt;=2021,17,16))</f>
        <v>16</v>
      </c>
      <c r="AG89">
        <f>IF(Games[[#This Row],[Team]]="","",KMax-(KMax-KFloor)*MIN(Games[[#This Row],[GamesPlayed]],Games[[#This Row],[SeasonLen]])/Games[[#This Row],[SeasonLen]])</f>
        <v>44.162500000000001</v>
      </c>
      <c r="AH89">
        <f>IF(Games[[#This Row],[Team]]="","",((ABS(Games[[#This Row],[MOV]])+3)^0.8)/(7.5+0.006*ABS(Games[[#This Row],[PreGmRate]]-Games[[#This Row],[OppPreGmRate]]))*IF(Games[[#This Row],[OT]]=1,0.7,1))</f>
        <v>1.3771757468969883</v>
      </c>
      <c r="AI8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9">
        <f>IF(Games[[#This Row],[Team]]="","",Games[[#This Row],[K]]*IF(Games[[#This Row],[DivG]]=1,DivMult,1)*IF(Games[[#This Row],[ConfG]]=1,ConfMult,1)*Games[[#This Row],[POMult]])</f>
        <v>49.550325000000008</v>
      </c>
      <c r="AK89">
        <f>IF(Games[[#This Row],[Team]]="","",(Games[[#This Row],[Keff]]*Games[[#This Row],[MOVMult]])*(Games[[#This Row],[Result]]-Games[[#This Row],[ExpectedWin]]))</f>
        <v>-29.631842288299516</v>
      </c>
      <c r="AL89">
        <f>IF(Games[[#This Row],[Team]]="","",Games[[#This Row],[PreGmRate]]+Games[[#This Row],[RatingChange]])</f>
        <v>1544.774394726571</v>
      </c>
      <c r="AM89">
        <f>IF(Games[[#This Row],[Team]]="","",IF(Games[[#This Row],[Type]]="R",IF(Games[[#This Row],[Result]]&gt;0.5,1,0),0))</f>
        <v>0</v>
      </c>
      <c r="AN89">
        <f>IF(Games[[#This Row],[Team]]="","",IF(Games[[#This Row],[Type]]="R",IF(Games[[#This Row],[Result]]&lt;0.5,1,0),0))</f>
        <v>1</v>
      </c>
      <c r="AO89">
        <f>IF(Games[[#This Row],[Team]]="","",IF(Games[[#This Row],[Type]]="R",IF(Games[[#This Row],[Result]]=0.5,1,0),0))</f>
        <v>0</v>
      </c>
    </row>
    <row r="90" spans="1:41" x14ac:dyDescent="0.35">
      <c r="A90" s="8">
        <v>35330</v>
      </c>
      <c r="B90">
        <v>1996</v>
      </c>
      <c r="C90" t="s">
        <v>197</v>
      </c>
      <c r="D90" t="s">
        <v>199</v>
      </c>
      <c r="E90" t="s">
        <v>154</v>
      </c>
      <c r="F90" t="s">
        <v>150</v>
      </c>
      <c r="G90" t="s">
        <v>201</v>
      </c>
      <c r="H90">
        <v>17</v>
      </c>
      <c r="I90">
        <v>10</v>
      </c>
      <c r="J90">
        <v>0</v>
      </c>
      <c r="K9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9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9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9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90">
        <f>IF(Games[[#This Row],[Team]]="","",IF(Games[[#This Row],[Conf]]=Games[[#This Row],[OppConf]],1,0))</f>
        <v>1</v>
      </c>
      <c r="P90">
        <f>IF(Games[[#This Row],[Team]]="","",IF(AND(Games[[#This Row],[Conf]]=Games[[#This Row],[OppConf]],Games[[#This Row],[Div]]=Games[[#This Row],[OppDiv]]),1,0))</f>
        <v>0</v>
      </c>
      <c r="Q90">
        <f>IF(Games[[#This Row],[Team]]="","",_xlfn.MINIFS(Games[Date],Games[Season],Games[[#This Row],[Season]]))</f>
        <v>35309</v>
      </c>
      <c r="R90">
        <f>IF(Games[[#This Row],[Team]]="","",INT((Games[[#This Row],[Date]]-(Games[[#This Row],[SeasonStart]]-MOD(WEEKDAY(Games[[#This Row],[SeasonStart]],2)-2,7)))/7)+1)</f>
        <v>4</v>
      </c>
      <c r="S90">
        <f>IF(Games[[#This Row],[Team]]="","",COUNTIFS(Games[Team],Games[[#This Row],[Team]],Games[Season],Games[[#This Row],[Season]],Games[Week],"&lt;="&amp;Games[[#This Row],[Week]]))</f>
        <v>4</v>
      </c>
      <c r="T90">
        <f>IF(Games[[#This Row],[Team]]="","",_xlfn.MAXIFS(Games[Week],Games[Team],Games[[#This Row],[Team]],Games[Season],Games[[#This Row],[Season]],Games[Week],"&lt;"&amp;Games[[#This Row],[Week]]))</f>
        <v>3</v>
      </c>
      <c r="U90">
        <f>IF(Games[[#This Row],[Team]]="","",_xlfn.MAXIFS(Games[Week],Games[Team],Games[[#This Row],[Opponent]],Games[Season],Games[[#This Row],[Season]],Games[Week],"&lt;"&amp;Games[[#This Row],[Week]]))</f>
        <v>2</v>
      </c>
      <c r="V9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9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9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9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1542.0103366315011</v>
      </c>
      <c r="Z9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1472.8152024450214</v>
      </c>
      <c r="AA9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0.46150105161514376</v>
      </c>
      <c r="AB90">
        <f>IF(Games[[#This Row],[Team]]="","",Games[[#This Row],[PointsFor]]-Games[[#This Row],[PointsAgainst]])</f>
        <v>7</v>
      </c>
      <c r="AC90">
        <f>IF(Games[[#This Row],[Team]]="","",IF(Games[[#This Row],[MOV]]&gt;0,1,IF(Games[[#This Row],[MOV]]=0,0.5,0)))</f>
        <v>1</v>
      </c>
      <c r="AD90">
        <f>IF(Games[[#This Row],[Team]]="","",--(OR(AND(Games[[#This Row],[ExpectedWin]]&gt;=0.5,Games[[#This Row],[Result]]=1),AND(Games[[#This Row],[ExpectedWin]]&lt;0.5,Games[[#This Row],[Result]]=0))))</f>
        <v>0</v>
      </c>
      <c r="AE90">
        <f>IF(Games[[#This Row],[Team]]="","",-(Games[[#This Row],[Result]]*LN(Games[[#This Row],[ExpectedWin]])+(1-Games[[#This Row],[Result]])*LN(1-Games[[#This Row],[ExpectedWin]])))</f>
        <v>0.77327094635245752</v>
      </c>
      <c r="AF90">
        <f>IF(Games[[#This Row],[Team]]="","",IF(Games[[#This Row],[Season]]&gt;=2021,17,16))</f>
        <v>16</v>
      </c>
      <c r="AG90">
        <f>IF(Games[[#This Row],[Team]]="","",KMax-(KMax-KFloor)*MIN(Games[[#This Row],[GamesPlayed]],Games[[#This Row],[SeasonLen]])/Games[[#This Row],[SeasonLen]])</f>
        <v>43.55</v>
      </c>
      <c r="AH90">
        <f>IF(Games[[#This Row],[Team]]="","",((ABS(Games[[#This Row],[MOV]])+3)^0.8)/(7.5+0.006*ABS(Games[[#This Row],[PreGmRate]]-Games[[#This Row],[OppPreGmRate]]))*IF(Games[[#This Row],[OT]]=1,0.7,1))</f>
        <v>0.79714937303960942</v>
      </c>
      <c r="AI9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0">
        <f>IF(Games[[#This Row],[Team]]="","",Games[[#This Row],[K]]*IF(Games[[#This Row],[DivG]]=1,DivMult,1)*IF(Games[[#This Row],[ConfG]]=1,ConfMult,1)*Games[[#This Row],[POMult]])</f>
        <v>44.420999999999999</v>
      </c>
      <c r="AK90">
        <f>IF(Games[[#This Row],[Team]]="","",(Games[[#This Row],[Keff]]*Games[[#This Row],[MOVMult]])*(Games[[#This Row],[Result]]-Games[[#This Row],[ExpectedWin]]))</f>
        <v>19.068340545564823</v>
      </c>
      <c r="AL90">
        <f>IF(Games[[#This Row],[Team]]="","",Games[[#This Row],[PreGmRate]]+Games[[#This Row],[RatingChange]])</f>
        <v>1561.0786771770659</v>
      </c>
      <c r="AM90">
        <f>IF(Games[[#This Row],[Team]]="","",IF(Games[[#This Row],[Type]]="R",IF(Games[[#This Row],[Result]]&gt;0.5,1,0),0))</f>
        <v>1</v>
      </c>
      <c r="AN90">
        <f>IF(Games[[#This Row],[Team]]="","",IF(Games[[#This Row],[Type]]="R",IF(Games[[#This Row],[Result]]&lt;0.5,1,0),0))</f>
        <v>0</v>
      </c>
      <c r="AO90">
        <f>IF(Games[[#This Row],[Team]]="","",IF(Games[[#This Row],[Type]]="R",IF(Games[[#This Row],[Result]]=0.5,1,0),0))</f>
        <v>0</v>
      </c>
    </row>
    <row r="91" spans="1:41" x14ac:dyDescent="0.35">
      <c r="A91" s="8">
        <v>35330</v>
      </c>
      <c r="B91">
        <v>1996</v>
      </c>
      <c r="C91" t="s">
        <v>197</v>
      </c>
      <c r="D91" t="s">
        <v>199</v>
      </c>
      <c r="E91" t="s">
        <v>150</v>
      </c>
      <c r="F91" t="s">
        <v>154</v>
      </c>
      <c r="G91" t="s">
        <v>200</v>
      </c>
      <c r="H91">
        <v>10</v>
      </c>
      <c r="I91">
        <v>17</v>
      </c>
      <c r="J91">
        <v>0</v>
      </c>
      <c r="K9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9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9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9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91">
        <f>IF(Games[[#This Row],[Team]]="","",IF(Games[[#This Row],[Conf]]=Games[[#This Row],[OppConf]],1,0))</f>
        <v>1</v>
      </c>
      <c r="P91">
        <f>IF(Games[[#This Row],[Team]]="","",IF(AND(Games[[#This Row],[Conf]]=Games[[#This Row],[OppConf]],Games[[#This Row],[Div]]=Games[[#This Row],[OppDiv]]),1,0))</f>
        <v>0</v>
      </c>
      <c r="Q91">
        <f>IF(Games[[#This Row],[Team]]="","",_xlfn.MINIFS(Games[Date],Games[Season],Games[[#This Row],[Season]]))</f>
        <v>35309</v>
      </c>
      <c r="R91">
        <f>IF(Games[[#This Row],[Team]]="","",INT((Games[[#This Row],[Date]]-(Games[[#This Row],[SeasonStart]]-MOD(WEEKDAY(Games[[#This Row],[SeasonStart]],2)-2,7)))/7)+1)</f>
        <v>4</v>
      </c>
      <c r="S91">
        <f>IF(Games[[#This Row],[Team]]="","",COUNTIFS(Games[Team],Games[[#This Row],[Team]],Games[Season],Games[[#This Row],[Season]],Games[Week],"&lt;="&amp;Games[[#This Row],[Week]]))</f>
        <v>3</v>
      </c>
      <c r="T91">
        <f>IF(Games[[#This Row],[Team]]="","",_xlfn.MAXIFS(Games[Week],Games[Team],Games[[#This Row],[Team]],Games[Season],Games[[#This Row],[Season]],Games[Week],"&lt;"&amp;Games[[#This Row],[Week]]))</f>
        <v>2</v>
      </c>
      <c r="U91">
        <f>IF(Games[[#This Row],[Team]]="","",_xlfn.MAXIFS(Games[Week],Games[Team],Games[[#This Row],[Opponent]],Games[Season],Games[[#This Row],[Season]],Games[Week],"&lt;"&amp;Games[[#This Row],[Week]]))</f>
        <v>3</v>
      </c>
      <c r="V9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9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9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9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1472.8152024450214</v>
      </c>
      <c r="Z9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1542.0103366315011</v>
      </c>
      <c r="AA9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0.53849894838485624</v>
      </c>
      <c r="AB91">
        <f>IF(Games[[#This Row],[Team]]="","",Games[[#This Row],[PointsFor]]-Games[[#This Row],[PointsAgainst]])</f>
        <v>-7</v>
      </c>
      <c r="AC91">
        <f>IF(Games[[#This Row],[Team]]="","",IF(Games[[#This Row],[MOV]]&gt;0,1,IF(Games[[#This Row],[MOV]]=0,0.5,0)))</f>
        <v>0</v>
      </c>
      <c r="AD91">
        <f>IF(Games[[#This Row],[Team]]="","",--(OR(AND(Games[[#This Row],[ExpectedWin]]&gt;=0.5,Games[[#This Row],[Result]]=1),AND(Games[[#This Row],[ExpectedWin]]&lt;0.5,Games[[#This Row],[Result]]=0))))</f>
        <v>0</v>
      </c>
      <c r="AE91">
        <f>IF(Games[[#This Row],[Team]]="","",-(Games[[#This Row],[Result]]*LN(Games[[#This Row],[ExpectedWin]])+(1-Games[[#This Row],[Result]])*LN(1-Games[[#This Row],[ExpectedWin]])))</f>
        <v>0.77327094635245752</v>
      </c>
      <c r="AF91">
        <f>IF(Games[[#This Row],[Team]]="","",IF(Games[[#This Row],[Season]]&gt;=2021,17,16))</f>
        <v>16</v>
      </c>
      <c r="AG91">
        <f>IF(Games[[#This Row],[Team]]="","",KMax-(KMax-KFloor)*MIN(Games[[#This Row],[GamesPlayed]],Games[[#This Row],[SeasonLen]])/Games[[#This Row],[SeasonLen]])</f>
        <v>44.162500000000001</v>
      </c>
      <c r="AH91">
        <f>IF(Games[[#This Row],[Team]]="","",((ABS(Games[[#This Row],[MOV]])+3)^0.8)/(7.5+0.006*ABS(Games[[#This Row],[PreGmRate]]-Games[[#This Row],[OppPreGmRate]]))*IF(Games[[#This Row],[OT]]=1,0.7,1))</f>
        <v>0.79714937303960942</v>
      </c>
      <c r="AI9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1">
        <f>IF(Games[[#This Row],[Team]]="","",Games[[#This Row],[K]]*IF(Games[[#This Row],[DivG]]=1,DivMult,1)*IF(Games[[#This Row],[ConfG]]=1,ConfMult,1)*Games[[#This Row],[POMult]])</f>
        <v>45.045750000000005</v>
      </c>
      <c r="AK91">
        <f>IF(Games[[#This Row],[Team]]="","",(Games[[#This Row],[Keff]]*Games[[#This Row],[MOVMult]])*(Games[[#This Row],[Result]]-Games[[#This Row],[ExpectedWin]]))</f>
        <v>-19.336523291469728</v>
      </c>
      <c r="AL91">
        <f>IF(Games[[#This Row],[Team]]="","",Games[[#This Row],[PreGmRate]]+Games[[#This Row],[RatingChange]])</f>
        <v>1453.4786791535516</v>
      </c>
      <c r="AM91">
        <f>IF(Games[[#This Row],[Team]]="","",IF(Games[[#This Row],[Type]]="R",IF(Games[[#This Row],[Result]]&gt;0.5,1,0),0))</f>
        <v>0</v>
      </c>
      <c r="AN91">
        <f>IF(Games[[#This Row],[Team]]="","",IF(Games[[#This Row],[Type]]="R",IF(Games[[#This Row],[Result]]&lt;0.5,1,0),0))</f>
        <v>1</v>
      </c>
      <c r="AO91">
        <f>IF(Games[[#This Row],[Team]]="","",IF(Games[[#This Row],[Type]]="R",IF(Games[[#This Row],[Result]]=0.5,1,0),0))</f>
        <v>0</v>
      </c>
    </row>
    <row r="92" spans="1:41" x14ac:dyDescent="0.35">
      <c r="A92" s="8">
        <v>35330</v>
      </c>
      <c r="B92">
        <v>1996</v>
      </c>
      <c r="C92" t="s">
        <v>197</v>
      </c>
      <c r="D92" t="s">
        <v>199</v>
      </c>
      <c r="E92" t="s">
        <v>93</v>
      </c>
      <c r="F92" t="s">
        <v>134</v>
      </c>
      <c r="G92" t="s">
        <v>201</v>
      </c>
      <c r="H92">
        <v>28</v>
      </c>
      <c r="I92">
        <v>14</v>
      </c>
      <c r="J92">
        <v>0</v>
      </c>
      <c r="K9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9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9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9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92">
        <f>IF(Games[[#This Row],[Team]]="","",IF(Games[[#This Row],[Conf]]=Games[[#This Row],[OppConf]],1,0))</f>
        <v>1</v>
      </c>
      <c r="P92">
        <f>IF(Games[[#This Row],[Team]]="","",IF(AND(Games[[#This Row],[Conf]]=Games[[#This Row],[OppConf]],Games[[#This Row],[Div]]=Games[[#This Row],[OppDiv]]),1,0))</f>
        <v>0</v>
      </c>
      <c r="Q92">
        <f>IF(Games[[#This Row],[Team]]="","",_xlfn.MINIFS(Games[Date],Games[Season],Games[[#This Row],[Season]]))</f>
        <v>35309</v>
      </c>
      <c r="R92">
        <f>IF(Games[[#This Row],[Team]]="","",INT((Games[[#This Row],[Date]]-(Games[[#This Row],[SeasonStart]]-MOD(WEEKDAY(Games[[#This Row],[SeasonStart]],2)-2,7)))/7)+1)</f>
        <v>4</v>
      </c>
      <c r="S92">
        <f>IF(Games[[#This Row],[Team]]="","",COUNTIFS(Games[Team],Games[[#This Row],[Team]],Games[Season],Games[[#This Row],[Season]],Games[Week],"&lt;="&amp;Games[[#This Row],[Week]]))</f>
        <v>4</v>
      </c>
      <c r="T92">
        <f>IF(Games[[#This Row],[Team]]="","",_xlfn.MAXIFS(Games[Week],Games[Team],Games[[#This Row],[Team]],Games[Season],Games[[#This Row],[Season]],Games[Week],"&lt;"&amp;Games[[#This Row],[Week]]))</f>
        <v>3</v>
      </c>
      <c r="U92">
        <f>IF(Games[[#This Row],[Team]]="","",_xlfn.MAXIFS(Games[Week],Games[Team],Games[[#This Row],[Opponent]],Games[Season],Games[[#This Row],[Season]],Games[Week],"&lt;"&amp;Games[[#This Row],[Week]]))</f>
        <v>3</v>
      </c>
      <c r="V9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9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9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9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1400.2949387932708</v>
      </c>
      <c r="Z9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1436.5010225017047</v>
      </c>
      <c r="AA9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0.34912574963662579</v>
      </c>
      <c r="AB92">
        <f>IF(Games[[#This Row],[Team]]="","",Games[[#This Row],[PointsFor]]-Games[[#This Row],[PointsAgainst]])</f>
        <v>14</v>
      </c>
      <c r="AC92">
        <f>IF(Games[[#This Row],[Team]]="","",IF(Games[[#This Row],[MOV]]&gt;0,1,IF(Games[[#This Row],[MOV]]=0,0.5,0)))</f>
        <v>1</v>
      </c>
      <c r="AD92">
        <f>IF(Games[[#This Row],[Team]]="","",--(OR(AND(Games[[#This Row],[ExpectedWin]]&gt;=0.5,Games[[#This Row],[Result]]=1),AND(Games[[#This Row],[ExpectedWin]]&lt;0.5,Games[[#This Row],[Result]]=0))))</f>
        <v>0</v>
      </c>
      <c r="AE92">
        <f>IF(Games[[#This Row],[Team]]="","",-(Games[[#This Row],[Result]]*LN(Games[[#This Row],[ExpectedWin]])+(1-Games[[#This Row],[Result]])*LN(1-Games[[#This Row],[ExpectedWin]])))</f>
        <v>1.0523231075322033</v>
      </c>
      <c r="AF92">
        <f>IF(Games[[#This Row],[Team]]="","",IF(Games[[#This Row],[Season]]&gt;=2021,17,16))</f>
        <v>16</v>
      </c>
      <c r="AG92">
        <f>IF(Games[[#This Row],[Team]]="","",KMax-(KMax-KFloor)*MIN(Games[[#This Row],[GamesPlayed]],Games[[#This Row],[SeasonLen]])/Games[[#This Row],[SeasonLen]])</f>
        <v>43.55</v>
      </c>
      <c r="AH92">
        <f>IF(Games[[#This Row],[Team]]="","",((ABS(Games[[#This Row],[MOV]])+3)^0.8)/(7.5+0.006*ABS(Games[[#This Row],[PreGmRate]]-Games[[#This Row],[OppPreGmRate]]))*IF(Games[[#This Row],[OT]]=1,0.7,1))</f>
        <v>1.2499634880444175</v>
      </c>
      <c r="AI9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2">
        <f>IF(Games[[#This Row],[Team]]="","",Games[[#This Row],[K]]*IF(Games[[#This Row],[DivG]]=1,DivMult,1)*IF(Games[[#This Row],[ConfG]]=1,ConfMult,1)*Games[[#This Row],[POMult]])</f>
        <v>44.420999999999999</v>
      </c>
      <c r="AK92">
        <f>IF(Games[[#This Row],[Team]]="","",(Games[[#This Row],[Keff]]*Games[[#This Row],[MOVMult]])*(Games[[#This Row],[Result]]-Games[[#This Row],[ExpectedWin]]))</f>
        <v>36.139550692868454</v>
      </c>
      <c r="AL92">
        <f>IF(Games[[#This Row],[Team]]="","",Games[[#This Row],[PreGmRate]]+Games[[#This Row],[RatingChange]])</f>
        <v>1436.4344894861392</v>
      </c>
      <c r="AM92">
        <f>IF(Games[[#This Row],[Team]]="","",IF(Games[[#This Row],[Type]]="R",IF(Games[[#This Row],[Result]]&gt;0.5,1,0),0))</f>
        <v>1</v>
      </c>
      <c r="AN92">
        <f>IF(Games[[#This Row],[Team]]="","",IF(Games[[#This Row],[Type]]="R",IF(Games[[#This Row],[Result]]&lt;0.5,1,0),0))</f>
        <v>0</v>
      </c>
      <c r="AO92">
        <f>IF(Games[[#This Row],[Team]]="","",IF(Games[[#This Row],[Type]]="R",IF(Games[[#This Row],[Result]]=0.5,1,0),0))</f>
        <v>0</v>
      </c>
    </row>
    <row r="93" spans="1:41" x14ac:dyDescent="0.35">
      <c r="A93" s="8">
        <v>35330</v>
      </c>
      <c r="B93">
        <v>1996</v>
      </c>
      <c r="C93" t="s">
        <v>197</v>
      </c>
      <c r="D93" t="s">
        <v>199</v>
      </c>
      <c r="E93" t="s">
        <v>134</v>
      </c>
      <c r="F93" t="s">
        <v>93</v>
      </c>
      <c r="G93" t="s">
        <v>200</v>
      </c>
      <c r="H93">
        <v>14</v>
      </c>
      <c r="I93">
        <v>28</v>
      </c>
      <c r="J93">
        <v>0</v>
      </c>
      <c r="K9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9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9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9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93">
        <f>IF(Games[[#This Row],[Team]]="","",IF(Games[[#This Row],[Conf]]=Games[[#This Row],[OppConf]],1,0))</f>
        <v>1</v>
      </c>
      <c r="P93">
        <f>IF(Games[[#This Row],[Team]]="","",IF(AND(Games[[#This Row],[Conf]]=Games[[#This Row],[OppConf]],Games[[#This Row],[Div]]=Games[[#This Row],[OppDiv]]),1,0))</f>
        <v>0</v>
      </c>
      <c r="Q93">
        <f>IF(Games[[#This Row],[Team]]="","",_xlfn.MINIFS(Games[Date],Games[Season],Games[[#This Row],[Season]]))</f>
        <v>35309</v>
      </c>
      <c r="R93">
        <f>IF(Games[[#This Row],[Team]]="","",INT((Games[[#This Row],[Date]]-(Games[[#This Row],[SeasonStart]]-MOD(WEEKDAY(Games[[#This Row],[SeasonStart]],2)-2,7)))/7)+1)</f>
        <v>4</v>
      </c>
      <c r="S93">
        <f>IF(Games[[#This Row],[Team]]="","",COUNTIFS(Games[Team],Games[[#This Row],[Team]],Games[Season],Games[[#This Row],[Season]],Games[Week],"&lt;="&amp;Games[[#This Row],[Week]]))</f>
        <v>4</v>
      </c>
      <c r="T93">
        <f>IF(Games[[#This Row],[Team]]="","",_xlfn.MAXIFS(Games[Week],Games[Team],Games[[#This Row],[Team]],Games[Season],Games[[#This Row],[Season]],Games[Week],"&lt;"&amp;Games[[#This Row],[Week]]))</f>
        <v>3</v>
      </c>
      <c r="U93">
        <f>IF(Games[[#This Row],[Team]]="","",_xlfn.MAXIFS(Games[Week],Games[Team],Games[[#This Row],[Opponent]],Games[Season],Games[[#This Row],[Season]],Games[Week],"&lt;"&amp;Games[[#This Row],[Week]]))</f>
        <v>3</v>
      </c>
      <c r="V9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9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9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9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1436.5010225017047</v>
      </c>
      <c r="Z9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1400.2949387932708</v>
      </c>
      <c r="AA9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0.65087425036337432</v>
      </c>
      <c r="AB93">
        <f>IF(Games[[#This Row],[Team]]="","",Games[[#This Row],[PointsFor]]-Games[[#This Row],[PointsAgainst]])</f>
        <v>-14</v>
      </c>
      <c r="AC93">
        <f>IF(Games[[#This Row],[Team]]="","",IF(Games[[#This Row],[MOV]]&gt;0,1,IF(Games[[#This Row],[MOV]]=0,0.5,0)))</f>
        <v>0</v>
      </c>
      <c r="AD93">
        <f>IF(Games[[#This Row],[Team]]="","",--(OR(AND(Games[[#This Row],[ExpectedWin]]&gt;=0.5,Games[[#This Row],[Result]]=1),AND(Games[[#This Row],[ExpectedWin]]&lt;0.5,Games[[#This Row],[Result]]=0))))</f>
        <v>0</v>
      </c>
      <c r="AE93">
        <f>IF(Games[[#This Row],[Team]]="","",-(Games[[#This Row],[Result]]*LN(Games[[#This Row],[ExpectedWin]])+(1-Games[[#This Row],[Result]])*LN(1-Games[[#This Row],[ExpectedWin]])))</f>
        <v>1.0523231075322037</v>
      </c>
      <c r="AF93">
        <f>IF(Games[[#This Row],[Team]]="","",IF(Games[[#This Row],[Season]]&gt;=2021,17,16))</f>
        <v>16</v>
      </c>
      <c r="AG93">
        <f>IF(Games[[#This Row],[Team]]="","",KMax-(KMax-KFloor)*MIN(Games[[#This Row],[GamesPlayed]],Games[[#This Row],[SeasonLen]])/Games[[#This Row],[SeasonLen]])</f>
        <v>43.55</v>
      </c>
      <c r="AH93">
        <f>IF(Games[[#This Row],[Team]]="","",((ABS(Games[[#This Row],[MOV]])+3)^0.8)/(7.5+0.006*ABS(Games[[#This Row],[PreGmRate]]-Games[[#This Row],[OppPreGmRate]]))*IF(Games[[#This Row],[OT]]=1,0.7,1))</f>
        <v>1.2499634880444175</v>
      </c>
      <c r="AI9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3">
        <f>IF(Games[[#This Row],[Team]]="","",Games[[#This Row],[K]]*IF(Games[[#This Row],[DivG]]=1,DivMult,1)*IF(Games[[#This Row],[ConfG]]=1,ConfMult,1)*Games[[#This Row],[POMult]])</f>
        <v>44.420999999999999</v>
      </c>
      <c r="AK93">
        <f>IF(Games[[#This Row],[Team]]="","",(Games[[#This Row],[Keff]]*Games[[#This Row],[MOVMult]])*(Games[[#This Row],[Result]]-Games[[#This Row],[ExpectedWin]]))</f>
        <v>-36.139550692868461</v>
      </c>
      <c r="AL93">
        <f>IF(Games[[#This Row],[Team]]="","",Games[[#This Row],[PreGmRate]]+Games[[#This Row],[RatingChange]])</f>
        <v>1400.3614718088363</v>
      </c>
      <c r="AM93">
        <f>IF(Games[[#This Row],[Team]]="","",IF(Games[[#This Row],[Type]]="R",IF(Games[[#This Row],[Result]]&gt;0.5,1,0),0))</f>
        <v>0</v>
      </c>
      <c r="AN93">
        <f>IF(Games[[#This Row],[Team]]="","",IF(Games[[#This Row],[Type]]="R",IF(Games[[#This Row],[Result]]&lt;0.5,1,0),0))</f>
        <v>1</v>
      </c>
      <c r="AO93">
        <f>IF(Games[[#This Row],[Team]]="","",IF(Games[[#This Row],[Type]]="R",IF(Games[[#This Row],[Result]]=0.5,1,0),0))</f>
        <v>0</v>
      </c>
    </row>
    <row r="94" spans="1:41" x14ac:dyDescent="0.35">
      <c r="A94" s="8">
        <v>35330</v>
      </c>
      <c r="B94">
        <v>1996</v>
      </c>
      <c r="C94" t="s">
        <v>197</v>
      </c>
      <c r="D94" t="s">
        <v>199</v>
      </c>
      <c r="E94" t="s">
        <v>126</v>
      </c>
      <c r="F94" t="s">
        <v>116</v>
      </c>
      <c r="G94" t="s">
        <v>200</v>
      </c>
      <c r="H94">
        <v>17</v>
      </c>
      <c r="I94">
        <v>14</v>
      </c>
      <c r="J94">
        <v>0</v>
      </c>
      <c r="K9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9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9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9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94">
        <f>IF(Games[[#This Row],[Team]]="","",IF(Games[[#This Row],[Conf]]=Games[[#This Row],[OppConf]],1,0))</f>
        <v>1</v>
      </c>
      <c r="P94">
        <f>IF(Games[[#This Row],[Team]]="","",IF(AND(Games[[#This Row],[Conf]]=Games[[#This Row],[OppConf]],Games[[#This Row],[Div]]=Games[[#This Row],[OppDiv]]),1,0))</f>
        <v>1</v>
      </c>
      <c r="Q94">
        <f>IF(Games[[#This Row],[Team]]="","",_xlfn.MINIFS(Games[Date],Games[Season],Games[[#This Row],[Season]]))</f>
        <v>35309</v>
      </c>
      <c r="R94">
        <f>IF(Games[[#This Row],[Team]]="","",INT((Games[[#This Row],[Date]]-(Games[[#This Row],[SeasonStart]]-MOD(WEEKDAY(Games[[#This Row],[SeasonStart]],2)-2,7)))/7)+1)</f>
        <v>4</v>
      </c>
      <c r="S94">
        <f>IF(Games[[#This Row],[Team]]="","",COUNTIFS(Games[Team],Games[[#This Row],[Team]],Games[Season],Games[[#This Row],[Season]],Games[Week],"&lt;="&amp;Games[[#This Row],[Week]]))</f>
        <v>4</v>
      </c>
      <c r="T94">
        <f>IF(Games[[#This Row],[Team]]="","",_xlfn.MAXIFS(Games[Week],Games[Team],Games[[#This Row],[Team]],Games[Season],Games[[#This Row],[Season]],Games[Week],"&lt;"&amp;Games[[#This Row],[Week]]))</f>
        <v>3</v>
      </c>
      <c r="U94">
        <f>IF(Games[[#This Row],[Team]]="","",_xlfn.MAXIFS(Games[Week],Games[Team],Games[[#This Row],[Opponent]],Games[Season],Games[[#This Row],[Season]],Games[Week],"&lt;"&amp;Games[[#This Row],[Week]]))</f>
        <v>3</v>
      </c>
      <c r="V9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9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9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9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1569.0809011022541</v>
      </c>
      <c r="Z9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1565.5095896986099</v>
      </c>
      <c r="AA9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0.60707257881791787</v>
      </c>
      <c r="AB94">
        <f>IF(Games[[#This Row],[Team]]="","",Games[[#This Row],[PointsFor]]-Games[[#This Row],[PointsAgainst]])</f>
        <v>3</v>
      </c>
      <c r="AC94">
        <f>IF(Games[[#This Row],[Team]]="","",IF(Games[[#This Row],[MOV]]&gt;0,1,IF(Games[[#This Row],[MOV]]=0,0.5,0)))</f>
        <v>1</v>
      </c>
      <c r="AD94">
        <f>IF(Games[[#This Row],[Team]]="","",--(OR(AND(Games[[#This Row],[ExpectedWin]]&gt;=0.5,Games[[#This Row],[Result]]=1),AND(Games[[#This Row],[ExpectedWin]]&lt;0.5,Games[[#This Row],[Result]]=0))))</f>
        <v>1</v>
      </c>
      <c r="AE94">
        <f>IF(Games[[#This Row],[Team]]="","",-(Games[[#This Row],[Result]]*LN(Games[[#This Row],[ExpectedWin]])+(1-Games[[#This Row],[Result]])*LN(1-Games[[#This Row],[ExpectedWin]])))</f>
        <v>0.49910692535402368</v>
      </c>
      <c r="AF94">
        <f>IF(Games[[#This Row],[Team]]="","",IF(Games[[#This Row],[Season]]&gt;=2021,17,16))</f>
        <v>16</v>
      </c>
      <c r="AG94">
        <f>IF(Games[[#This Row],[Team]]="","",KMax-(KMax-KFloor)*MIN(Games[[#This Row],[GamesPlayed]],Games[[#This Row],[SeasonLen]])/Games[[#This Row],[SeasonLen]])</f>
        <v>43.55</v>
      </c>
      <c r="AH94">
        <f>IF(Games[[#This Row],[Team]]="","",((ABS(Games[[#This Row],[MOV]])+3)^0.8)/(7.5+0.006*ABS(Games[[#This Row],[PreGmRate]]-Games[[#This Row],[OppPreGmRate]]))*IF(Games[[#This Row],[OT]]=1,0.7,1))</f>
        <v>0.55746897876044343</v>
      </c>
      <c r="AI9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4">
        <f>IF(Games[[#This Row],[Team]]="","",Games[[#This Row],[K]]*IF(Games[[#This Row],[DivG]]=1,DivMult,1)*IF(Games[[#This Row],[ConfG]]=1,ConfMult,1)*Games[[#This Row],[POMult]])</f>
        <v>48.863100000000003</v>
      </c>
      <c r="AK94">
        <f>IF(Games[[#This Row],[Team]]="","",(Games[[#This Row],[Keff]]*Games[[#This Row],[MOVMult]])*(Games[[#This Row],[Result]]-Games[[#This Row],[ExpectedWin]]))</f>
        <v>10.703210322733741</v>
      </c>
      <c r="AL94">
        <f>IF(Games[[#This Row],[Team]]="","",Games[[#This Row],[PreGmRate]]+Games[[#This Row],[RatingChange]])</f>
        <v>1579.7841114249877</v>
      </c>
      <c r="AM94">
        <f>IF(Games[[#This Row],[Team]]="","",IF(Games[[#This Row],[Type]]="R",IF(Games[[#This Row],[Result]]&gt;0.5,1,0),0))</f>
        <v>1</v>
      </c>
      <c r="AN94">
        <f>IF(Games[[#This Row],[Team]]="","",IF(Games[[#This Row],[Type]]="R",IF(Games[[#This Row],[Result]]&lt;0.5,1,0),0))</f>
        <v>0</v>
      </c>
      <c r="AO94">
        <f>IF(Games[[#This Row],[Team]]="","",IF(Games[[#This Row],[Type]]="R",IF(Games[[#This Row],[Result]]=0.5,1,0),0))</f>
        <v>0</v>
      </c>
    </row>
    <row r="95" spans="1:41" x14ac:dyDescent="0.35">
      <c r="A95" s="8">
        <v>35330</v>
      </c>
      <c r="B95">
        <v>1996</v>
      </c>
      <c r="C95" t="s">
        <v>197</v>
      </c>
      <c r="D95" t="s">
        <v>199</v>
      </c>
      <c r="E95" t="s">
        <v>116</v>
      </c>
      <c r="F95" t="s">
        <v>126</v>
      </c>
      <c r="G95" t="s">
        <v>201</v>
      </c>
      <c r="H95">
        <v>14</v>
      </c>
      <c r="I95">
        <v>17</v>
      </c>
      <c r="J95">
        <v>0</v>
      </c>
      <c r="K9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9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9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9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95">
        <f>IF(Games[[#This Row],[Team]]="","",IF(Games[[#This Row],[Conf]]=Games[[#This Row],[OppConf]],1,0))</f>
        <v>1</v>
      </c>
      <c r="P95">
        <f>IF(Games[[#This Row],[Team]]="","",IF(AND(Games[[#This Row],[Conf]]=Games[[#This Row],[OppConf]],Games[[#This Row],[Div]]=Games[[#This Row],[OppDiv]]),1,0))</f>
        <v>1</v>
      </c>
      <c r="Q95">
        <f>IF(Games[[#This Row],[Team]]="","",_xlfn.MINIFS(Games[Date],Games[Season],Games[[#This Row],[Season]]))</f>
        <v>35309</v>
      </c>
      <c r="R95">
        <f>IF(Games[[#This Row],[Team]]="","",INT((Games[[#This Row],[Date]]-(Games[[#This Row],[SeasonStart]]-MOD(WEEKDAY(Games[[#This Row],[SeasonStart]],2)-2,7)))/7)+1)</f>
        <v>4</v>
      </c>
      <c r="S95">
        <f>IF(Games[[#This Row],[Team]]="","",COUNTIFS(Games[Team],Games[[#This Row],[Team]],Games[Season],Games[[#This Row],[Season]],Games[Week],"&lt;="&amp;Games[[#This Row],[Week]]))</f>
        <v>4</v>
      </c>
      <c r="T95">
        <f>IF(Games[[#This Row],[Team]]="","",_xlfn.MAXIFS(Games[Week],Games[Team],Games[[#This Row],[Team]],Games[Season],Games[[#This Row],[Season]],Games[Week],"&lt;"&amp;Games[[#This Row],[Week]]))</f>
        <v>3</v>
      </c>
      <c r="U95">
        <f>IF(Games[[#This Row],[Team]]="","",_xlfn.MAXIFS(Games[Week],Games[Team],Games[[#This Row],[Opponent]],Games[Season],Games[[#This Row],[Season]],Games[Week],"&lt;"&amp;Games[[#This Row],[Week]]))</f>
        <v>3</v>
      </c>
      <c r="V9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9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9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9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1565.5095896986099</v>
      </c>
      <c r="Z9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1569.0809011022541</v>
      </c>
      <c r="AA9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0.39292742118208202</v>
      </c>
      <c r="AB95">
        <f>IF(Games[[#This Row],[Team]]="","",Games[[#This Row],[PointsFor]]-Games[[#This Row],[PointsAgainst]])</f>
        <v>-3</v>
      </c>
      <c r="AC95">
        <f>IF(Games[[#This Row],[Team]]="","",IF(Games[[#This Row],[MOV]]&gt;0,1,IF(Games[[#This Row],[MOV]]=0,0.5,0)))</f>
        <v>0</v>
      </c>
      <c r="AD95">
        <f>IF(Games[[#This Row],[Team]]="","",--(OR(AND(Games[[#This Row],[ExpectedWin]]&gt;=0.5,Games[[#This Row],[Result]]=1),AND(Games[[#This Row],[ExpectedWin]]&lt;0.5,Games[[#This Row],[Result]]=0))))</f>
        <v>1</v>
      </c>
      <c r="AE95">
        <f>IF(Games[[#This Row],[Team]]="","",-(Games[[#This Row],[Result]]*LN(Games[[#This Row],[ExpectedWin]])+(1-Games[[#This Row],[Result]])*LN(1-Games[[#This Row],[ExpectedWin]])))</f>
        <v>0.49910692535402346</v>
      </c>
      <c r="AF95">
        <f>IF(Games[[#This Row],[Team]]="","",IF(Games[[#This Row],[Season]]&gt;=2021,17,16))</f>
        <v>16</v>
      </c>
      <c r="AG95">
        <f>IF(Games[[#This Row],[Team]]="","",KMax-(KMax-KFloor)*MIN(Games[[#This Row],[GamesPlayed]],Games[[#This Row],[SeasonLen]])/Games[[#This Row],[SeasonLen]])</f>
        <v>43.55</v>
      </c>
      <c r="AH95">
        <f>IF(Games[[#This Row],[Team]]="","",((ABS(Games[[#This Row],[MOV]])+3)^0.8)/(7.5+0.006*ABS(Games[[#This Row],[PreGmRate]]-Games[[#This Row],[OppPreGmRate]]))*IF(Games[[#This Row],[OT]]=1,0.7,1))</f>
        <v>0.55746897876044343</v>
      </c>
      <c r="AI9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5">
        <f>IF(Games[[#This Row],[Team]]="","",Games[[#This Row],[K]]*IF(Games[[#This Row],[DivG]]=1,DivMult,1)*IF(Games[[#This Row],[ConfG]]=1,ConfMult,1)*Games[[#This Row],[POMult]])</f>
        <v>48.863100000000003</v>
      </c>
      <c r="AK95">
        <f>IF(Games[[#This Row],[Team]]="","",(Games[[#This Row],[Keff]]*Games[[#This Row],[MOVMult]])*(Games[[#This Row],[Result]]-Games[[#This Row],[ExpectedWin]]))</f>
        <v>-10.703210322733737</v>
      </c>
      <c r="AL95">
        <f>IF(Games[[#This Row],[Team]]="","",Games[[#This Row],[PreGmRate]]+Games[[#This Row],[RatingChange]])</f>
        <v>1554.8063793758763</v>
      </c>
      <c r="AM95">
        <f>IF(Games[[#This Row],[Team]]="","",IF(Games[[#This Row],[Type]]="R",IF(Games[[#This Row],[Result]]&gt;0.5,1,0),0))</f>
        <v>0</v>
      </c>
      <c r="AN95">
        <f>IF(Games[[#This Row],[Team]]="","",IF(Games[[#This Row],[Type]]="R",IF(Games[[#This Row],[Result]]&lt;0.5,1,0),0))</f>
        <v>1</v>
      </c>
      <c r="AO95">
        <f>IF(Games[[#This Row],[Team]]="","",IF(Games[[#This Row],[Type]]="R",IF(Games[[#This Row],[Result]]=0.5,1,0),0))</f>
        <v>0</v>
      </c>
    </row>
    <row r="96" spans="1:41" x14ac:dyDescent="0.35">
      <c r="A96" s="8">
        <v>35330</v>
      </c>
      <c r="B96">
        <v>1996</v>
      </c>
      <c r="C96" t="s">
        <v>197</v>
      </c>
      <c r="D96" t="s">
        <v>199</v>
      </c>
      <c r="E96" t="s">
        <v>130</v>
      </c>
      <c r="F96" t="s">
        <v>120</v>
      </c>
      <c r="G96" t="s">
        <v>200</v>
      </c>
      <c r="H96">
        <v>30</v>
      </c>
      <c r="I96">
        <v>21</v>
      </c>
      <c r="J96">
        <v>0</v>
      </c>
      <c r="K9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9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9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9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96">
        <f>IF(Games[[#This Row],[Team]]="","",IF(Games[[#This Row],[Conf]]=Games[[#This Row],[OppConf]],1,0))</f>
        <v>1</v>
      </c>
      <c r="P96">
        <f>IF(Games[[#This Row],[Team]]="","",IF(AND(Games[[#This Row],[Conf]]=Games[[#This Row],[OppConf]],Games[[#This Row],[Div]]=Games[[#This Row],[OppDiv]]),1,0))</f>
        <v>1</v>
      </c>
      <c r="Q96">
        <f>IF(Games[[#This Row],[Team]]="","",_xlfn.MINIFS(Games[Date],Games[Season],Games[[#This Row],[Season]]))</f>
        <v>35309</v>
      </c>
      <c r="R96">
        <f>IF(Games[[#This Row],[Team]]="","",INT((Games[[#This Row],[Date]]-(Games[[#This Row],[SeasonStart]]-MOD(WEEKDAY(Games[[#This Row],[SeasonStart]],2)-2,7)))/7)+1)</f>
        <v>4</v>
      </c>
      <c r="S96">
        <f>IF(Games[[#This Row],[Team]]="","",COUNTIFS(Games[Team],Games[[#This Row],[Team]],Games[Season],Games[[#This Row],[Season]],Games[Week],"&lt;="&amp;Games[[#This Row],[Week]]))</f>
        <v>4</v>
      </c>
      <c r="T96">
        <f>IF(Games[[#This Row],[Team]]="","",_xlfn.MAXIFS(Games[Week],Games[Team],Games[[#This Row],[Team]],Games[Season],Games[[#This Row],[Season]],Games[Week],"&lt;"&amp;Games[[#This Row],[Week]]))</f>
        <v>3</v>
      </c>
      <c r="U96">
        <f>IF(Games[[#This Row],[Team]]="","",_xlfn.MAXIFS(Games[Week],Games[Team],Games[[#This Row],[Opponent]],Games[Season],Games[[#This Row],[Season]],Games[Week],"&lt;"&amp;Games[[#This Row],[Week]]))</f>
        <v>3</v>
      </c>
      <c r="V9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9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9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9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1552.4391253156259</v>
      </c>
      <c r="Z9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1631.0306216353633</v>
      </c>
      <c r="AA9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0.49051521220057787</v>
      </c>
      <c r="AB96">
        <f>IF(Games[[#This Row],[Team]]="","",Games[[#This Row],[PointsFor]]-Games[[#This Row],[PointsAgainst]])</f>
        <v>9</v>
      </c>
      <c r="AC96">
        <f>IF(Games[[#This Row],[Team]]="","",IF(Games[[#This Row],[MOV]]&gt;0,1,IF(Games[[#This Row],[MOV]]=0,0.5,0)))</f>
        <v>1</v>
      </c>
      <c r="AD96">
        <f>IF(Games[[#This Row],[Team]]="","",--(OR(AND(Games[[#This Row],[ExpectedWin]]&gt;=0.5,Games[[#This Row],[Result]]=1),AND(Games[[#This Row],[ExpectedWin]]&lt;0.5,Games[[#This Row],[Result]]=0))))</f>
        <v>0</v>
      </c>
      <c r="AE96">
        <f>IF(Games[[#This Row],[Team]]="","",-(Games[[#This Row],[Result]]*LN(Games[[#This Row],[ExpectedWin]])+(1-Games[[#This Row],[Result]])*LN(1-Games[[#This Row],[ExpectedWin]])))</f>
        <v>0.71229898679692372</v>
      </c>
      <c r="AF96">
        <f>IF(Games[[#This Row],[Team]]="","",IF(Games[[#This Row],[Season]]&gt;=2021,17,16))</f>
        <v>16</v>
      </c>
      <c r="AG96">
        <f>IF(Games[[#This Row],[Team]]="","",KMax-(KMax-KFloor)*MIN(Games[[#This Row],[GamesPlayed]],Games[[#This Row],[SeasonLen]])/Games[[#This Row],[SeasonLen]])</f>
        <v>43.55</v>
      </c>
      <c r="AH96">
        <f>IF(Games[[#This Row],[Team]]="","",((ABS(Games[[#This Row],[MOV]])+3)^0.8)/(7.5+0.006*ABS(Games[[#This Row],[PreGmRate]]-Games[[#This Row],[OppPreGmRate]]))*IF(Games[[#This Row],[OT]]=1,0.7,1))</f>
        <v>0.91580345588302259</v>
      </c>
      <c r="AI9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6">
        <f>IF(Games[[#This Row],[Team]]="","",Games[[#This Row],[K]]*IF(Games[[#This Row],[DivG]]=1,DivMult,1)*IF(Games[[#This Row],[ConfG]]=1,ConfMult,1)*Games[[#This Row],[POMult]])</f>
        <v>48.863100000000003</v>
      </c>
      <c r="AK96">
        <f>IF(Games[[#This Row],[Team]]="","",(Games[[#This Row],[Keff]]*Games[[#This Row],[MOVMult]])*(Games[[#This Row],[Result]]-Games[[#This Row],[ExpectedWin]]))</f>
        <v>22.798932652407409</v>
      </c>
      <c r="AL96">
        <f>IF(Games[[#This Row],[Team]]="","",Games[[#This Row],[PreGmRate]]+Games[[#This Row],[RatingChange]])</f>
        <v>1575.2380579680332</v>
      </c>
      <c r="AM96">
        <f>IF(Games[[#This Row],[Team]]="","",IF(Games[[#This Row],[Type]]="R",IF(Games[[#This Row],[Result]]&gt;0.5,1,0),0))</f>
        <v>1</v>
      </c>
      <c r="AN96">
        <f>IF(Games[[#This Row],[Team]]="","",IF(Games[[#This Row],[Type]]="R",IF(Games[[#This Row],[Result]]&lt;0.5,1,0),0))</f>
        <v>0</v>
      </c>
      <c r="AO96">
        <f>IF(Games[[#This Row],[Team]]="","",IF(Games[[#This Row],[Type]]="R",IF(Games[[#This Row],[Result]]=0.5,1,0),0))</f>
        <v>0</v>
      </c>
    </row>
    <row r="97" spans="1:41" x14ac:dyDescent="0.35">
      <c r="A97" s="8">
        <v>35330</v>
      </c>
      <c r="B97">
        <v>1996</v>
      </c>
      <c r="C97" t="s">
        <v>197</v>
      </c>
      <c r="D97" t="s">
        <v>199</v>
      </c>
      <c r="E97" t="s">
        <v>120</v>
      </c>
      <c r="F97" t="s">
        <v>130</v>
      </c>
      <c r="G97" t="s">
        <v>201</v>
      </c>
      <c r="H97">
        <v>21</v>
      </c>
      <c r="I97">
        <v>30</v>
      </c>
      <c r="J97">
        <v>0</v>
      </c>
      <c r="K9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9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9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9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97">
        <f>IF(Games[[#This Row],[Team]]="","",IF(Games[[#This Row],[Conf]]=Games[[#This Row],[OppConf]],1,0))</f>
        <v>1</v>
      </c>
      <c r="P97">
        <f>IF(Games[[#This Row],[Team]]="","",IF(AND(Games[[#This Row],[Conf]]=Games[[#This Row],[OppConf]],Games[[#This Row],[Div]]=Games[[#This Row],[OppDiv]]),1,0))</f>
        <v>1</v>
      </c>
      <c r="Q97">
        <f>IF(Games[[#This Row],[Team]]="","",_xlfn.MINIFS(Games[Date],Games[Season],Games[[#This Row],[Season]]))</f>
        <v>35309</v>
      </c>
      <c r="R97">
        <f>IF(Games[[#This Row],[Team]]="","",INT((Games[[#This Row],[Date]]-(Games[[#This Row],[SeasonStart]]-MOD(WEEKDAY(Games[[#This Row],[SeasonStart]],2)-2,7)))/7)+1)</f>
        <v>4</v>
      </c>
      <c r="S97">
        <f>IF(Games[[#This Row],[Team]]="","",COUNTIFS(Games[Team],Games[[#This Row],[Team]],Games[Season],Games[[#This Row],[Season]],Games[Week],"&lt;="&amp;Games[[#This Row],[Week]]))</f>
        <v>4</v>
      </c>
      <c r="T97">
        <f>IF(Games[[#This Row],[Team]]="","",_xlfn.MAXIFS(Games[Week],Games[Team],Games[[#This Row],[Team]],Games[Season],Games[[#This Row],[Season]],Games[Week],"&lt;"&amp;Games[[#This Row],[Week]]))</f>
        <v>3</v>
      </c>
      <c r="U97">
        <f>IF(Games[[#This Row],[Team]]="","",_xlfn.MAXIFS(Games[Week],Games[Team],Games[[#This Row],[Opponent]],Games[Season],Games[[#This Row],[Season]],Games[Week],"&lt;"&amp;Games[[#This Row],[Week]]))</f>
        <v>3</v>
      </c>
      <c r="V9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9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9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9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1631.0306216353633</v>
      </c>
      <c r="Z9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1552.4391253156259</v>
      </c>
      <c r="AA9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0.50948478779942219</v>
      </c>
      <c r="AB97">
        <f>IF(Games[[#This Row],[Team]]="","",Games[[#This Row],[PointsFor]]-Games[[#This Row],[PointsAgainst]])</f>
        <v>-9</v>
      </c>
      <c r="AC97">
        <f>IF(Games[[#This Row],[Team]]="","",IF(Games[[#This Row],[MOV]]&gt;0,1,IF(Games[[#This Row],[MOV]]=0,0.5,0)))</f>
        <v>0</v>
      </c>
      <c r="AD97">
        <f>IF(Games[[#This Row],[Team]]="","",--(OR(AND(Games[[#This Row],[ExpectedWin]]&gt;=0.5,Games[[#This Row],[Result]]=1),AND(Games[[#This Row],[ExpectedWin]]&lt;0.5,Games[[#This Row],[Result]]=0))))</f>
        <v>0</v>
      </c>
      <c r="AE97">
        <f>IF(Games[[#This Row],[Team]]="","",-(Games[[#This Row],[Result]]*LN(Games[[#This Row],[ExpectedWin]])+(1-Games[[#This Row],[Result]])*LN(1-Games[[#This Row],[ExpectedWin]])))</f>
        <v>0.71229898679692383</v>
      </c>
      <c r="AF97">
        <f>IF(Games[[#This Row],[Team]]="","",IF(Games[[#This Row],[Season]]&gt;=2021,17,16))</f>
        <v>16</v>
      </c>
      <c r="AG97">
        <f>IF(Games[[#This Row],[Team]]="","",KMax-(KMax-KFloor)*MIN(Games[[#This Row],[GamesPlayed]],Games[[#This Row],[SeasonLen]])/Games[[#This Row],[SeasonLen]])</f>
        <v>43.55</v>
      </c>
      <c r="AH97">
        <f>IF(Games[[#This Row],[Team]]="","",((ABS(Games[[#This Row],[MOV]])+3)^0.8)/(7.5+0.006*ABS(Games[[#This Row],[PreGmRate]]-Games[[#This Row],[OppPreGmRate]]))*IF(Games[[#This Row],[OT]]=1,0.7,1))</f>
        <v>0.91580345588302259</v>
      </c>
      <c r="AI9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7">
        <f>IF(Games[[#This Row],[Team]]="","",Games[[#This Row],[K]]*IF(Games[[#This Row],[DivG]]=1,DivMult,1)*IF(Games[[#This Row],[ConfG]]=1,ConfMult,1)*Games[[#This Row],[POMult]])</f>
        <v>48.863100000000003</v>
      </c>
      <c r="AK97">
        <f>IF(Games[[#This Row],[Team]]="","",(Games[[#This Row],[Keff]]*Games[[#This Row],[MOVMult]])*(Games[[#This Row],[Result]]-Games[[#This Row],[ExpectedWin]]))</f>
        <v>-22.798932652407409</v>
      </c>
      <c r="AL97">
        <f>IF(Games[[#This Row],[Team]]="","",Games[[#This Row],[PreGmRate]]+Games[[#This Row],[RatingChange]])</f>
        <v>1608.231688982956</v>
      </c>
      <c r="AM97">
        <f>IF(Games[[#This Row],[Team]]="","",IF(Games[[#This Row],[Type]]="R",IF(Games[[#This Row],[Result]]&gt;0.5,1,0),0))</f>
        <v>0</v>
      </c>
      <c r="AN97">
        <f>IF(Games[[#This Row],[Team]]="","",IF(Games[[#This Row],[Type]]="R",IF(Games[[#This Row],[Result]]&lt;0.5,1,0),0))</f>
        <v>1</v>
      </c>
      <c r="AO97">
        <f>IF(Games[[#This Row],[Team]]="","",IF(Games[[#This Row],[Type]]="R",IF(Games[[#This Row],[Result]]=0.5,1,0),0))</f>
        <v>0</v>
      </c>
    </row>
    <row r="98" spans="1:41" x14ac:dyDescent="0.35">
      <c r="A98" s="8">
        <v>35330</v>
      </c>
      <c r="B98">
        <v>1996</v>
      </c>
      <c r="C98" t="s">
        <v>197</v>
      </c>
      <c r="D98" t="s">
        <v>199</v>
      </c>
      <c r="E98" t="s">
        <v>132</v>
      </c>
      <c r="F98" t="s">
        <v>124</v>
      </c>
      <c r="G98" t="s">
        <v>200</v>
      </c>
      <c r="H98">
        <v>28</v>
      </c>
      <c r="I98">
        <v>25</v>
      </c>
      <c r="J98">
        <v>1</v>
      </c>
      <c r="K9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9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9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9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98">
        <f>IF(Games[[#This Row],[Team]]="","",IF(Games[[#This Row],[Conf]]=Games[[#This Row],[OppConf]],1,0))</f>
        <v>1</v>
      </c>
      <c r="P98">
        <f>IF(Games[[#This Row],[Team]]="","",IF(AND(Games[[#This Row],[Conf]]=Games[[#This Row],[OppConf]],Games[[#This Row],[Div]]=Games[[#This Row],[OppDiv]]),1,0))</f>
        <v>0</v>
      </c>
      <c r="Q98">
        <f>IF(Games[[#This Row],[Team]]="","",_xlfn.MINIFS(Games[Date],Games[Season],Games[[#This Row],[Season]]))</f>
        <v>35309</v>
      </c>
      <c r="R98">
        <f>IF(Games[[#This Row],[Team]]="","",INT((Games[[#This Row],[Date]]-(Games[[#This Row],[SeasonStart]]-MOD(WEEKDAY(Games[[#This Row],[SeasonStart]],2)-2,7)))/7)+1)</f>
        <v>4</v>
      </c>
      <c r="S98">
        <f>IF(Games[[#This Row],[Team]]="","",COUNTIFS(Games[Team],Games[[#This Row],[Team]],Games[Season],Games[[#This Row],[Season]],Games[Week],"&lt;="&amp;Games[[#This Row],[Week]]))</f>
        <v>4</v>
      </c>
      <c r="T98">
        <f>IF(Games[[#This Row],[Team]]="","",_xlfn.MAXIFS(Games[Week],Games[Team],Games[[#This Row],[Team]],Games[Season],Games[[#This Row],[Season]],Games[Week],"&lt;"&amp;Games[[#This Row],[Week]]))</f>
        <v>3</v>
      </c>
      <c r="U98">
        <f>IF(Games[[#This Row],[Team]]="","",_xlfn.MAXIFS(Games[Week],Games[Team],Games[[#This Row],[Opponent]],Games[Season],Games[[#This Row],[Season]],Games[Week],"&lt;"&amp;Games[[#This Row],[Week]]))</f>
        <v>3</v>
      </c>
      <c r="V9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9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9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9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1495.0978558192289</v>
      </c>
      <c r="Z9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1475.0521392091705</v>
      </c>
      <c r="AA9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0.62944993085188461</v>
      </c>
      <c r="AB98">
        <f>IF(Games[[#This Row],[Team]]="","",Games[[#This Row],[PointsFor]]-Games[[#This Row],[PointsAgainst]])</f>
        <v>3</v>
      </c>
      <c r="AC98">
        <f>IF(Games[[#This Row],[Team]]="","",IF(Games[[#This Row],[MOV]]&gt;0,1,IF(Games[[#This Row],[MOV]]=0,0.5,0)))</f>
        <v>1</v>
      </c>
      <c r="AD98">
        <f>IF(Games[[#This Row],[Team]]="","",--(OR(AND(Games[[#This Row],[ExpectedWin]]&gt;=0.5,Games[[#This Row],[Result]]=1),AND(Games[[#This Row],[ExpectedWin]]&lt;0.5,Games[[#This Row],[Result]]=0))))</f>
        <v>1</v>
      </c>
      <c r="AE98">
        <f>IF(Games[[#This Row],[Team]]="","",-(Games[[#This Row],[Result]]*LN(Games[[#This Row],[ExpectedWin]])+(1-Games[[#This Row],[Result]])*LN(1-Games[[#This Row],[ExpectedWin]])))</f>
        <v>0.46290896662469311</v>
      </c>
      <c r="AF98">
        <f>IF(Games[[#This Row],[Team]]="","",IF(Games[[#This Row],[Season]]&gt;=2021,17,16))</f>
        <v>16</v>
      </c>
      <c r="AG98">
        <f>IF(Games[[#This Row],[Team]]="","",KMax-(KMax-KFloor)*MIN(Games[[#This Row],[GamesPlayed]],Games[[#This Row],[SeasonLen]])/Games[[#This Row],[SeasonLen]])</f>
        <v>43.55</v>
      </c>
      <c r="AH98">
        <f>IF(Games[[#This Row],[Team]]="","",((ABS(Games[[#This Row],[MOV]])+3)^0.8)/(7.5+0.006*ABS(Games[[#This Row],[PreGmRate]]-Games[[#This Row],[OppPreGmRate]]))*IF(Games[[#This Row],[OT]]=1,0.7,1))</f>
        <v>0.38516643672150419</v>
      </c>
      <c r="AI9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8">
        <f>IF(Games[[#This Row],[Team]]="","",Games[[#This Row],[K]]*IF(Games[[#This Row],[DivG]]=1,DivMult,1)*IF(Games[[#This Row],[ConfG]]=1,ConfMult,1)*Games[[#This Row],[POMult]])</f>
        <v>44.420999999999999</v>
      </c>
      <c r="AK98">
        <f>IF(Games[[#This Row],[Team]]="","",(Games[[#This Row],[Keff]]*Games[[#This Row],[MOVMult]])*(Games[[#This Row],[Result]]-Games[[#This Row],[ExpectedWin]]))</f>
        <v>6.3399183618194588</v>
      </c>
      <c r="AL98">
        <f>IF(Games[[#This Row],[Team]]="","",Games[[#This Row],[PreGmRate]]+Games[[#This Row],[RatingChange]])</f>
        <v>1501.4377741810483</v>
      </c>
      <c r="AM98">
        <f>IF(Games[[#This Row],[Team]]="","",IF(Games[[#This Row],[Type]]="R",IF(Games[[#This Row],[Result]]&gt;0.5,1,0),0))</f>
        <v>1</v>
      </c>
      <c r="AN98">
        <f>IF(Games[[#This Row],[Team]]="","",IF(Games[[#This Row],[Type]]="R",IF(Games[[#This Row],[Result]]&lt;0.5,1,0),0))</f>
        <v>0</v>
      </c>
      <c r="AO98">
        <f>IF(Games[[#This Row],[Team]]="","",IF(Games[[#This Row],[Type]]="R",IF(Games[[#This Row],[Result]]=0.5,1,0),0))</f>
        <v>0</v>
      </c>
    </row>
    <row r="99" spans="1:41" x14ac:dyDescent="0.35">
      <c r="A99" s="8">
        <v>35330</v>
      </c>
      <c r="B99">
        <v>1996</v>
      </c>
      <c r="C99" t="s">
        <v>197</v>
      </c>
      <c r="D99" t="s">
        <v>199</v>
      </c>
      <c r="E99" t="s">
        <v>124</v>
      </c>
      <c r="F99" t="s">
        <v>132</v>
      </c>
      <c r="G99" t="s">
        <v>201</v>
      </c>
      <c r="H99">
        <v>25</v>
      </c>
      <c r="I99">
        <v>28</v>
      </c>
      <c r="J99">
        <v>1</v>
      </c>
      <c r="K9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9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9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9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99">
        <f>IF(Games[[#This Row],[Team]]="","",IF(Games[[#This Row],[Conf]]=Games[[#This Row],[OppConf]],1,0))</f>
        <v>1</v>
      </c>
      <c r="P99">
        <f>IF(Games[[#This Row],[Team]]="","",IF(AND(Games[[#This Row],[Conf]]=Games[[#This Row],[OppConf]],Games[[#This Row],[Div]]=Games[[#This Row],[OppDiv]]),1,0))</f>
        <v>0</v>
      </c>
      <c r="Q99">
        <f>IF(Games[[#This Row],[Team]]="","",_xlfn.MINIFS(Games[Date],Games[Season],Games[[#This Row],[Season]]))</f>
        <v>35309</v>
      </c>
      <c r="R99">
        <f>IF(Games[[#This Row],[Team]]="","",INT((Games[[#This Row],[Date]]-(Games[[#This Row],[SeasonStart]]-MOD(WEEKDAY(Games[[#This Row],[SeasonStart]],2)-2,7)))/7)+1)</f>
        <v>4</v>
      </c>
      <c r="S99">
        <f>IF(Games[[#This Row],[Team]]="","",COUNTIFS(Games[Team],Games[[#This Row],[Team]],Games[Season],Games[[#This Row],[Season]],Games[Week],"&lt;="&amp;Games[[#This Row],[Week]]))</f>
        <v>4</v>
      </c>
      <c r="T99">
        <f>IF(Games[[#This Row],[Team]]="","",_xlfn.MAXIFS(Games[Week],Games[Team],Games[[#This Row],[Team]],Games[Season],Games[[#This Row],[Season]],Games[Week],"&lt;"&amp;Games[[#This Row],[Week]]))</f>
        <v>3</v>
      </c>
      <c r="U99">
        <f>IF(Games[[#This Row],[Team]]="","",_xlfn.MAXIFS(Games[Week],Games[Team],Games[[#This Row],[Opponent]],Games[Season],Games[[#This Row],[Season]],Games[Week],"&lt;"&amp;Games[[#This Row],[Week]]))</f>
        <v>3</v>
      </c>
      <c r="V9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9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9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9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1475.0521392091705</v>
      </c>
      <c r="Z9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1495.0978558192289</v>
      </c>
      <c r="AA9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0.37055006914811539</v>
      </c>
      <c r="AB99">
        <f>IF(Games[[#This Row],[Team]]="","",Games[[#This Row],[PointsFor]]-Games[[#This Row],[PointsAgainst]])</f>
        <v>-3</v>
      </c>
      <c r="AC99">
        <f>IF(Games[[#This Row],[Team]]="","",IF(Games[[#This Row],[MOV]]&gt;0,1,IF(Games[[#This Row],[MOV]]=0,0.5,0)))</f>
        <v>0</v>
      </c>
      <c r="AD99">
        <f>IF(Games[[#This Row],[Team]]="","",--(OR(AND(Games[[#This Row],[ExpectedWin]]&gt;=0.5,Games[[#This Row],[Result]]=1),AND(Games[[#This Row],[ExpectedWin]]&lt;0.5,Games[[#This Row],[Result]]=0))))</f>
        <v>1</v>
      </c>
      <c r="AE99">
        <f>IF(Games[[#This Row],[Team]]="","",-(Games[[#This Row],[Result]]*LN(Games[[#This Row],[ExpectedWin]])+(1-Games[[#This Row],[Result]])*LN(1-Games[[#This Row],[ExpectedWin]])))</f>
        <v>0.46290896662469311</v>
      </c>
      <c r="AF99">
        <f>IF(Games[[#This Row],[Team]]="","",IF(Games[[#This Row],[Season]]&gt;=2021,17,16))</f>
        <v>16</v>
      </c>
      <c r="AG99">
        <f>IF(Games[[#This Row],[Team]]="","",KMax-(KMax-KFloor)*MIN(Games[[#This Row],[GamesPlayed]],Games[[#This Row],[SeasonLen]])/Games[[#This Row],[SeasonLen]])</f>
        <v>43.55</v>
      </c>
      <c r="AH99">
        <f>IF(Games[[#This Row],[Team]]="","",((ABS(Games[[#This Row],[MOV]])+3)^0.8)/(7.5+0.006*ABS(Games[[#This Row],[PreGmRate]]-Games[[#This Row],[OppPreGmRate]]))*IF(Games[[#This Row],[OT]]=1,0.7,1))</f>
        <v>0.38516643672150419</v>
      </c>
      <c r="AI9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9">
        <f>IF(Games[[#This Row],[Team]]="","",Games[[#This Row],[K]]*IF(Games[[#This Row],[DivG]]=1,DivMult,1)*IF(Games[[#This Row],[ConfG]]=1,ConfMult,1)*Games[[#This Row],[POMult]])</f>
        <v>44.420999999999999</v>
      </c>
      <c r="AK99">
        <f>IF(Games[[#This Row],[Team]]="","",(Games[[#This Row],[Keff]]*Games[[#This Row],[MOVMult]])*(Games[[#This Row],[Result]]-Games[[#This Row],[ExpectedWin]]))</f>
        <v>-6.3399183618194588</v>
      </c>
      <c r="AL99">
        <f>IF(Games[[#This Row],[Team]]="","",Games[[#This Row],[PreGmRate]]+Games[[#This Row],[RatingChange]])</f>
        <v>1468.7122208473511</v>
      </c>
      <c r="AM99">
        <f>IF(Games[[#This Row],[Team]]="","",IF(Games[[#This Row],[Type]]="R",IF(Games[[#This Row],[Result]]&gt;0.5,1,0),0))</f>
        <v>0</v>
      </c>
      <c r="AN99">
        <f>IF(Games[[#This Row],[Team]]="","",IF(Games[[#This Row],[Type]]="R",IF(Games[[#This Row],[Result]]&lt;0.5,1,0),0))</f>
        <v>1</v>
      </c>
      <c r="AO99">
        <f>IF(Games[[#This Row],[Team]]="","",IF(Games[[#This Row],[Type]]="R",IF(Games[[#This Row],[Result]]=0.5,1,0),0))</f>
        <v>0</v>
      </c>
    </row>
    <row r="100" spans="1:41" x14ac:dyDescent="0.35">
      <c r="A100" s="8">
        <v>35330</v>
      </c>
      <c r="B100">
        <v>1996</v>
      </c>
      <c r="C100" t="s">
        <v>197</v>
      </c>
      <c r="D100" t="s">
        <v>199</v>
      </c>
      <c r="E100" t="s">
        <v>136</v>
      </c>
      <c r="F100" t="s">
        <v>138</v>
      </c>
      <c r="G100" t="s">
        <v>201</v>
      </c>
      <c r="H100">
        <v>13</v>
      </c>
      <c r="I100">
        <v>6</v>
      </c>
      <c r="J100">
        <v>0</v>
      </c>
      <c r="K10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0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0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0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00">
        <f>IF(Games[[#This Row],[Team]]="","",IF(Games[[#This Row],[Conf]]=Games[[#This Row],[OppConf]],1,0))</f>
        <v>0</v>
      </c>
      <c r="P100">
        <f>IF(Games[[#This Row],[Team]]="","",IF(AND(Games[[#This Row],[Conf]]=Games[[#This Row],[OppConf]],Games[[#This Row],[Div]]=Games[[#This Row],[OppDiv]]),1,0))</f>
        <v>0</v>
      </c>
      <c r="Q100">
        <f>IF(Games[[#This Row],[Team]]="","",_xlfn.MINIFS(Games[Date],Games[Season],Games[[#This Row],[Season]]))</f>
        <v>35309</v>
      </c>
      <c r="R100">
        <f>IF(Games[[#This Row],[Team]]="","",INT((Games[[#This Row],[Date]]-(Games[[#This Row],[SeasonStart]]-MOD(WEEKDAY(Games[[#This Row],[SeasonStart]],2)-2,7)))/7)+1)</f>
        <v>4</v>
      </c>
      <c r="S100">
        <f>IF(Games[[#This Row],[Team]]="","",COUNTIFS(Games[Team],Games[[#This Row],[Team]],Games[Season],Games[[#This Row],[Season]],Games[Week],"&lt;="&amp;Games[[#This Row],[Week]]))</f>
        <v>4</v>
      </c>
      <c r="T100">
        <f>IF(Games[[#This Row],[Team]]="","",_xlfn.MAXIFS(Games[Week],Games[Team],Games[[#This Row],[Team]],Games[Season],Games[[#This Row],[Season]],Games[Week],"&lt;"&amp;Games[[#This Row],[Week]]))</f>
        <v>3</v>
      </c>
      <c r="U100">
        <f>IF(Games[[#This Row],[Team]]="","",_xlfn.MAXIFS(Games[Week],Games[Team],Games[[#This Row],[Opponent]],Games[Season],Games[[#This Row],[Season]],Games[Week],"&lt;"&amp;Games[[#This Row],[Week]]))</f>
        <v>3</v>
      </c>
      <c r="V10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0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0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0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1403.8803034297459</v>
      </c>
      <c r="Z10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1422.005908675937</v>
      </c>
      <c r="AA10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0.37313178009963338</v>
      </c>
      <c r="AB100">
        <f>IF(Games[[#This Row],[Team]]="","",Games[[#This Row],[PointsFor]]-Games[[#This Row],[PointsAgainst]])</f>
        <v>7</v>
      </c>
      <c r="AC100">
        <f>IF(Games[[#This Row],[Team]]="","",IF(Games[[#This Row],[MOV]]&gt;0,1,IF(Games[[#This Row],[MOV]]=0,0.5,0)))</f>
        <v>1</v>
      </c>
      <c r="AD100">
        <f>IF(Games[[#This Row],[Team]]="","",--(OR(AND(Games[[#This Row],[ExpectedWin]]&gt;=0.5,Games[[#This Row],[Result]]=1),AND(Games[[#This Row],[ExpectedWin]]&lt;0.5,Games[[#This Row],[Result]]=0))))</f>
        <v>0</v>
      </c>
      <c r="AE100">
        <f>IF(Games[[#This Row],[Team]]="","",-(Games[[#This Row],[Result]]*LN(Games[[#This Row],[ExpectedWin]])+(1-Games[[#This Row],[Result]])*LN(1-Games[[#This Row],[ExpectedWin]])))</f>
        <v>0.98582362387906786</v>
      </c>
      <c r="AF100">
        <f>IF(Games[[#This Row],[Team]]="","",IF(Games[[#This Row],[Season]]&gt;=2021,17,16))</f>
        <v>16</v>
      </c>
      <c r="AG100">
        <f>IF(Games[[#This Row],[Team]]="","",KMax-(KMax-KFloor)*MIN(Games[[#This Row],[GamesPlayed]],Games[[#This Row],[SeasonLen]])/Games[[#This Row],[SeasonLen]])</f>
        <v>43.55</v>
      </c>
      <c r="AH100">
        <f>IF(Games[[#This Row],[Team]]="","",((ABS(Games[[#This Row],[MOV]])+3)^0.8)/(7.5+0.006*ABS(Games[[#This Row],[PreGmRate]]-Games[[#This Row],[OppPreGmRate]]))*IF(Games[[#This Row],[OT]]=1,0.7,1))</f>
        <v>0.82925190516084668</v>
      </c>
      <c r="AI10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0">
        <f>IF(Games[[#This Row],[Team]]="","",Games[[#This Row],[K]]*IF(Games[[#This Row],[DivG]]=1,DivMult,1)*IF(Games[[#This Row],[ConfG]]=1,ConfMult,1)*Games[[#This Row],[POMult]])</f>
        <v>43.55</v>
      </c>
      <c r="AK100">
        <f>IF(Games[[#This Row],[Team]]="","",(Games[[#This Row],[Keff]]*Games[[#This Row],[MOVMult]])*(Games[[#This Row],[Result]]-Games[[#This Row],[ExpectedWin]]))</f>
        <v>22.638669038498648</v>
      </c>
      <c r="AL100">
        <f>IF(Games[[#This Row],[Team]]="","",Games[[#This Row],[PreGmRate]]+Games[[#This Row],[RatingChange]])</f>
        <v>1426.5189724682446</v>
      </c>
      <c r="AM100">
        <f>IF(Games[[#This Row],[Team]]="","",IF(Games[[#This Row],[Type]]="R",IF(Games[[#This Row],[Result]]&gt;0.5,1,0),0))</f>
        <v>1</v>
      </c>
      <c r="AN100">
        <f>IF(Games[[#This Row],[Team]]="","",IF(Games[[#This Row],[Type]]="R",IF(Games[[#This Row],[Result]]&lt;0.5,1,0),0))</f>
        <v>0</v>
      </c>
      <c r="AO100">
        <f>IF(Games[[#This Row],[Team]]="","",IF(Games[[#This Row],[Type]]="R",IF(Games[[#This Row],[Result]]=0.5,1,0),0))</f>
        <v>0</v>
      </c>
    </row>
    <row r="101" spans="1:41" x14ac:dyDescent="0.35">
      <c r="A101" s="8">
        <v>35330</v>
      </c>
      <c r="B101">
        <v>1996</v>
      </c>
      <c r="C101" t="s">
        <v>197</v>
      </c>
      <c r="D101" t="s">
        <v>199</v>
      </c>
      <c r="E101" t="s">
        <v>138</v>
      </c>
      <c r="F101" t="s">
        <v>136</v>
      </c>
      <c r="G101" t="s">
        <v>200</v>
      </c>
      <c r="H101">
        <v>6</v>
      </c>
      <c r="I101">
        <v>13</v>
      </c>
      <c r="J101">
        <v>0</v>
      </c>
      <c r="K10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0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0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0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01">
        <f>IF(Games[[#This Row],[Team]]="","",IF(Games[[#This Row],[Conf]]=Games[[#This Row],[OppConf]],1,0))</f>
        <v>0</v>
      </c>
      <c r="P101">
        <f>IF(Games[[#This Row],[Team]]="","",IF(AND(Games[[#This Row],[Conf]]=Games[[#This Row],[OppConf]],Games[[#This Row],[Div]]=Games[[#This Row],[OppDiv]]),1,0))</f>
        <v>0</v>
      </c>
      <c r="Q101">
        <f>IF(Games[[#This Row],[Team]]="","",_xlfn.MINIFS(Games[Date],Games[Season],Games[[#This Row],[Season]]))</f>
        <v>35309</v>
      </c>
      <c r="R101">
        <f>IF(Games[[#This Row],[Team]]="","",INT((Games[[#This Row],[Date]]-(Games[[#This Row],[SeasonStart]]-MOD(WEEKDAY(Games[[#This Row],[SeasonStart]],2)-2,7)))/7)+1)</f>
        <v>4</v>
      </c>
      <c r="S101">
        <f>IF(Games[[#This Row],[Team]]="","",COUNTIFS(Games[Team],Games[[#This Row],[Team]],Games[Season],Games[[#This Row],[Season]],Games[Week],"&lt;="&amp;Games[[#This Row],[Week]]))</f>
        <v>4</v>
      </c>
      <c r="T101">
        <f>IF(Games[[#This Row],[Team]]="","",_xlfn.MAXIFS(Games[Week],Games[Team],Games[[#This Row],[Team]],Games[Season],Games[[#This Row],[Season]],Games[Week],"&lt;"&amp;Games[[#This Row],[Week]]))</f>
        <v>3</v>
      </c>
      <c r="U101">
        <f>IF(Games[[#This Row],[Team]]="","",_xlfn.MAXIFS(Games[Week],Games[Team],Games[[#This Row],[Opponent]],Games[Season],Games[[#This Row],[Season]],Games[Week],"&lt;"&amp;Games[[#This Row],[Week]]))</f>
        <v>3</v>
      </c>
      <c r="V10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0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0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0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1422.005908675937</v>
      </c>
      <c r="Z10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1403.8803034297459</v>
      </c>
      <c r="AA10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0.62686821990036667</v>
      </c>
      <c r="AB101">
        <f>IF(Games[[#This Row],[Team]]="","",Games[[#This Row],[PointsFor]]-Games[[#This Row],[PointsAgainst]])</f>
        <v>-7</v>
      </c>
      <c r="AC101">
        <f>IF(Games[[#This Row],[Team]]="","",IF(Games[[#This Row],[MOV]]&gt;0,1,IF(Games[[#This Row],[MOV]]=0,0.5,0)))</f>
        <v>0</v>
      </c>
      <c r="AD101">
        <f>IF(Games[[#This Row],[Team]]="","",--(OR(AND(Games[[#This Row],[ExpectedWin]]&gt;=0.5,Games[[#This Row],[Result]]=1),AND(Games[[#This Row],[ExpectedWin]]&lt;0.5,Games[[#This Row],[Result]]=0))))</f>
        <v>0</v>
      </c>
      <c r="AE101">
        <f>IF(Games[[#This Row],[Team]]="","",-(Games[[#This Row],[Result]]*LN(Games[[#This Row],[ExpectedWin]])+(1-Games[[#This Row],[Result]])*LN(1-Games[[#This Row],[ExpectedWin]])))</f>
        <v>0.98582362387906797</v>
      </c>
      <c r="AF101">
        <f>IF(Games[[#This Row],[Team]]="","",IF(Games[[#This Row],[Season]]&gt;=2021,17,16))</f>
        <v>16</v>
      </c>
      <c r="AG101">
        <f>IF(Games[[#This Row],[Team]]="","",KMax-(KMax-KFloor)*MIN(Games[[#This Row],[GamesPlayed]],Games[[#This Row],[SeasonLen]])/Games[[#This Row],[SeasonLen]])</f>
        <v>43.55</v>
      </c>
      <c r="AH101">
        <f>IF(Games[[#This Row],[Team]]="","",((ABS(Games[[#This Row],[MOV]])+3)^0.8)/(7.5+0.006*ABS(Games[[#This Row],[PreGmRate]]-Games[[#This Row],[OppPreGmRate]]))*IF(Games[[#This Row],[OT]]=1,0.7,1))</f>
        <v>0.82925190516084668</v>
      </c>
      <c r="AI10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1">
        <f>IF(Games[[#This Row],[Team]]="","",Games[[#This Row],[K]]*IF(Games[[#This Row],[DivG]]=1,DivMult,1)*IF(Games[[#This Row],[ConfG]]=1,ConfMult,1)*Games[[#This Row],[POMult]])</f>
        <v>43.55</v>
      </c>
      <c r="AK101">
        <f>IF(Games[[#This Row],[Team]]="","",(Games[[#This Row],[Keff]]*Games[[#This Row],[MOVMult]])*(Games[[#This Row],[Result]]-Games[[#This Row],[ExpectedWin]]))</f>
        <v>-22.638669038498652</v>
      </c>
      <c r="AL101">
        <f>IF(Games[[#This Row],[Team]]="","",Games[[#This Row],[PreGmRate]]+Games[[#This Row],[RatingChange]])</f>
        <v>1399.3672396374384</v>
      </c>
      <c r="AM101">
        <f>IF(Games[[#This Row],[Team]]="","",IF(Games[[#This Row],[Type]]="R",IF(Games[[#This Row],[Result]]&gt;0.5,1,0),0))</f>
        <v>0</v>
      </c>
      <c r="AN101">
        <f>IF(Games[[#This Row],[Team]]="","",IF(Games[[#This Row],[Type]]="R",IF(Games[[#This Row],[Result]]&lt;0.5,1,0),0))</f>
        <v>1</v>
      </c>
      <c r="AO101">
        <f>IF(Games[[#This Row],[Team]]="","",IF(Games[[#This Row],[Type]]="R",IF(Games[[#This Row],[Result]]=0.5,1,0),0))</f>
        <v>0</v>
      </c>
    </row>
    <row r="102" spans="1:41" x14ac:dyDescent="0.35">
      <c r="A102" s="8">
        <v>35330</v>
      </c>
      <c r="B102">
        <v>1996</v>
      </c>
      <c r="C102" t="s">
        <v>197</v>
      </c>
      <c r="D102" t="s">
        <v>199</v>
      </c>
      <c r="E102" t="s">
        <v>106</v>
      </c>
      <c r="F102" t="s">
        <v>114</v>
      </c>
      <c r="G102" t="s">
        <v>200</v>
      </c>
      <c r="H102">
        <v>10</v>
      </c>
      <c r="I102">
        <v>7</v>
      </c>
      <c r="J102">
        <v>0</v>
      </c>
      <c r="K10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0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0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0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02">
        <f>IF(Games[[#This Row],[Team]]="","",IF(Games[[#This Row],[Conf]]=Games[[#This Row],[OppConf]],1,0))</f>
        <v>0</v>
      </c>
      <c r="P102">
        <f>IF(Games[[#This Row],[Team]]="","",IF(AND(Games[[#This Row],[Conf]]=Games[[#This Row],[OppConf]],Games[[#This Row],[Div]]=Games[[#This Row],[OppDiv]]),1,0))</f>
        <v>0</v>
      </c>
      <c r="Q102">
        <f>IF(Games[[#This Row],[Team]]="","",_xlfn.MINIFS(Games[Date],Games[Season],Games[[#This Row],[Season]]))</f>
        <v>35309</v>
      </c>
      <c r="R102">
        <f>IF(Games[[#This Row],[Team]]="","",INT((Games[[#This Row],[Date]]-(Games[[#This Row],[SeasonStart]]-MOD(WEEKDAY(Games[[#This Row],[SeasonStart]],2)-2,7)))/7)+1)</f>
        <v>4</v>
      </c>
      <c r="S102">
        <f>IF(Games[[#This Row],[Team]]="","",COUNTIFS(Games[Team],Games[[#This Row],[Team]],Games[Season],Games[[#This Row],[Season]],Games[Week],"&lt;="&amp;Games[[#This Row],[Week]]))</f>
        <v>4</v>
      </c>
      <c r="T102">
        <f>IF(Games[[#This Row],[Team]]="","",_xlfn.MAXIFS(Games[Week],Games[Team],Games[[#This Row],[Team]],Games[Season],Games[[#This Row],[Season]],Games[Week],"&lt;"&amp;Games[[#This Row],[Week]]))</f>
        <v>3</v>
      </c>
      <c r="U102">
        <f>IF(Games[[#This Row],[Team]]="","",_xlfn.MAXIFS(Games[Week],Games[Team],Games[[#This Row],[Opponent]],Games[Season],Games[[#This Row],[Season]],Games[Week],"&lt;"&amp;Games[[#This Row],[Week]]))</f>
        <v>3</v>
      </c>
      <c r="V10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10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0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10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1495.9756131991526</v>
      </c>
      <c r="Z10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1507.356102355561</v>
      </c>
      <c r="AA10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0.57796258869241945</v>
      </c>
      <c r="AB102">
        <f>IF(Games[[#This Row],[Team]]="","",Games[[#This Row],[PointsFor]]-Games[[#This Row],[PointsAgainst]])</f>
        <v>3</v>
      </c>
      <c r="AC102">
        <f>IF(Games[[#This Row],[Team]]="","",IF(Games[[#This Row],[MOV]]&gt;0,1,IF(Games[[#This Row],[MOV]]=0,0.5,0)))</f>
        <v>1</v>
      </c>
      <c r="AD102">
        <f>IF(Games[[#This Row],[Team]]="","",--(OR(AND(Games[[#This Row],[ExpectedWin]]&gt;=0.5,Games[[#This Row],[Result]]=1),AND(Games[[#This Row],[ExpectedWin]]&lt;0.5,Games[[#This Row],[Result]]=0))))</f>
        <v>1</v>
      </c>
      <c r="AE102">
        <f>IF(Games[[#This Row],[Team]]="","",-(Games[[#This Row],[Result]]*LN(Games[[#This Row],[ExpectedWin]])+(1-Games[[#This Row],[Result]])*LN(1-Games[[#This Row],[ExpectedWin]])))</f>
        <v>0.54824613785018272</v>
      </c>
      <c r="AF102">
        <f>IF(Games[[#This Row],[Team]]="","",IF(Games[[#This Row],[Season]]&gt;=2021,17,16))</f>
        <v>16</v>
      </c>
      <c r="AG102">
        <f>IF(Games[[#This Row],[Team]]="","",KMax-(KMax-KFloor)*MIN(Games[[#This Row],[GamesPlayed]],Games[[#This Row],[SeasonLen]])/Games[[#This Row],[SeasonLen]])</f>
        <v>43.55</v>
      </c>
      <c r="AH102">
        <f>IF(Games[[#This Row],[Team]]="","",((ABS(Games[[#This Row],[MOV]])+3)^0.8)/(7.5+0.006*ABS(Games[[#This Row],[PreGmRate]]-Games[[#This Row],[OppPreGmRate]]))*IF(Games[[#This Row],[OT]]=1,0.7,1))</f>
        <v>0.55401770106571413</v>
      </c>
      <c r="AI10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2">
        <f>IF(Games[[#This Row],[Team]]="","",Games[[#This Row],[K]]*IF(Games[[#This Row],[DivG]]=1,DivMult,1)*IF(Games[[#This Row],[ConfG]]=1,ConfMult,1)*Games[[#This Row],[POMult]])</f>
        <v>43.55</v>
      </c>
      <c r="AK102">
        <f>IF(Games[[#This Row],[Team]]="","",(Games[[#This Row],[Keff]]*Games[[#This Row],[MOVMult]])*(Games[[#This Row],[Result]]-Games[[#This Row],[ExpectedWin]]))</f>
        <v>10.182695352190086</v>
      </c>
      <c r="AL102">
        <f>IF(Games[[#This Row],[Team]]="","",Games[[#This Row],[PreGmRate]]+Games[[#This Row],[RatingChange]])</f>
        <v>1506.1583085513428</v>
      </c>
      <c r="AM102">
        <f>IF(Games[[#This Row],[Team]]="","",IF(Games[[#This Row],[Type]]="R",IF(Games[[#This Row],[Result]]&gt;0.5,1,0),0))</f>
        <v>1</v>
      </c>
      <c r="AN102">
        <f>IF(Games[[#This Row],[Team]]="","",IF(Games[[#This Row],[Type]]="R",IF(Games[[#This Row],[Result]]&lt;0.5,1,0),0))</f>
        <v>0</v>
      </c>
      <c r="AO102">
        <f>IF(Games[[#This Row],[Team]]="","",IF(Games[[#This Row],[Type]]="R",IF(Games[[#This Row],[Result]]=0.5,1,0),0))</f>
        <v>0</v>
      </c>
    </row>
    <row r="103" spans="1:41" x14ac:dyDescent="0.35">
      <c r="A103" s="8">
        <v>35330</v>
      </c>
      <c r="B103">
        <v>1996</v>
      </c>
      <c r="C103" t="s">
        <v>197</v>
      </c>
      <c r="D103" t="s">
        <v>199</v>
      </c>
      <c r="E103" t="s">
        <v>114</v>
      </c>
      <c r="F103" t="s">
        <v>106</v>
      </c>
      <c r="G103" t="s">
        <v>201</v>
      </c>
      <c r="H103">
        <v>7</v>
      </c>
      <c r="I103">
        <v>10</v>
      </c>
      <c r="J103">
        <v>0</v>
      </c>
      <c r="K10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0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0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0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03">
        <f>IF(Games[[#This Row],[Team]]="","",IF(Games[[#This Row],[Conf]]=Games[[#This Row],[OppConf]],1,0))</f>
        <v>0</v>
      </c>
      <c r="P103">
        <f>IF(Games[[#This Row],[Team]]="","",IF(AND(Games[[#This Row],[Conf]]=Games[[#This Row],[OppConf]],Games[[#This Row],[Div]]=Games[[#This Row],[OppDiv]]),1,0))</f>
        <v>0</v>
      </c>
      <c r="Q103">
        <f>IF(Games[[#This Row],[Team]]="","",_xlfn.MINIFS(Games[Date],Games[Season],Games[[#This Row],[Season]]))</f>
        <v>35309</v>
      </c>
      <c r="R103">
        <f>IF(Games[[#This Row],[Team]]="","",INT((Games[[#This Row],[Date]]-(Games[[#This Row],[SeasonStart]]-MOD(WEEKDAY(Games[[#This Row],[SeasonStart]],2)-2,7)))/7)+1)</f>
        <v>4</v>
      </c>
      <c r="S103">
        <f>IF(Games[[#This Row],[Team]]="","",COUNTIFS(Games[Team],Games[[#This Row],[Team]],Games[Season],Games[[#This Row],[Season]],Games[Week],"&lt;="&amp;Games[[#This Row],[Week]]))</f>
        <v>4</v>
      </c>
      <c r="T103">
        <f>IF(Games[[#This Row],[Team]]="","",_xlfn.MAXIFS(Games[Week],Games[Team],Games[[#This Row],[Team]],Games[Season],Games[[#This Row],[Season]],Games[Week],"&lt;"&amp;Games[[#This Row],[Week]]))</f>
        <v>3</v>
      </c>
      <c r="U103">
        <f>IF(Games[[#This Row],[Team]]="","",_xlfn.MAXIFS(Games[Week],Games[Team],Games[[#This Row],[Opponent]],Games[Season],Games[[#This Row],[Season]],Games[Week],"&lt;"&amp;Games[[#This Row],[Week]]))</f>
        <v>3</v>
      </c>
      <c r="V10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0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10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10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1507.356102355561</v>
      </c>
      <c r="Z10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1495.9756131991526</v>
      </c>
      <c r="AA10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0.42203741130758055</v>
      </c>
      <c r="AB103">
        <f>IF(Games[[#This Row],[Team]]="","",Games[[#This Row],[PointsFor]]-Games[[#This Row],[PointsAgainst]])</f>
        <v>-3</v>
      </c>
      <c r="AC103">
        <f>IF(Games[[#This Row],[Team]]="","",IF(Games[[#This Row],[MOV]]&gt;0,1,IF(Games[[#This Row],[MOV]]=0,0.5,0)))</f>
        <v>0</v>
      </c>
      <c r="AD103">
        <f>IF(Games[[#This Row],[Team]]="","",--(OR(AND(Games[[#This Row],[ExpectedWin]]&gt;=0.5,Games[[#This Row],[Result]]=1),AND(Games[[#This Row],[ExpectedWin]]&lt;0.5,Games[[#This Row],[Result]]=0))))</f>
        <v>1</v>
      </c>
      <c r="AE103">
        <f>IF(Games[[#This Row],[Team]]="","",-(Games[[#This Row],[Result]]*LN(Games[[#This Row],[ExpectedWin]])+(1-Games[[#This Row],[Result]])*LN(1-Games[[#This Row],[ExpectedWin]])))</f>
        <v>0.54824613785018272</v>
      </c>
      <c r="AF103">
        <f>IF(Games[[#This Row],[Team]]="","",IF(Games[[#This Row],[Season]]&gt;=2021,17,16))</f>
        <v>16</v>
      </c>
      <c r="AG103">
        <f>IF(Games[[#This Row],[Team]]="","",KMax-(KMax-KFloor)*MIN(Games[[#This Row],[GamesPlayed]],Games[[#This Row],[SeasonLen]])/Games[[#This Row],[SeasonLen]])</f>
        <v>43.55</v>
      </c>
      <c r="AH103">
        <f>IF(Games[[#This Row],[Team]]="","",((ABS(Games[[#This Row],[MOV]])+3)^0.8)/(7.5+0.006*ABS(Games[[#This Row],[PreGmRate]]-Games[[#This Row],[OppPreGmRate]]))*IF(Games[[#This Row],[OT]]=1,0.7,1))</f>
        <v>0.55401770106571413</v>
      </c>
      <c r="AI10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3">
        <f>IF(Games[[#This Row],[Team]]="","",Games[[#This Row],[K]]*IF(Games[[#This Row],[DivG]]=1,DivMult,1)*IF(Games[[#This Row],[ConfG]]=1,ConfMult,1)*Games[[#This Row],[POMult]])</f>
        <v>43.55</v>
      </c>
      <c r="AK103">
        <f>IF(Games[[#This Row],[Team]]="","",(Games[[#This Row],[Keff]]*Games[[#This Row],[MOVMult]])*(Games[[#This Row],[Result]]-Games[[#This Row],[ExpectedWin]]))</f>
        <v>-10.182695352190086</v>
      </c>
      <c r="AL103">
        <f>IF(Games[[#This Row],[Team]]="","",Games[[#This Row],[PreGmRate]]+Games[[#This Row],[RatingChange]])</f>
        <v>1497.1734070033708</v>
      </c>
      <c r="AM103">
        <f>IF(Games[[#This Row],[Team]]="","",IF(Games[[#This Row],[Type]]="R",IF(Games[[#This Row],[Result]]&gt;0.5,1,0),0))</f>
        <v>0</v>
      </c>
      <c r="AN103">
        <f>IF(Games[[#This Row],[Team]]="","",IF(Games[[#This Row],[Type]]="R",IF(Games[[#This Row],[Result]]&lt;0.5,1,0),0))</f>
        <v>1</v>
      </c>
      <c r="AO103">
        <f>IF(Games[[#This Row],[Team]]="","",IF(Games[[#This Row],[Type]]="R",IF(Games[[#This Row],[Result]]=0.5,1,0),0))</f>
        <v>0</v>
      </c>
    </row>
    <row r="104" spans="1:41" x14ac:dyDescent="0.35">
      <c r="A104" s="8">
        <v>35330</v>
      </c>
      <c r="B104">
        <v>1996</v>
      </c>
      <c r="C104" t="s">
        <v>197</v>
      </c>
      <c r="D104" t="s">
        <v>199</v>
      </c>
      <c r="E104" t="s">
        <v>118</v>
      </c>
      <c r="F104" t="s">
        <v>110</v>
      </c>
      <c r="G104" t="s">
        <v>200</v>
      </c>
      <c r="H104">
        <v>35</v>
      </c>
      <c r="I104">
        <v>16</v>
      </c>
      <c r="J104">
        <v>0</v>
      </c>
      <c r="K10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0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0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0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04">
        <f>IF(Games[[#This Row],[Team]]="","",IF(Games[[#This Row],[Conf]]=Games[[#This Row],[OppConf]],1,0))</f>
        <v>1</v>
      </c>
      <c r="P104">
        <f>IF(Games[[#This Row],[Team]]="","",IF(AND(Games[[#This Row],[Conf]]=Games[[#This Row],[OppConf]],Games[[#This Row],[Div]]=Games[[#This Row],[OppDiv]]),1,0))</f>
        <v>1</v>
      </c>
      <c r="Q104">
        <f>IF(Games[[#This Row],[Team]]="","",_xlfn.MINIFS(Games[Date],Games[Season],Games[[#This Row],[Season]]))</f>
        <v>35309</v>
      </c>
      <c r="R104">
        <f>IF(Games[[#This Row],[Team]]="","",INT((Games[[#This Row],[Date]]-(Games[[#This Row],[SeasonStart]]-MOD(WEEKDAY(Games[[#This Row],[SeasonStart]],2)-2,7)))/7)+1)</f>
        <v>4</v>
      </c>
      <c r="S104">
        <f>IF(Games[[#This Row],[Team]]="","",COUNTIFS(Games[Team],Games[[#This Row],[Team]],Games[Season],Games[[#This Row],[Season]],Games[Week],"&lt;="&amp;Games[[#This Row],[Week]]))</f>
        <v>4</v>
      </c>
      <c r="T104">
        <f>IF(Games[[#This Row],[Team]]="","",_xlfn.MAXIFS(Games[Week],Games[Team],Games[[#This Row],[Team]],Games[Season],Games[[#This Row],[Season]],Games[Week],"&lt;"&amp;Games[[#This Row],[Week]]))</f>
        <v>3</v>
      </c>
      <c r="U104">
        <f>IF(Games[[#This Row],[Team]]="","",_xlfn.MAXIFS(Games[Week],Games[Team],Games[[#This Row],[Opponent]],Games[Season],Games[[#This Row],[Season]],Games[Week],"&lt;"&amp;Games[[#This Row],[Week]]))</f>
        <v>3</v>
      </c>
      <c r="V10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0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0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0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1491.9814769006762</v>
      </c>
      <c r="Z10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1487.6473850617347</v>
      </c>
      <c r="AA10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0.60811947439576941</v>
      </c>
      <c r="AB104">
        <f>IF(Games[[#This Row],[Team]]="","",Games[[#This Row],[PointsFor]]-Games[[#This Row],[PointsAgainst]])</f>
        <v>19</v>
      </c>
      <c r="AC104">
        <f>IF(Games[[#This Row],[Team]]="","",IF(Games[[#This Row],[MOV]]&gt;0,1,IF(Games[[#This Row],[MOV]]=0,0.5,0)))</f>
        <v>1</v>
      </c>
      <c r="AD104">
        <f>IF(Games[[#This Row],[Team]]="","",--(OR(AND(Games[[#This Row],[ExpectedWin]]&gt;=0.5,Games[[#This Row],[Result]]=1),AND(Games[[#This Row],[ExpectedWin]]&lt;0.5,Games[[#This Row],[Result]]=0))))</f>
        <v>1</v>
      </c>
      <c r="AE104">
        <f>IF(Games[[#This Row],[Team]]="","",-(Games[[#This Row],[Result]]*LN(Games[[#This Row],[ExpectedWin]])+(1-Games[[#This Row],[Result]])*LN(1-Games[[#This Row],[ExpectedWin]])))</f>
        <v>0.49738391237993024</v>
      </c>
      <c r="AF104">
        <f>IF(Games[[#This Row],[Team]]="","",IF(Games[[#This Row],[Season]]&gt;=2021,17,16))</f>
        <v>16</v>
      </c>
      <c r="AG104">
        <f>IF(Games[[#This Row],[Team]]="","",KMax-(KMax-KFloor)*MIN(Games[[#This Row],[GamesPlayed]],Games[[#This Row],[SeasonLen]])/Games[[#This Row],[SeasonLen]])</f>
        <v>43.55</v>
      </c>
      <c r="AH104">
        <f>IF(Games[[#This Row],[Team]]="","",((ABS(Games[[#This Row],[MOV]])+3)^0.8)/(7.5+0.006*ABS(Games[[#This Row],[PreGmRate]]-Games[[#This Row],[OppPreGmRate]]))*IF(Games[[#This Row],[OT]]=1,0.7,1))</f>
        <v>1.5753377060091791</v>
      </c>
      <c r="AI10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4">
        <f>IF(Games[[#This Row],[Team]]="","",Games[[#This Row],[K]]*IF(Games[[#This Row],[DivG]]=1,DivMult,1)*IF(Games[[#This Row],[ConfG]]=1,ConfMult,1)*Games[[#This Row],[POMult]])</f>
        <v>48.863100000000003</v>
      </c>
      <c r="AK104">
        <f>IF(Games[[#This Row],[Team]]="","",(Games[[#This Row],[Keff]]*Games[[#This Row],[MOVMult]])*(Games[[#This Row],[Result]]-Games[[#This Row],[ExpectedWin]]))</f>
        <v>30.165349826885585</v>
      </c>
      <c r="AL104">
        <f>IF(Games[[#This Row],[Team]]="","",Games[[#This Row],[PreGmRate]]+Games[[#This Row],[RatingChange]])</f>
        <v>1522.1468267275618</v>
      </c>
      <c r="AM104">
        <f>IF(Games[[#This Row],[Team]]="","",IF(Games[[#This Row],[Type]]="R",IF(Games[[#This Row],[Result]]&gt;0.5,1,0),0))</f>
        <v>1</v>
      </c>
      <c r="AN104">
        <f>IF(Games[[#This Row],[Team]]="","",IF(Games[[#This Row],[Type]]="R",IF(Games[[#This Row],[Result]]&lt;0.5,1,0),0))</f>
        <v>0</v>
      </c>
      <c r="AO104">
        <f>IF(Games[[#This Row],[Team]]="","",IF(Games[[#This Row],[Type]]="R",IF(Games[[#This Row],[Result]]=0.5,1,0),0))</f>
        <v>0</v>
      </c>
    </row>
    <row r="105" spans="1:41" x14ac:dyDescent="0.35">
      <c r="A105" s="8">
        <v>35330</v>
      </c>
      <c r="B105">
        <v>1996</v>
      </c>
      <c r="C105" t="s">
        <v>197</v>
      </c>
      <c r="D105" t="s">
        <v>199</v>
      </c>
      <c r="E105" t="s">
        <v>110</v>
      </c>
      <c r="F105" t="s">
        <v>118</v>
      </c>
      <c r="G105" t="s">
        <v>201</v>
      </c>
      <c r="H105">
        <v>16</v>
      </c>
      <c r="I105">
        <v>35</v>
      </c>
      <c r="J105">
        <v>0</v>
      </c>
      <c r="K10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0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0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0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05">
        <f>IF(Games[[#This Row],[Team]]="","",IF(Games[[#This Row],[Conf]]=Games[[#This Row],[OppConf]],1,0))</f>
        <v>1</v>
      </c>
      <c r="P105">
        <f>IF(Games[[#This Row],[Team]]="","",IF(AND(Games[[#This Row],[Conf]]=Games[[#This Row],[OppConf]],Games[[#This Row],[Div]]=Games[[#This Row],[OppDiv]]),1,0))</f>
        <v>1</v>
      </c>
      <c r="Q105">
        <f>IF(Games[[#This Row],[Team]]="","",_xlfn.MINIFS(Games[Date],Games[Season],Games[[#This Row],[Season]]))</f>
        <v>35309</v>
      </c>
      <c r="R105">
        <f>IF(Games[[#This Row],[Team]]="","",INT((Games[[#This Row],[Date]]-(Games[[#This Row],[SeasonStart]]-MOD(WEEKDAY(Games[[#This Row],[SeasonStart]],2)-2,7)))/7)+1)</f>
        <v>4</v>
      </c>
      <c r="S105">
        <f>IF(Games[[#This Row],[Team]]="","",COUNTIFS(Games[Team],Games[[#This Row],[Team]],Games[Season],Games[[#This Row],[Season]],Games[Week],"&lt;="&amp;Games[[#This Row],[Week]]))</f>
        <v>4</v>
      </c>
      <c r="T105">
        <f>IF(Games[[#This Row],[Team]]="","",_xlfn.MAXIFS(Games[Week],Games[Team],Games[[#This Row],[Team]],Games[Season],Games[[#This Row],[Season]],Games[Week],"&lt;"&amp;Games[[#This Row],[Week]]))</f>
        <v>3</v>
      </c>
      <c r="U105">
        <f>IF(Games[[#This Row],[Team]]="","",_xlfn.MAXIFS(Games[Week],Games[Team],Games[[#This Row],[Opponent]],Games[Season],Games[[#This Row],[Season]],Games[Week],"&lt;"&amp;Games[[#This Row],[Week]]))</f>
        <v>3</v>
      </c>
      <c r="V10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0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0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0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1487.6473850617347</v>
      </c>
      <c r="Z10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1491.9814769006762</v>
      </c>
      <c r="AA10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0.39188052560423065</v>
      </c>
      <c r="AB105">
        <f>IF(Games[[#This Row],[Team]]="","",Games[[#This Row],[PointsFor]]-Games[[#This Row],[PointsAgainst]])</f>
        <v>-19</v>
      </c>
      <c r="AC105">
        <f>IF(Games[[#This Row],[Team]]="","",IF(Games[[#This Row],[MOV]]&gt;0,1,IF(Games[[#This Row],[MOV]]=0,0.5,0)))</f>
        <v>0</v>
      </c>
      <c r="AD105">
        <f>IF(Games[[#This Row],[Team]]="","",--(OR(AND(Games[[#This Row],[ExpectedWin]]&gt;=0.5,Games[[#This Row],[Result]]=1),AND(Games[[#This Row],[ExpectedWin]]&lt;0.5,Games[[#This Row],[Result]]=0))))</f>
        <v>1</v>
      </c>
      <c r="AE105">
        <f>IF(Games[[#This Row],[Team]]="","",-(Games[[#This Row],[Result]]*LN(Games[[#This Row],[ExpectedWin]])+(1-Games[[#This Row],[Result]])*LN(1-Games[[#This Row],[ExpectedWin]])))</f>
        <v>0.49738391237993024</v>
      </c>
      <c r="AF105">
        <f>IF(Games[[#This Row],[Team]]="","",IF(Games[[#This Row],[Season]]&gt;=2021,17,16))</f>
        <v>16</v>
      </c>
      <c r="AG105">
        <f>IF(Games[[#This Row],[Team]]="","",KMax-(KMax-KFloor)*MIN(Games[[#This Row],[GamesPlayed]],Games[[#This Row],[SeasonLen]])/Games[[#This Row],[SeasonLen]])</f>
        <v>43.55</v>
      </c>
      <c r="AH105">
        <f>IF(Games[[#This Row],[Team]]="","",((ABS(Games[[#This Row],[MOV]])+3)^0.8)/(7.5+0.006*ABS(Games[[#This Row],[PreGmRate]]-Games[[#This Row],[OppPreGmRate]]))*IF(Games[[#This Row],[OT]]=1,0.7,1))</f>
        <v>1.5753377060091791</v>
      </c>
      <c r="AI10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5">
        <f>IF(Games[[#This Row],[Team]]="","",Games[[#This Row],[K]]*IF(Games[[#This Row],[DivG]]=1,DivMult,1)*IF(Games[[#This Row],[ConfG]]=1,ConfMult,1)*Games[[#This Row],[POMult]])</f>
        <v>48.863100000000003</v>
      </c>
      <c r="AK105">
        <f>IF(Games[[#This Row],[Team]]="","",(Games[[#This Row],[Keff]]*Games[[#This Row],[MOVMult]])*(Games[[#This Row],[Result]]-Games[[#This Row],[ExpectedWin]]))</f>
        <v>-30.165349826885588</v>
      </c>
      <c r="AL105">
        <f>IF(Games[[#This Row],[Team]]="","",Games[[#This Row],[PreGmRate]]+Games[[#This Row],[RatingChange]])</f>
        <v>1457.482035234849</v>
      </c>
      <c r="AM105">
        <f>IF(Games[[#This Row],[Team]]="","",IF(Games[[#This Row],[Type]]="R",IF(Games[[#This Row],[Result]]&gt;0.5,1,0),0))</f>
        <v>0</v>
      </c>
      <c r="AN105">
        <f>IF(Games[[#This Row],[Team]]="","",IF(Games[[#This Row],[Type]]="R",IF(Games[[#This Row],[Result]]&lt;0.5,1,0),0))</f>
        <v>1</v>
      </c>
      <c r="AO105">
        <f>IF(Games[[#This Row],[Team]]="","",IF(Games[[#This Row],[Type]]="R",IF(Games[[#This Row],[Result]]=0.5,1,0),0))</f>
        <v>0</v>
      </c>
    </row>
    <row r="106" spans="1:41" x14ac:dyDescent="0.35">
      <c r="A106" s="8">
        <v>35330</v>
      </c>
      <c r="B106">
        <v>1996</v>
      </c>
      <c r="C106" t="s">
        <v>197</v>
      </c>
      <c r="D106" t="s">
        <v>199</v>
      </c>
      <c r="E106" t="s">
        <v>145</v>
      </c>
      <c r="F106" t="s">
        <v>140</v>
      </c>
      <c r="G106" t="s">
        <v>201</v>
      </c>
      <c r="H106">
        <v>40</v>
      </c>
      <c r="I106">
        <v>34</v>
      </c>
      <c r="J106">
        <v>0</v>
      </c>
      <c r="K10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0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0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0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06">
        <f>IF(Games[[#This Row],[Team]]="","",IF(Games[[#This Row],[Conf]]=Games[[#This Row],[OppConf]],1,0))</f>
        <v>1</v>
      </c>
      <c r="P106">
        <f>IF(Games[[#This Row],[Team]]="","",IF(AND(Games[[#This Row],[Conf]]=Games[[#This Row],[OppConf]],Games[[#This Row],[Div]]=Games[[#This Row],[OppDiv]]),1,0))</f>
        <v>1</v>
      </c>
      <c r="Q106">
        <f>IF(Games[[#This Row],[Team]]="","",_xlfn.MINIFS(Games[Date],Games[Season],Games[[#This Row],[Season]]))</f>
        <v>35309</v>
      </c>
      <c r="R106">
        <f>IF(Games[[#This Row],[Team]]="","",INT((Games[[#This Row],[Date]]-(Games[[#This Row],[SeasonStart]]-MOD(WEEKDAY(Games[[#This Row],[SeasonStart]],2)-2,7)))/7)+1)</f>
        <v>4</v>
      </c>
      <c r="S106">
        <f>IF(Games[[#This Row],[Team]]="","",COUNTIFS(Games[Team],Games[[#This Row],[Team]],Games[Season],Games[[#This Row],[Season]],Games[Week],"&lt;="&amp;Games[[#This Row],[Week]]))</f>
        <v>4</v>
      </c>
      <c r="T106">
        <f>IF(Games[[#This Row],[Team]]="","",_xlfn.MAXIFS(Games[Week],Games[Team],Games[[#This Row],[Team]],Games[Season],Games[[#This Row],[Season]],Games[Week],"&lt;"&amp;Games[[#This Row],[Week]]))</f>
        <v>3</v>
      </c>
      <c r="U106">
        <f>IF(Games[[#This Row],[Team]]="","",_xlfn.MAXIFS(Games[Week],Games[Team],Games[[#This Row],[Opponent]],Games[Season],Games[[#This Row],[Season]],Games[Week],"&lt;"&amp;Games[[#This Row],[Week]]))</f>
        <v>3</v>
      </c>
      <c r="V10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0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0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0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1519.0814647834395</v>
      </c>
      <c r="Z10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1487.1674197591144</v>
      </c>
      <c r="AA10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0.44256629576880696</v>
      </c>
      <c r="AB106">
        <f>IF(Games[[#This Row],[Team]]="","",Games[[#This Row],[PointsFor]]-Games[[#This Row],[PointsAgainst]])</f>
        <v>6</v>
      </c>
      <c r="AC106">
        <f>IF(Games[[#This Row],[Team]]="","",IF(Games[[#This Row],[MOV]]&gt;0,1,IF(Games[[#This Row],[MOV]]=0,0.5,0)))</f>
        <v>1</v>
      </c>
      <c r="AD106">
        <f>IF(Games[[#This Row],[Team]]="","",--(OR(AND(Games[[#This Row],[ExpectedWin]]&gt;=0.5,Games[[#This Row],[Result]]=1),AND(Games[[#This Row],[ExpectedWin]]&lt;0.5,Games[[#This Row],[Result]]=0))))</f>
        <v>0</v>
      </c>
      <c r="AE106">
        <f>IF(Games[[#This Row],[Team]]="","",-(Games[[#This Row],[Result]]*LN(Games[[#This Row],[ExpectedWin]])+(1-Games[[#This Row],[Result]])*LN(1-Games[[#This Row],[ExpectedWin]])))</f>
        <v>0.81516500480973353</v>
      </c>
      <c r="AF106">
        <f>IF(Games[[#This Row],[Team]]="","",IF(Games[[#This Row],[Season]]&gt;=2021,17,16))</f>
        <v>16</v>
      </c>
      <c r="AG106">
        <f>IF(Games[[#This Row],[Team]]="","",KMax-(KMax-KFloor)*MIN(Games[[#This Row],[GamesPlayed]],Games[[#This Row],[SeasonLen]])/Games[[#This Row],[SeasonLen]])</f>
        <v>43.55</v>
      </c>
      <c r="AH106">
        <f>IF(Games[[#This Row],[Team]]="","",((ABS(Games[[#This Row],[MOV]])+3)^0.8)/(7.5+0.006*ABS(Games[[#This Row],[PreGmRate]]-Games[[#This Row],[OppPreGmRate]]))*IF(Games[[#This Row],[OT]]=1,0.7,1))</f>
        <v>0.75402171168780663</v>
      </c>
      <c r="AI10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6">
        <f>IF(Games[[#This Row],[Team]]="","",Games[[#This Row],[K]]*IF(Games[[#This Row],[DivG]]=1,DivMult,1)*IF(Games[[#This Row],[ConfG]]=1,ConfMult,1)*Games[[#This Row],[POMult]])</f>
        <v>48.863100000000003</v>
      </c>
      <c r="AK106">
        <f>IF(Games[[#This Row],[Team]]="","",(Games[[#This Row],[Keff]]*Games[[#This Row],[MOVMult]])*(Games[[#This Row],[Result]]-Games[[#This Row],[ExpectedWin]]))</f>
        <v>20.537997261871727</v>
      </c>
      <c r="AL106">
        <f>IF(Games[[#This Row],[Team]]="","",Games[[#This Row],[PreGmRate]]+Games[[#This Row],[RatingChange]])</f>
        <v>1539.6194620453111</v>
      </c>
      <c r="AM106">
        <f>IF(Games[[#This Row],[Team]]="","",IF(Games[[#This Row],[Type]]="R",IF(Games[[#This Row],[Result]]&gt;0.5,1,0),0))</f>
        <v>1</v>
      </c>
      <c r="AN106">
        <f>IF(Games[[#This Row],[Team]]="","",IF(Games[[#This Row],[Type]]="R",IF(Games[[#This Row],[Result]]&lt;0.5,1,0),0))</f>
        <v>0</v>
      </c>
      <c r="AO106">
        <f>IF(Games[[#This Row],[Team]]="","",IF(Games[[#This Row],[Type]]="R",IF(Games[[#This Row],[Result]]=0.5,1,0),0))</f>
        <v>0</v>
      </c>
    </row>
    <row r="107" spans="1:41" x14ac:dyDescent="0.35">
      <c r="A107" s="8">
        <v>35330</v>
      </c>
      <c r="B107">
        <v>1996</v>
      </c>
      <c r="C107" t="s">
        <v>197</v>
      </c>
      <c r="D107" t="s">
        <v>199</v>
      </c>
      <c r="E107" t="s">
        <v>140</v>
      </c>
      <c r="F107" t="s">
        <v>145</v>
      </c>
      <c r="G107" t="s">
        <v>200</v>
      </c>
      <c r="H107">
        <v>34</v>
      </c>
      <c r="I107">
        <v>40</v>
      </c>
      <c r="J107">
        <v>0</v>
      </c>
      <c r="K10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0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0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0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07">
        <f>IF(Games[[#This Row],[Team]]="","",IF(Games[[#This Row],[Conf]]=Games[[#This Row],[OppConf]],1,0))</f>
        <v>1</v>
      </c>
      <c r="P107">
        <f>IF(Games[[#This Row],[Team]]="","",IF(AND(Games[[#This Row],[Conf]]=Games[[#This Row],[OppConf]],Games[[#This Row],[Div]]=Games[[#This Row],[OppDiv]]),1,0))</f>
        <v>1</v>
      </c>
      <c r="Q107">
        <f>IF(Games[[#This Row],[Team]]="","",_xlfn.MINIFS(Games[Date],Games[Season],Games[[#This Row],[Season]]))</f>
        <v>35309</v>
      </c>
      <c r="R107">
        <f>IF(Games[[#This Row],[Team]]="","",INT((Games[[#This Row],[Date]]-(Games[[#This Row],[SeasonStart]]-MOD(WEEKDAY(Games[[#This Row],[SeasonStart]],2)-2,7)))/7)+1)</f>
        <v>4</v>
      </c>
      <c r="S107">
        <f>IF(Games[[#This Row],[Team]]="","",COUNTIFS(Games[Team],Games[[#This Row],[Team]],Games[Season],Games[[#This Row],[Season]],Games[Week],"&lt;="&amp;Games[[#This Row],[Week]]))</f>
        <v>4</v>
      </c>
      <c r="T107">
        <f>IF(Games[[#This Row],[Team]]="","",_xlfn.MAXIFS(Games[Week],Games[Team],Games[[#This Row],[Team]],Games[Season],Games[[#This Row],[Season]],Games[Week],"&lt;"&amp;Games[[#This Row],[Week]]))</f>
        <v>3</v>
      </c>
      <c r="U107">
        <f>IF(Games[[#This Row],[Team]]="","",_xlfn.MAXIFS(Games[Week],Games[Team],Games[[#This Row],[Opponent]],Games[Season],Games[[#This Row],[Season]],Games[Week],"&lt;"&amp;Games[[#This Row],[Week]]))</f>
        <v>3</v>
      </c>
      <c r="V10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0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0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0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1487.1674197591144</v>
      </c>
      <c r="Z10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1519.0814647834395</v>
      </c>
      <c r="AA10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0.55743370423119298</v>
      </c>
      <c r="AB107">
        <f>IF(Games[[#This Row],[Team]]="","",Games[[#This Row],[PointsFor]]-Games[[#This Row],[PointsAgainst]])</f>
        <v>-6</v>
      </c>
      <c r="AC107">
        <f>IF(Games[[#This Row],[Team]]="","",IF(Games[[#This Row],[MOV]]&gt;0,1,IF(Games[[#This Row],[MOV]]=0,0.5,0)))</f>
        <v>0</v>
      </c>
      <c r="AD107">
        <f>IF(Games[[#This Row],[Team]]="","",--(OR(AND(Games[[#This Row],[ExpectedWin]]&gt;=0.5,Games[[#This Row],[Result]]=1),AND(Games[[#This Row],[ExpectedWin]]&lt;0.5,Games[[#This Row],[Result]]=0))))</f>
        <v>0</v>
      </c>
      <c r="AE107">
        <f>IF(Games[[#This Row],[Team]]="","",-(Games[[#This Row],[Result]]*LN(Games[[#This Row],[ExpectedWin]])+(1-Games[[#This Row],[Result]])*LN(1-Games[[#This Row],[ExpectedWin]])))</f>
        <v>0.81516500480973342</v>
      </c>
      <c r="AF107">
        <f>IF(Games[[#This Row],[Team]]="","",IF(Games[[#This Row],[Season]]&gt;=2021,17,16))</f>
        <v>16</v>
      </c>
      <c r="AG107">
        <f>IF(Games[[#This Row],[Team]]="","",KMax-(KMax-KFloor)*MIN(Games[[#This Row],[GamesPlayed]],Games[[#This Row],[SeasonLen]])/Games[[#This Row],[SeasonLen]])</f>
        <v>43.55</v>
      </c>
      <c r="AH107">
        <f>IF(Games[[#This Row],[Team]]="","",((ABS(Games[[#This Row],[MOV]])+3)^0.8)/(7.5+0.006*ABS(Games[[#This Row],[PreGmRate]]-Games[[#This Row],[OppPreGmRate]]))*IF(Games[[#This Row],[OT]]=1,0.7,1))</f>
        <v>0.75402171168780663</v>
      </c>
      <c r="AI10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7">
        <f>IF(Games[[#This Row],[Team]]="","",Games[[#This Row],[K]]*IF(Games[[#This Row],[DivG]]=1,DivMult,1)*IF(Games[[#This Row],[ConfG]]=1,ConfMult,1)*Games[[#This Row],[POMult]])</f>
        <v>48.863100000000003</v>
      </c>
      <c r="AK107">
        <f>IF(Games[[#This Row],[Team]]="","",(Games[[#This Row],[Keff]]*Games[[#This Row],[MOVMult]])*(Games[[#This Row],[Result]]-Games[[#This Row],[ExpectedWin]]))</f>
        <v>-20.537997261871727</v>
      </c>
      <c r="AL107">
        <f>IF(Games[[#This Row],[Team]]="","",Games[[#This Row],[PreGmRate]]+Games[[#This Row],[RatingChange]])</f>
        <v>1466.6294224972428</v>
      </c>
      <c r="AM107">
        <f>IF(Games[[#This Row],[Team]]="","",IF(Games[[#This Row],[Type]]="R",IF(Games[[#This Row],[Result]]&gt;0.5,1,0),0))</f>
        <v>0</v>
      </c>
      <c r="AN107">
        <f>IF(Games[[#This Row],[Team]]="","",IF(Games[[#This Row],[Type]]="R",IF(Games[[#This Row],[Result]]&lt;0.5,1,0),0))</f>
        <v>1</v>
      </c>
      <c r="AO107">
        <f>IF(Games[[#This Row],[Team]]="","",IF(Games[[#This Row],[Type]]="R",IF(Games[[#This Row],[Result]]=0.5,1,0),0))</f>
        <v>0</v>
      </c>
    </row>
    <row r="108" spans="1:41" x14ac:dyDescent="0.35">
      <c r="A108" s="8">
        <v>35330</v>
      </c>
      <c r="B108">
        <v>1996</v>
      </c>
      <c r="C108" t="s">
        <v>197</v>
      </c>
      <c r="D108" t="s">
        <v>199</v>
      </c>
      <c r="E108" t="s">
        <v>146</v>
      </c>
      <c r="F108" t="s">
        <v>151</v>
      </c>
      <c r="G108" t="s">
        <v>201</v>
      </c>
      <c r="H108">
        <v>17</v>
      </c>
      <c r="I108">
        <v>13</v>
      </c>
      <c r="J108">
        <v>0</v>
      </c>
      <c r="K10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0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0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0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08">
        <f>IF(Games[[#This Row],[Team]]="","",IF(Games[[#This Row],[Conf]]=Games[[#This Row],[OppConf]],1,0))</f>
        <v>0</v>
      </c>
      <c r="P108">
        <f>IF(Games[[#This Row],[Team]]="","",IF(AND(Games[[#This Row],[Conf]]=Games[[#This Row],[OppConf]],Games[[#This Row],[Div]]=Games[[#This Row],[OppDiv]]),1,0))</f>
        <v>0</v>
      </c>
      <c r="Q108">
        <f>IF(Games[[#This Row],[Team]]="","",_xlfn.MINIFS(Games[Date],Games[Season],Games[[#This Row],[Season]]))</f>
        <v>35309</v>
      </c>
      <c r="R108">
        <f>IF(Games[[#This Row],[Team]]="","",INT((Games[[#This Row],[Date]]-(Games[[#This Row],[SeasonStart]]-MOD(WEEKDAY(Games[[#This Row],[SeasonStart]],2)-2,7)))/7)+1)</f>
        <v>4</v>
      </c>
      <c r="S108">
        <f>IF(Games[[#This Row],[Team]]="","",COUNTIFS(Games[Team],Games[[#This Row],[Team]],Games[Season],Games[[#This Row],[Season]],Games[Week],"&lt;="&amp;Games[[#This Row],[Week]]))</f>
        <v>4</v>
      </c>
      <c r="T108">
        <f>IF(Games[[#This Row],[Team]]="","",_xlfn.MAXIFS(Games[Week],Games[Team],Games[[#This Row],[Team]],Games[Season],Games[[#This Row],[Season]],Games[Week],"&lt;"&amp;Games[[#This Row],[Week]]))</f>
        <v>3</v>
      </c>
      <c r="U108">
        <f>IF(Games[[#This Row],[Team]]="","",_xlfn.MAXIFS(Games[Week],Games[Team],Games[[#This Row],[Opponent]],Games[Season],Games[[#This Row],[Season]],Games[Week],"&lt;"&amp;Games[[#This Row],[Week]]))</f>
        <v>3</v>
      </c>
      <c r="V10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0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0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0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1407.240187453913</v>
      </c>
      <c r="Z10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1404.9192998781602</v>
      </c>
      <c r="AA10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0.40104682935757135</v>
      </c>
      <c r="AB108">
        <f>IF(Games[[#This Row],[Team]]="","",Games[[#This Row],[PointsFor]]-Games[[#This Row],[PointsAgainst]])</f>
        <v>4</v>
      </c>
      <c r="AC108">
        <f>IF(Games[[#This Row],[Team]]="","",IF(Games[[#This Row],[MOV]]&gt;0,1,IF(Games[[#This Row],[MOV]]=0,0.5,0)))</f>
        <v>1</v>
      </c>
      <c r="AD108">
        <f>IF(Games[[#This Row],[Team]]="","",--(OR(AND(Games[[#This Row],[ExpectedWin]]&gt;=0.5,Games[[#This Row],[Result]]=1),AND(Games[[#This Row],[ExpectedWin]]&lt;0.5,Games[[#This Row],[Result]]=0))))</f>
        <v>0</v>
      </c>
      <c r="AE108">
        <f>IF(Games[[#This Row],[Team]]="","",-(Games[[#This Row],[Result]]*LN(Games[[#This Row],[ExpectedWin]])+(1-Games[[#This Row],[Result]])*LN(1-Games[[#This Row],[ExpectedWin]])))</f>
        <v>0.91367707705366186</v>
      </c>
      <c r="AF108">
        <f>IF(Games[[#This Row],[Team]]="","",IF(Games[[#This Row],[Season]]&gt;=2021,17,16))</f>
        <v>16</v>
      </c>
      <c r="AG108">
        <f>IF(Games[[#This Row],[Team]]="","",KMax-(KMax-KFloor)*MIN(Games[[#This Row],[GamesPlayed]],Games[[#This Row],[SeasonLen]])/Games[[#This Row],[SeasonLen]])</f>
        <v>43.55</v>
      </c>
      <c r="AH108">
        <f>IF(Games[[#This Row],[Team]]="","",((ABS(Games[[#This Row],[MOV]])+3)^0.8)/(7.5+0.006*ABS(Games[[#This Row],[PreGmRate]]-Games[[#This Row],[OppPreGmRate]]))*IF(Games[[#This Row],[OT]]=1,0.7,1))</f>
        <v>0.63126477684504356</v>
      </c>
      <c r="AI10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8">
        <f>IF(Games[[#This Row],[Team]]="","",Games[[#This Row],[K]]*IF(Games[[#This Row],[DivG]]=1,DivMult,1)*IF(Games[[#This Row],[ConfG]]=1,ConfMult,1)*Games[[#This Row],[POMult]])</f>
        <v>43.55</v>
      </c>
      <c r="AK108">
        <f>IF(Games[[#This Row],[Team]]="","",(Games[[#This Row],[Keff]]*Games[[#This Row],[MOVMult]])*(Games[[#This Row],[Result]]-Games[[#This Row],[ExpectedWin]]))</f>
        <v>16.466169624851055</v>
      </c>
      <c r="AL108">
        <f>IF(Games[[#This Row],[Team]]="","",Games[[#This Row],[PreGmRate]]+Games[[#This Row],[RatingChange]])</f>
        <v>1423.7063570787641</v>
      </c>
      <c r="AM108">
        <f>IF(Games[[#This Row],[Team]]="","",IF(Games[[#This Row],[Type]]="R",IF(Games[[#This Row],[Result]]&gt;0.5,1,0),0))</f>
        <v>1</v>
      </c>
      <c r="AN108">
        <f>IF(Games[[#This Row],[Team]]="","",IF(Games[[#This Row],[Type]]="R",IF(Games[[#This Row],[Result]]&lt;0.5,1,0),0))</f>
        <v>0</v>
      </c>
      <c r="AO108">
        <f>IF(Games[[#This Row],[Team]]="","",IF(Games[[#This Row],[Type]]="R",IF(Games[[#This Row],[Result]]=0.5,1,0),0))</f>
        <v>0</v>
      </c>
    </row>
    <row r="109" spans="1:41" x14ac:dyDescent="0.35">
      <c r="A109" s="8">
        <v>35330</v>
      </c>
      <c r="B109">
        <v>1996</v>
      </c>
      <c r="C109" t="s">
        <v>197</v>
      </c>
      <c r="D109" t="s">
        <v>199</v>
      </c>
      <c r="E109" t="s">
        <v>151</v>
      </c>
      <c r="F109" t="s">
        <v>146</v>
      </c>
      <c r="G109" t="s">
        <v>200</v>
      </c>
      <c r="H109">
        <v>13</v>
      </c>
      <c r="I109">
        <v>17</v>
      </c>
      <c r="J109">
        <v>0</v>
      </c>
      <c r="K10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0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0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0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09">
        <f>IF(Games[[#This Row],[Team]]="","",IF(Games[[#This Row],[Conf]]=Games[[#This Row],[OppConf]],1,0))</f>
        <v>0</v>
      </c>
      <c r="P109">
        <f>IF(Games[[#This Row],[Team]]="","",IF(AND(Games[[#This Row],[Conf]]=Games[[#This Row],[OppConf]],Games[[#This Row],[Div]]=Games[[#This Row],[OppDiv]]),1,0))</f>
        <v>0</v>
      </c>
      <c r="Q109">
        <f>IF(Games[[#This Row],[Team]]="","",_xlfn.MINIFS(Games[Date],Games[Season],Games[[#This Row],[Season]]))</f>
        <v>35309</v>
      </c>
      <c r="R109">
        <f>IF(Games[[#This Row],[Team]]="","",INT((Games[[#This Row],[Date]]-(Games[[#This Row],[SeasonStart]]-MOD(WEEKDAY(Games[[#This Row],[SeasonStart]],2)-2,7)))/7)+1)</f>
        <v>4</v>
      </c>
      <c r="S109">
        <f>IF(Games[[#This Row],[Team]]="","",COUNTIFS(Games[Team],Games[[#This Row],[Team]],Games[Season],Games[[#This Row],[Season]],Games[Week],"&lt;="&amp;Games[[#This Row],[Week]]))</f>
        <v>4</v>
      </c>
      <c r="T109">
        <f>IF(Games[[#This Row],[Team]]="","",_xlfn.MAXIFS(Games[Week],Games[Team],Games[[#This Row],[Team]],Games[Season],Games[[#This Row],[Season]],Games[Week],"&lt;"&amp;Games[[#This Row],[Week]]))</f>
        <v>3</v>
      </c>
      <c r="U109">
        <f>IF(Games[[#This Row],[Team]]="","",_xlfn.MAXIFS(Games[Week],Games[Team],Games[[#This Row],[Opponent]],Games[Season],Games[[#This Row],[Season]],Games[Week],"&lt;"&amp;Games[[#This Row],[Week]]))</f>
        <v>3</v>
      </c>
      <c r="V10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0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0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0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1404.9192998781602</v>
      </c>
      <c r="Z10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1407.240187453913</v>
      </c>
      <c r="AA10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0.59895317064242859</v>
      </c>
      <c r="AB109">
        <f>IF(Games[[#This Row],[Team]]="","",Games[[#This Row],[PointsFor]]-Games[[#This Row],[PointsAgainst]])</f>
        <v>-4</v>
      </c>
      <c r="AC109">
        <f>IF(Games[[#This Row],[Team]]="","",IF(Games[[#This Row],[MOV]]&gt;0,1,IF(Games[[#This Row],[MOV]]=0,0.5,0)))</f>
        <v>0</v>
      </c>
      <c r="AD109">
        <f>IF(Games[[#This Row],[Team]]="","",--(OR(AND(Games[[#This Row],[ExpectedWin]]&gt;=0.5,Games[[#This Row],[Result]]=1),AND(Games[[#This Row],[ExpectedWin]]&lt;0.5,Games[[#This Row],[Result]]=0))))</f>
        <v>0</v>
      </c>
      <c r="AE109">
        <f>IF(Games[[#This Row],[Team]]="","",-(Games[[#This Row],[Result]]*LN(Games[[#This Row],[ExpectedWin]])+(1-Games[[#This Row],[Result]])*LN(1-Games[[#This Row],[ExpectedWin]])))</f>
        <v>0.91367707705366175</v>
      </c>
      <c r="AF109">
        <f>IF(Games[[#This Row],[Team]]="","",IF(Games[[#This Row],[Season]]&gt;=2021,17,16))</f>
        <v>16</v>
      </c>
      <c r="AG109">
        <f>IF(Games[[#This Row],[Team]]="","",KMax-(KMax-KFloor)*MIN(Games[[#This Row],[GamesPlayed]],Games[[#This Row],[SeasonLen]])/Games[[#This Row],[SeasonLen]])</f>
        <v>43.55</v>
      </c>
      <c r="AH109">
        <f>IF(Games[[#This Row],[Team]]="","",((ABS(Games[[#This Row],[MOV]])+3)^0.8)/(7.5+0.006*ABS(Games[[#This Row],[PreGmRate]]-Games[[#This Row],[OppPreGmRate]]))*IF(Games[[#This Row],[OT]]=1,0.7,1))</f>
        <v>0.63126477684504356</v>
      </c>
      <c r="AI10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9">
        <f>IF(Games[[#This Row],[Team]]="","",Games[[#This Row],[K]]*IF(Games[[#This Row],[DivG]]=1,DivMult,1)*IF(Games[[#This Row],[ConfG]]=1,ConfMult,1)*Games[[#This Row],[POMult]])</f>
        <v>43.55</v>
      </c>
      <c r="AK109">
        <f>IF(Games[[#This Row],[Team]]="","",(Games[[#This Row],[Keff]]*Games[[#This Row],[MOVMult]])*(Games[[#This Row],[Result]]-Games[[#This Row],[ExpectedWin]]))</f>
        <v>-16.466169624851052</v>
      </c>
      <c r="AL109">
        <f>IF(Games[[#This Row],[Team]]="","",Games[[#This Row],[PreGmRate]]+Games[[#This Row],[RatingChange]])</f>
        <v>1388.4531302533092</v>
      </c>
      <c r="AM109">
        <f>IF(Games[[#This Row],[Team]]="","",IF(Games[[#This Row],[Type]]="R",IF(Games[[#This Row],[Result]]&gt;0.5,1,0),0))</f>
        <v>0</v>
      </c>
      <c r="AN109">
        <f>IF(Games[[#This Row],[Team]]="","",IF(Games[[#This Row],[Type]]="R",IF(Games[[#This Row],[Result]]&lt;0.5,1,0),0))</f>
        <v>1</v>
      </c>
      <c r="AO109">
        <f>IF(Games[[#This Row],[Team]]="","",IF(Games[[#This Row],[Type]]="R",IF(Games[[#This Row],[Result]]=0.5,1,0),0))</f>
        <v>0</v>
      </c>
    </row>
    <row r="110" spans="1:41" x14ac:dyDescent="0.35">
      <c r="A110" s="8">
        <v>35330</v>
      </c>
      <c r="B110">
        <v>1996</v>
      </c>
      <c r="C110" t="s">
        <v>197</v>
      </c>
      <c r="D110" t="s">
        <v>199</v>
      </c>
      <c r="E110" t="s">
        <v>141</v>
      </c>
      <c r="F110" t="s">
        <v>98</v>
      </c>
      <c r="G110" t="s">
        <v>201</v>
      </c>
      <c r="H110">
        <v>33</v>
      </c>
      <c r="I110">
        <v>18</v>
      </c>
      <c r="J110">
        <v>0</v>
      </c>
      <c r="K11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1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1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1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10">
        <f>IF(Games[[#This Row],[Team]]="","",IF(Games[[#This Row],[Conf]]=Games[[#This Row],[OppConf]],1,0))</f>
        <v>1</v>
      </c>
      <c r="P110">
        <f>IF(Games[[#This Row],[Team]]="","",IF(AND(Games[[#This Row],[Conf]]=Games[[#This Row],[OppConf]],Games[[#This Row],[Div]]=Games[[#This Row],[OppDiv]]),1,0))</f>
        <v>0</v>
      </c>
      <c r="Q110">
        <f>IF(Games[[#This Row],[Team]]="","",_xlfn.MINIFS(Games[Date],Games[Season],Games[[#This Row],[Season]]))</f>
        <v>35309</v>
      </c>
      <c r="R110">
        <f>IF(Games[[#This Row],[Team]]="","",INT((Games[[#This Row],[Date]]-(Games[[#This Row],[SeasonStart]]-MOD(WEEKDAY(Games[[#This Row],[SeasonStart]],2)-2,7)))/7)+1)</f>
        <v>4</v>
      </c>
      <c r="S110">
        <f>IF(Games[[#This Row],[Team]]="","",COUNTIFS(Games[Team],Games[[#This Row],[Team]],Games[Season],Games[[#This Row],[Season]],Games[Week],"&lt;="&amp;Games[[#This Row],[Week]]))</f>
        <v>4</v>
      </c>
      <c r="T110">
        <f>IF(Games[[#This Row],[Team]]="","",_xlfn.MAXIFS(Games[Week],Games[Team],Games[[#This Row],[Team]],Games[Season],Games[[#This Row],[Season]],Games[Week],"&lt;"&amp;Games[[#This Row],[Week]]))</f>
        <v>3</v>
      </c>
      <c r="U110">
        <f>IF(Games[[#This Row],[Team]]="","",_xlfn.MAXIFS(Games[Week],Games[Team],Games[[#This Row],[Opponent]],Games[Season],Games[[#This Row],[Season]],Games[Week],"&lt;"&amp;Games[[#This Row],[Week]]))</f>
        <v>2</v>
      </c>
      <c r="V11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1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11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11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1504.8326261209834</v>
      </c>
      <c r="Z11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1445.3048664648495</v>
      </c>
      <c r="AA11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0.4477041835620007</v>
      </c>
      <c r="AB110">
        <f>IF(Games[[#This Row],[Team]]="","",Games[[#This Row],[PointsFor]]-Games[[#This Row],[PointsAgainst]])</f>
        <v>15</v>
      </c>
      <c r="AC110">
        <f>IF(Games[[#This Row],[Team]]="","",IF(Games[[#This Row],[MOV]]&gt;0,1,IF(Games[[#This Row],[MOV]]=0,0.5,0)))</f>
        <v>1</v>
      </c>
      <c r="AD110">
        <f>IF(Games[[#This Row],[Team]]="","",--(OR(AND(Games[[#This Row],[ExpectedWin]]&gt;=0.5,Games[[#This Row],[Result]]=1),AND(Games[[#This Row],[ExpectedWin]]&lt;0.5,Games[[#This Row],[Result]]=0))))</f>
        <v>0</v>
      </c>
      <c r="AE110">
        <f>IF(Games[[#This Row],[Team]]="","",-(Games[[#This Row],[Result]]*LN(Games[[#This Row],[ExpectedWin]])+(1-Games[[#This Row],[Result]])*LN(1-Games[[#This Row],[ExpectedWin]])))</f>
        <v>0.80362256921331854</v>
      </c>
      <c r="AF110">
        <f>IF(Games[[#This Row],[Team]]="","",IF(Games[[#This Row],[Season]]&gt;=2021,17,16))</f>
        <v>16</v>
      </c>
      <c r="AG110">
        <f>IF(Games[[#This Row],[Team]]="","",KMax-(KMax-KFloor)*MIN(Games[[#This Row],[GamesPlayed]],Games[[#This Row],[SeasonLen]])/Games[[#This Row],[SeasonLen]])</f>
        <v>43.55</v>
      </c>
      <c r="AH110">
        <f>IF(Games[[#This Row],[Team]]="","",((ABS(Games[[#This Row],[MOV]])+3)^0.8)/(7.5+0.006*ABS(Games[[#This Row],[PreGmRate]]-Games[[#This Row],[OppPreGmRate]]))*IF(Games[[#This Row],[OT]]=1,0.7,1))</f>
        <v>1.2851447445537292</v>
      </c>
      <c r="AI11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0">
        <f>IF(Games[[#This Row],[Team]]="","",Games[[#This Row],[K]]*IF(Games[[#This Row],[DivG]]=1,DivMult,1)*IF(Games[[#This Row],[ConfG]]=1,ConfMult,1)*Games[[#This Row],[POMult]])</f>
        <v>44.420999999999999</v>
      </c>
      <c r="AK110">
        <f>IF(Games[[#This Row],[Team]]="","",(Games[[#This Row],[Keff]]*Games[[#This Row],[MOVMult]])*(Games[[#This Row],[Result]]-Games[[#This Row],[ExpectedWin]]))</f>
        <v>31.529140308867802</v>
      </c>
      <c r="AL110">
        <f>IF(Games[[#This Row],[Team]]="","",Games[[#This Row],[PreGmRate]]+Games[[#This Row],[RatingChange]])</f>
        <v>1536.3617664298513</v>
      </c>
      <c r="AM110">
        <f>IF(Games[[#This Row],[Team]]="","",IF(Games[[#This Row],[Type]]="R",IF(Games[[#This Row],[Result]]&gt;0.5,1,0),0))</f>
        <v>1</v>
      </c>
      <c r="AN110">
        <f>IF(Games[[#This Row],[Team]]="","",IF(Games[[#This Row],[Type]]="R",IF(Games[[#This Row],[Result]]&lt;0.5,1,0),0))</f>
        <v>0</v>
      </c>
      <c r="AO110">
        <f>IF(Games[[#This Row],[Team]]="","",IF(Games[[#This Row],[Type]]="R",IF(Games[[#This Row],[Result]]=0.5,1,0),0))</f>
        <v>0</v>
      </c>
    </row>
    <row r="111" spans="1:41" x14ac:dyDescent="0.35">
      <c r="A111" s="8">
        <v>35330</v>
      </c>
      <c r="B111">
        <v>1996</v>
      </c>
      <c r="C111" t="s">
        <v>197</v>
      </c>
      <c r="D111" t="s">
        <v>199</v>
      </c>
      <c r="E111" t="s">
        <v>98</v>
      </c>
      <c r="F111" t="s">
        <v>141</v>
      </c>
      <c r="G111" t="s">
        <v>200</v>
      </c>
      <c r="H111">
        <v>18</v>
      </c>
      <c r="I111">
        <v>33</v>
      </c>
      <c r="J111">
        <v>0</v>
      </c>
      <c r="K11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1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1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1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11">
        <f>IF(Games[[#This Row],[Team]]="","",IF(Games[[#This Row],[Conf]]=Games[[#This Row],[OppConf]],1,0))</f>
        <v>1</v>
      </c>
      <c r="P111">
        <f>IF(Games[[#This Row],[Team]]="","",IF(AND(Games[[#This Row],[Conf]]=Games[[#This Row],[OppConf]],Games[[#This Row],[Div]]=Games[[#This Row],[OppDiv]]),1,0))</f>
        <v>0</v>
      </c>
      <c r="Q111">
        <f>IF(Games[[#This Row],[Team]]="","",_xlfn.MINIFS(Games[Date],Games[Season],Games[[#This Row],[Season]]))</f>
        <v>35309</v>
      </c>
      <c r="R111">
        <f>IF(Games[[#This Row],[Team]]="","",INT((Games[[#This Row],[Date]]-(Games[[#This Row],[SeasonStart]]-MOD(WEEKDAY(Games[[#This Row],[SeasonStart]],2)-2,7)))/7)+1)</f>
        <v>4</v>
      </c>
      <c r="S111">
        <f>IF(Games[[#This Row],[Team]]="","",COUNTIFS(Games[Team],Games[[#This Row],[Team]],Games[Season],Games[[#This Row],[Season]],Games[Week],"&lt;="&amp;Games[[#This Row],[Week]]))</f>
        <v>3</v>
      </c>
      <c r="T111">
        <f>IF(Games[[#This Row],[Team]]="","",_xlfn.MAXIFS(Games[Week],Games[Team],Games[[#This Row],[Team]],Games[Season],Games[[#This Row],[Season]],Games[Week],"&lt;"&amp;Games[[#This Row],[Week]]))</f>
        <v>2</v>
      </c>
      <c r="U111">
        <f>IF(Games[[#This Row],[Team]]="","",_xlfn.MAXIFS(Games[Week],Games[Team],Games[[#This Row],[Opponent]],Games[Season],Games[[#This Row],[Season]],Games[Week],"&lt;"&amp;Games[[#This Row],[Week]]))</f>
        <v>3</v>
      </c>
      <c r="V11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11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1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11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1445.3048664648495</v>
      </c>
      <c r="Z11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1504.8326261209834</v>
      </c>
      <c r="AA11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0.5522958164379993</v>
      </c>
      <c r="AB111">
        <f>IF(Games[[#This Row],[Team]]="","",Games[[#This Row],[PointsFor]]-Games[[#This Row],[PointsAgainst]])</f>
        <v>-15</v>
      </c>
      <c r="AC111">
        <f>IF(Games[[#This Row],[Team]]="","",IF(Games[[#This Row],[MOV]]&gt;0,1,IF(Games[[#This Row],[MOV]]=0,0.5,0)))</f>
        <v>0</v>
      </c>
      <c r="AD111">
        <f>IF(Games[[#This Row],[Team]]="","",--(OR(AND(Games[[#This Row],[ExpectedWin]]&gt;=0.5,Games[[#This Row],[Result]]=1),AND(Games[[#This Row],[ExpectedWin]]&lt;0.5,Games[[#This Row],[Result]]=0))))</f>
        <v>0</v>
      </c>
      <c r="AE111">
        <f>IF(Games[[#This Row],[Team]]="","",-(Games[[#This Row],[Result]]*LN(Games[[#This Row],[ExpectedWin]])+(1-Games[[#This Row],[Result]])*LN(1-Games[[#This Row],[ExpectedWin]])))</f>
        <v>0.80362256921331854</v>
      </c>
      <c r="AF111">
        <f>IF(Games[[#This Row],[Team]]="","",IF(Games[[#This Row],[Season]]&gt;=2021,17,16))</f>
        <v>16</v>
      </c>
      <c r="AG111">
        <f>IF(Games[[#This Row],[Team]]="","",KMax-(KMax-KFloor)*MIN(Games[[#This Row],[GamesPlayed]],Games[[#This Row],[SeasonLen]])/Games[[#This Row],[SeasonLen]])</f>
        <v>44.162500000000001</v>
      </c>
      <c r="AH111">
        <f>IF(Games[[#This Row],[Team]]="","",((ABS(Games[[#This Row],[MOV]])+3)^0.8)/(7.5+0.006*ABS(Games[[#This Row],[PreGmRate]]-Games[[#This Row],[OppPreGmRate]]))*IF(Games[[#This Row],[OT]]=1,0.7,1))</f>
        <v>1.2851447445537292</v>
      </c>
      <c r="AI11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1">
        <f>IF(Games[[#This Row],[Team]]="","",Games[[#This Row],[K]]*IF(Games[[#This Row],[DivG]]=1,DivMult,1)*IF(Games[[#This Row],[ConfG]]=1,ConfMult,1)*Games[[#This Row],[POMult]])</f>
        <v>45.045750000000005</v>
      </c>
      <c r="AK111">
        <f>IF(Games[[#This Row],[Team]]="","",(Games[[#This Row],[Keff]]*Games[[#This Row],[MOVMult]])*(Games[[#This Row],[Result]]-Games[[#This Row],[ExpectedWin]]))</f>
        <v>-31.972575405060265</v>
      </c>
      <c r="AL111">
        <f>IF(Games[[#This Row],[Team]]="","",Games[[#This Row],[PreGmRate]]+Games[[#This Row],[RatingChange]])</f>
        <v>1413.3322910597892</v>
      </c>
      <c r="AM111">
        <f>IF(Games[[#This Row],[Team]]="","",IF(Games[[#This Row],[Type]]="R",IF(Games[[#This Row],[Result]]&gt;0.5,1,0),0))</f>
        <v>0</v>
      </c>
      <c r="AN111">
        <f>IF(Games[[#This Row],[Team]]="","",IF(Games[[#This Row],[Type]]="R",IF(Games[[#This Row],[Result]]&lt;0.5,1,0),0))</f>
        <v>1</v>
      </c>
      <c r="AO111">
        <f>IF(Games[[#This Row],[Team]]="","",IF(Games[[#This Row],[Type]]="R",IF(Games[[#This Row],[Result]]=0.5,1,0),0))</f>
        <v>0</v>
      </c>
    </row>
    <row r="112" spans="1:41" x14ac:dyDescent="0.35">
      <c r="A112" s="8">
        <v>35331</v>
      </c>
      <c r="B112">
        <v>1996</v>
      </c>
      <c r="C112" t="s">
        <v>197</v>
      </c>
      <c r="D112" t="s">
        <v>199</v>
      </c>
      <c r="E112" t="s">
        <v>122</v>
      </c>
      <c r="F112" t="s">
        <v>128</v>
      </c>
      <c r="G112" t="s">
        <v>200</v>
      </c>
      <c r="H112">
        <v>10</v>
      </c>
      <c r="I112">
        <v>6</v>
      </c>
      <c r="J112">
        <v>0</v>
      </c>
      <c r="K11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1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1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1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12">
        <f>IF(Games[[#This Row],[Team]]="","",IF(Games[[#This Row],[Conf]]=Games[[#This Row],[OppConf]],1,0))</f>
        <v>1</v>
      </c>
      <c r="P112">
        <f>IF(Games[[#This Row],[Team]]="","",IF(AND(Games[[#This Row],[Conf]]=Games[[#This Row],[OppConf]],Games[[#This Row],[Div]]=Games[[#This Row],[OppDiv]]),1,0))</f>
        <v>1</v>
      </c>
      <c r="Q112">
        <f>IF(Games[[#This Row],[Team]]="","",_xlfn.MINIFS(Games[Date],Games[Season],Games[[#This Row],[Season]]))</f>
        <v>35309</v>
      </c>
      <c r="R112">
        <f>IF(Games[[#This Row],[Team]]="","",INT((Games[[#This Row],[Date]]-(Games[[#This Row],[SeasonStart]]-MOD(WEEKDAY(Games[[#This Row],[SeasonStart]],2)-2,7)))/7)+1)</f>
        <v>4</v>
      </c>
      <c r="S112">
        <f>IF(Games[[#This Row],[Team]]="","",COUNTIFS(Games[Team],Games[[#This Row],[Team]],Games[Season],Games[[#This Row],[Season]],Games[Week],"&lt;="&amp;Games[[#This Row],[Week]]))</f>
        <v>4</v>
      </c>
      <c r="T112">
        <f>IF(Games[[#This Row],[Team]]="","",_xlfn.MAXIFS(Games[Week],Games[Team],Games[[#This Row],[Team]],Games[Season],Games[[#This Row],[Season]],Games[Week],"&lt;"&amp;Games[[#This Row],[Week]]))</f>
        <v>3</v>
      </c>
      <c r="U112">
        <f>IF(Games[[#This Row],[Team]]="","",_xlfn.MAXIFS(Games[Week],Games[Team],Games[[#This Row],[Opponent]],Games[Season],Games[[#This Row],[Season]],Games[Week],"&lt;"&amp;Games[[#This Row],[Week]]))</f>
        <v>3</v>
      </c>
      <c r="V11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11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11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1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1557.8918949644419</v>
      </c>
      <c r="Z11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1584.8233013666641</v>
      </c>
      <c r="AA11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0.56449756425605147</v>
      </c>
      <c r="AB112">
        <f>IF(Games[[#This Row],[Team]]="","",Games[[#This Row],[PointsFor]]-Games[[#This Row],[PointsAgainst]])</f>
        <v>4</v>
      </c>
      <c r="AC112">
        <f>IF(Games[[#This Row],[Team]]="","",IF(Games[[#This Row],[MOV]]&gt;0,1,IF(Games[[#This Row],[MOV]]=0,0.5,0)))</f>
        <v>1</v>
      </c>
      <c r="AD112">
        <f>IF(Games[[#This Row],[Team]]="","",--(OR(AND(Games[[#This Row],[ExpectedWin]]&gt;=0.5,Games[[#This Row],[Result]]=1),AND(Games[[#This Row],[ExpectedWin]]&lt;0.5,Games[[#This Row],[Result]]=0))))</f>
        <v>1</v>
      </c>
      <c r="AE112">
        <f>IF(Games[[#This Row],[Team]]="","",-(Games[[#This Row],[Result]]*LN(Games[[#This Row],[ExpectedWin]])+(1-Games[[#This Row],[Result]])*LN(1-Games[[#This Row],[ExpectedWin]])))</f>
        <v>0.57181921027143456</v>
      </c>
      <c r="AF112">
        <f>IF(Games[[#This Row],[Team]]="","",IF(Games[[#This Row],[Season]]&gt;=2021,17,16))</f>
        <v>16</v>
      </c>
      <c r="AG112">
        <f>IF(Games[[#This Row],[Team]]="","",KMax-(KMax-KFloor)*MIN(Games[[#This Row],[GamesPlayed]],Games[[#This Row],[SeasonLen]])/Games[[#This Row],[SeasonLen]])</f>
        <v>43.55</v>
      </c>
      <c r="AH112">
        <f>IF(Games[[#This Row],[Team]]="","",((ABS(Games[[#This Row],[MOV]])+3)^0.8)/(7.5+0.006*ABS(Games[[#This Row],[PreGmRate]]-Games[[#This Row],[OppPreGmRate]]))*IF(Games[[#This Row],[OT]]=1,0.7,1))</f>
        <v>0.61909830212514905</v>
      </c>
      <c r="AI11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2">
        <f>IF(Games[[#This Row],[Team]]="","",Games[[#This Row],[K]]*IF(Games[[#This Row],[DivG]]=1,DivMult,1)*IF(Games[[#This Row],[ConfG]]=1,ConfMult,1)*Games[[#This Row],[POMult]])</f>
        <v>48.863100000000003</v>
      </c>
      <c r="AK112">
        <f>IF(Games[[#This Row],[Team]]="","",(Games[[#This Row],[Keff]]*Games[[#This Row],[MOVMult]])*(Games[[#This Row],[Result]]-Games[[#This Row],[ExpectedWin]]))</f>
        <v>13.174411292223636</v>
      </c>
      <c r="AL112">
        <f>IF(Games[[#This Row],[Team]]="","",Games[[#This Row],[PreGmRate]]+Games[[#This Row],[RatingChange]])</f>
        <v>1571.0663062566655</v>
      </c>
      <c r="AM112">
        <f>IF(Games[[#This Row],[Team]]="","",IF(Games[[#This Row],[Type]]="R",IF(Games[[#This Row],[Result]]&gt;0.5,1,0),0))</f>
        <v>1</v>
      </c>
      <c r="AN112">
        <f>IF(Games[[#This Row],[Team]]="","",IF(Games[[#This Row],[Type]]="R",IF(Games[[#This Row],[Result]]&lt;0.5,1,0),0))</f>
        <v>0</v>
      </c>
      <c r="AO112">
        <f>IF(Games[[#This Row],[Team]]="","",IF(Games[[#This Row],[Type]]="R",IF(Games[[#This Row],[Result]]=0.5,1,0),0))</f>
        <v>0</v>
      </c>
    </row>
    <row r="113" spans="1:41" x14ac:dyDescent="0.35">
      <c r="A113" s="8">
        <v>35331</v>
      </c>
      <c r="B113">
        <v>1996</v>
      </c>
      <c r="C113" t="s">
        <v>197</v>
      </c>
      <c r="D113" t="s">
        <v>199</v>
      </c>
      <c r="E113" t="s">
        <v>128</v>
      </c>
      <c r="F113" t="s">
        <v>122</v>
      </c>
      <c r="G113" t="s">
        <v>201</v>
      </c>
      <c r="H113">
        <v>6</v>
      </c>
      <c r="I113">
        <v>10</v>
      </c>
      <c r="J113">
        <v>0</v>
      </c>
      <c r="K11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1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1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1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13">
        <f>IF(Games[[#This Row],[Team]]="","",IF(Games[[#This Row],[Conf]]=Games[[#This Row],[OppConf]],1,0))</f>
        <v>1</v>
      </c>
      <c r="P113">
        <f>IF(Games[[#This Row],[Team]]="","",IF(AND(Games[[#This Row],[Conf]]=Games[[#This Row],[OppConf]],Games[[#This Row],[Div]]=Games[[#This Row],[OppDiv]]),1,0))</f>
        <v>1</v>
      </c>
      <c r="Q113">
        <f>IF(Games[[#This Row],[Team]]="","",_xlfn.MINIFS(Games[Date],Games[Season],Games[[#This Row],[Season]]))</f>
        <v>35309</v>
      </c>
      <c r="R113">
        <f>IF(Games[[#This Row],[Team]]="","",INT((Games[[#This Row],[Date]]-(Games[[#This Row],[SeasonStart]]-MOD(WEEKDAY(Games[[#This Row],[SeasonStart]],2)-2,7)))/7)+1)</f>
        <v>4</v>
      </c>
      <c r="S113">
        <f>IF(Games[[#This Row],[Team]]="","",COUNTIFS(Games[Team],Games[[#This Row],[Team]],Games[Season],Games[[#This Row],[Season]],Games[Week],"&lt;="&amp;Games[[#This Row],[Week]]))</f>
        <v>4</v>
      </c>
      <c r="T113">
        <f>IF(Games[[#This Row],[Team]]="","",_xlfn.MAXIFS(Games[Week],Games[Team],Games[[#This Row],[Team]],Games[Season],Games[[#This Row],[Season]],Games[Week],"&lt;"&amp;Games[[#This Row],[Week]]))</f>
        <v>3</v>
      </c>
      <c r="U113">
        <f>IF(Games[[#This Row],[Team]]="","",_xlfn.MAXIFS(Games[Week],Games[Team],Games[[#This Row],[Opponent]],Games[Season],Games[[#This Row],[Season]],Games[Week],"&lt;"&amp;Games[[#This Row],[Week]]))</f>
        <v>3</v>
      </c>
      <c r="V11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11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11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1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1584.8233013666641</v>
      </c>
      <c r="Z11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1557.8918949644419</v>
      </c>
      <c r="AA11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0.43550243574394848</v>
      </c>
      <c r="AB113">
        <f>IF(Games[[#This Row],[Team]]="","",Games[[#This Row],[PointsFor]]-Games[[#This Row],[PointsAgainst]])</f>
        <v>-4</v>
      </c>
      <c r="AC113">
        <f>IF(Games[[#This Row],[Team]]="","",IF(Games[[#This Row],[MOV]]&gt;0,1,IF(Games[[#This Row],[MOV]]=0,0.5,0)))</f>
        <v>0</v>
      </c>
      <c r="AD113">
        <f>IF(Games[[#This Row],[Team]]="","",--(OR(AND(Games[[#This Row],[ExpectedWin]]&gt;=0.5,Games[[#This Row],[Result]]=1),AND(Games[[#This Row],[ExpectedWin]]&lt;0.5,Games[[#This Row],[Result]]=0))))</f>
        <v>1</v>
      </c>
      <c r="AE113">
        <f>IF(Games[[#This Row],[Team]]="","",-(Games[[#This Row],[Result]]*LN(Games[[#This Row],[ExpectedWin]])+(1-Games[[#This Row],[Result]])*LN(1-Games[[#This Row],[ExpectedWin]])))</f>
        <v>0.57181921027143456</v>
      </c>
      <c r="AF113">
        <f>IF(Games[[#This Row],[Team]]="","",IF(Games[[#This Row],[Season]]&gt;=2021,17,16))</f>
        <v>16</v>
      </c>
      <c r="AG113">
        <f>IF(Games[[#This Row],[Team]]="","",KMax-(KMax-KFloor)*MIN(Games[[#This Row],[GamesPlayed]],Games[[#This Row],[SeasonLen]])/Games[[#This Row],[SeasonLen]])</f>
        <v>43.55</v>
      </c>
      <c r="AH113">
        <f>IF(Games[[#This Row],[Team]]="","",((ABS(Games[[#This Row],[MOV]])+3)^0.8)/(7.5+0.006*ABS(Games[[#This Row],[PreGmRate]]-Games[[#This Row],[OppPreGmRate]]))*IF(Games[[#This Row],[OT]]=1,0.7,1))</f>
        <v>0.61909830212514905</v>
      </c>
      <c r="AI11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3">
        <f>IF(Games[[#This Row],[Team]]="","",Games[[#This Row],[K]]*IF(Games[[#This Row],[DivG]]=1,DivMult,1)*IF(Games[[#This Row],[ConfG]]=1,ConfMult,1)*Games[[#This Row],[POMult]])</f>
        <v>48.863100000000003</v>
      </c>
      <c r="AK113">
        <f>IF(Games[[#This Row],[Team]]="","",(Games[[#This Row],[Keff]]*Games[[#This Row],[MOVMult]])*(Games[[#This Row],[Result]]-Games[[#This Row],[ExpectedWin]]))</f>
        <v>-13.174411292223635</v>
      </c>
      <c r="AL113">
        <f>IF(Games[[#This Row],[Team]]="","",Games[[#This Row],[PreGmRate]]+Games[[#This Row],[RatingChange]])</f>
        <v>1571.6488900744405</v>
      </c>
      <c r="AM113">
        <f>IF(Games[[#This Row],[Team]]="","",IF(Games[[#This Row],[Type]]="R",IF(Games[[#This Row],[Result]]&gt;0.5,1,0),0))</f>
        <v>0</v>
      </c>
      <c r="AN113">
        <f>IF(Games[[#This Row],[Team]]="","",IF(Games[[#This Row],[Type]]="R",IF(Games[[#This Row],[Result]]&lt;0.5,1,0),0))</f>
        <v>1</v>
      </c>
      <c r="AO113">
        <f>IF(Games[[#This Row],[Team]]="","",IF(Games[[#This Row],[Type]]="R",IF(Games[[#This Row],[Result]]=0.5,1,0),0))</f>
        <v>0</v>
      </c>
    </row>
    <row r="114" spans="1:41" x14ac:dyDescent="0.35">
      <c r="A114" s="8">
        <v>35337</v>
      </c>
      <c r="B114">
        <v>1996</v>
      </c>
      <c r="C114" t="s">
        <v>197</v>
      </c>
      <c r="D114" t="s">
        <v>199</v>
      </c>
      <c r="E114" t="s">
        <v>124</v>
      </c>
      <c r="F114" t="s">
        <v>108</v>
      </c>
      <c r="G114" t="s">
        <v>200</v>
      </c>
      <c r="H114">
        <v>24</v>
      </c>
      <c r="I114">
        <v>14</v>
      </c>
      <c r="J114">
        <v>0</v>
      </c>
      <c r="K11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1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1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1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14">
        <f>IF(Games[[#This Row],[Team]]="","",IF(Games[[#This Row],[Conf]]=Games[[#This Row],[OppConf]],1,0))</f>
        <v>0</v>
      </c>
      <c r="P114">
        <f>IF(Games[[#This Row],[Team]]="","",IF(AND(Games[[#This Row],[Conf]]=Games[[#This Row],[OppConf]],Games[[#This Row],[Div]]=Games[[#This Row],[OppDiv]]),1,0))</f>
        <v>0</v>
      </c>
      <c r="Q114">
        <f>IF(Games[[#This Row],[Team]]="","",_xlfn.MINIFS(Games[Date],Games[Season],Games[[#This Row],[Season]]))</f>
        <v>35309</v>
      </c>
      <c r="R114">
        <f>IF(Games[[#This Row],[Team]]="","",INT((Games[[#This Row],[Date]]-(Games[[#This Row],[SeasonStart]]-MOD(WEEKDAY(Games[[#This Row],[SeasonStart]],2)-2,7)))/7)+1)</f>
        <v>5</v>
      </c>
      <c r="S114">
        <f>IF(Games[[#This Row],[Team]]="","",COUNTIFS(Games[Team],Games[[#This Row],[Team]],Games[Season],Games[[#This Row],[Season]],Games[Week],"&lt;="&amp;Games[[#This Row],[Week]]))</f>
        <v>5</v>
      </c>
      <c r="T114">
        <f>IF(Games[[#This Row],[Team]]="","",_xlfn.MAXIFS(Games[Week],Games[Team],Games[[#This Row],[Team]],Games[Season],Games[[#This Row],[Season]],Games[Week],"&lt;"&amp;Games[[#This Row],[Week]]))</f>
        <v>4</v>
      </c>
      <c r="U114">
        <f>IF(Games[[#This Row],[Team]]="","",_xlfn.MAXIFS(Games[Week],Games[Team],Games[[#This Row],[Opponent]],Games[Season],Games[[#This Row],[Season]],Games[Week],"&lt;"&amp;Games[[#This Row],[Week]]))</f>
        <v>4</v>
      </c>
      <c r="V11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1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1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1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1468.7122208473511</v>
      </c>
      <c r="Z11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1578.0040258552567</v>
      </c>
      <c r="AA11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0.44653792757230532</v>
      </c>
      <c r="AB114">
        <f>IF(Games[[#This Row],[Team]]="","",Games[[#This Row],[PointsFor]]-Games[[#This Row],[PointsAgainst]])</f>
        <v>10</v>
      </c>
      <c r="AC114">
        <f>IF(Games[[#This Row],[Team]]="","",IF(Games[[#This Row],[MOV]]&gt;0,1,IF(Games[[#This Row],[MOV]]=0,0.5,0)))</f>
        <v>1</v>
      </c>
      <c r="AD114">
        <f>IF(Games[[#This Row],[Team]]="","",--(OR(AND(Games[[#This Row],[ExpectedWin]]&gt;=0.5,Games[[#This Row],[Result]]=1),AND(Games[[#This Row],[ExpectedWin]]&lt;0.5,Games[[#This Row],[Result]]=0))))</f>
        <v>0</v>
      </c>
      <c r="AE114">
        <f>IF(Games[[#This Row],[Team]]="","",-(Games[[#This Row],[Result]]*LN(Games[[#This Row],[ExpectedWin]])+(1-Games[[#This Row],[Result]])*LN(1-Games[[#This Row],[ExpectedWin]])))</f>
        <v>0.80623093810223856</v>
      </c>
      <c r="AF114">
        <f>IF(Games[[#This Row],[Team]]="","",IF(Games[[#This Row],[Season]]&gt;=2021,17,16))</f>
        <v>16</v>
      </c>
      <c r="AG114">
        <f>IF(Games[[#This Row],[Team]]="","",KMax-(KMax-KFloor)*MIN(Games[[#This Row],[GamesPlayed]],Games[[#This Row],[SeasonLen]])/Games[[#This Row],[SeasonLen]])</f>
        <v>42.9375</v>
      </c>
      <c r="AH114">
        <f>IF(Games[[#This Row],[Team]]="","",((ABS(Games[[#This Row],[MOV]])+3)^0.8)/(7.5+0.006*ABS(Games[[#This Row],[PreGmRate]]-Games[[#This Row],[OppPreGmRate]]))*IF(Games[[#This Row],[OT]]=1,0.7,1))</f>
        <v>0.9543127646034526</v>
      </c>
      <c r="AI11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4">
        <f>IF(Games[[#This Row],[Team]]="","",Games[[#This Row],[K]]*IF(Games[[#This Row],[DivG]]=1,DivMult,1)*IF(Games[[#This Row],[ConfG]]=1,ConfMult,1)*Games[[#This Row],[POMult]])</f>
        <v>42.9375</v>
      </c>
      <c r="AK114">
        <f>IF(Games[[#This Row],[Team]]="","",(Games[[#This Row],[Keff]]*Games[[#This Row],[MOVMult]])*(Games[[#This Row],[Result]]-Games[[#This Row],[ExpectedWin]]))</f>
        <v>22.678553583962472</v>
      </c>
      <c r="AL114">
        <f>IF(Games[[#This Row],[Team]]="","",Games[[#This Row],[PreGmRate]]+Games[[#This Row],[RatingChange]])</f>
        <v>1491.3907744313135</v>
      </c>
      <c r="AM114">
        <f>IF(Games[[#This Row],[Team]]="","",IF(Games[[#This Row],[Type]]="R",IF(Games[[#This Row],[Result]]&gt;0.5,1,0),0))</f>
        <v>1</v>
      </c>
      <c r="AN114">
        <f>IF(Games[[#This Row],[Team]]="","",IF(Games[[#This Row],[Type]]="R",IF(Games[[#This Row],[Result]]&lt;0.5,1,0),0))</f>
        <v>0</v>
      </c>
      <c r="AO114">
        <f>IF(Games[[#This Row],[Team]]="","",IF(Games[[#This Row],[Type]]="R",IF(Games[[#This Row],[Result]]=0.5,1,0),0))</f>
        <v>0</v>
      </c>
    </row>
    <row r="115" spans="1:41" x14ac:dyDescent="0.35">
      <c r="A115" s="8">
        <v>35337</v>
      </c>
      <c r="B115">
        <v>1996</v>
      </c>
      <c r="C115" t="s">
        <v>197</v>
      </c>
      <c r="D115" t="s">
        <v>199</v>
      </c>
      <c r="E115" t="s">
        <v>108</v>
      </c>
      <c r="F115" t="s">
        <v>124</v>
      </c>
      <c r="G115" t="s">
        <v>201</v>
      </c>
      <c r="H115">
        <v>14</v>
      </c>
      <c r="I115">
        <v>24</v>
      </c>
      <c r="J115">
        <v>0</v>
      </c>
      <c r="K11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1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1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1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15">
        <f>IF(Games[[#This Row],[Team]]="","",IF(Games[[#This Row],[Conf]]=Games[[#This Row],[OppConf]],1,0))</f>
        <v>0</v>
      </c>
      <c r="P115">
        <f>IF(Games[[#This Row],[Team]]="","",IF(AND(Games[[#This Row],[Conf]]=Games[[#This Row],[OppConf]],Games[[#This Row],[Div]]=Games[[#This Row],[OppDiv]]),1,0))</f>
        <v>0</v>
      </c>
      <c r="Q115">
        <f>IF(Games[[#This Row],[Team]]="","",_xlfn.MINIFS(Games[Date],Games[Season],Games[[#This Row],[Season]]))</f>
        <v>35309</v>
      </c>
      <c r="R115">
        <f>IF(Games[[#This Row],[Team]]="","",INT((Games[[#This Row],[Date]]-(Games[[#This Row],[SeasonStart]]-MOD(WEEKDAY(Games[[#This Row],[SeasonStart]],2)-2,7)))/7)+1)</f>
        <v>5</v>
      </c>
      <c r="S115">
        <f>IF(Games[[#This Row],[Team]]="","",COUNTIFS(Games[Team],Games[[#This Row],[Team]],Games[Season],Games[[#This Row],[Season]],Games[Week],"&lt;="&amp;Games[[#This Row],[Week]]))</f>
        <v>4</v>
      </c>
      <c r="T115">
        <f>IF(Games[[#This Row],[Team]]="","",_xlfn.MAXIFS(Games[Week],Games[Team],Games[[#This Row],[Team]],Games[Season],Games[[#This Row],[Season]],Games[Week],"&lt;"&amp;Games[[#This Row],[Week]]))</f>
        <v>4</v>
      </c>
      <c r="U115">
        <f>IF(Games[[#This Row],[Team]]="","",_xlfn.MAXIFS(Games[Week],Games[Team],Games[[#This Row],[Opponent]],Games[Season],Games[[#This Row],[Season]],Games[Week],"&lt;"&amp;Games[[#This Row],[Week]]))</f>
        <v>4</v>
      </c>
      <c r="V11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1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1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1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1578.0040258552567</v>
      </c>
      <c r="Z11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1468.7122208473511</v>
      </c>
      <c r="AA11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0.55346207242769474</v>
      </c>
      <c r="AB115">
        <f>IF(Games[[#This Row],[Team]]="","",Games[[#This Row],[PointsFor]]-Games[[#This Row],[PointsAgainst]])</f>
        <v>-10</v>
      </c>
      <c r="AC115">
        <f>IF(Games[[#This Row],[Team]]="","",IF(Games[[#This Row],[MOV]]&gt;0,1,IF(Games[[#This Row],[MOV]]=0,0.5,0)))</f>
        <v>0</v>
      </c>
      <c r="AD115">
        <f>IF(Games[[#This Row],[Team]]="","",--(OR(AND(Games[[#This Row],[ExpectedWin]]&gt;=0.5,Games[[#This Row],[Result]]=1),AND(Games[[#This Row],[ExpectedWin]]&lt;0.5,Games[[#This Row],[Result]]=0))))</f>
        <v>0</v>
      </c>
      <c r="AE115">
        <f>IF(Games[[#This Row],[Team]]="","",-(Games[[#This Row],[Result]]*LN(Games[[#This Row],[ExpectedWin]])+(1-Games[[#This Row],[Result]])*LN(1-Games[[#This Row],[ExpectedWin]])))</f>
        <v>0.80623093810223867</v>
      </c>
      <c r="AF115">
        <f>IF(Games[[#This Row],[Team]]="","",IF(Games[[#This Row],[Season]]&gt;=2021,17,16))</f>
        <v>16</v>
      </c>
      <c r="AG115">
        <f>IF(Games[[#This Row],[Team]]="","",KMax-(KMax-KFloor)*MIN(Games[[#This Row],[GamesPlayed]],Games[[#This Row],[SeasonLen]])/Games[[#This Row],[SeasonLen]])</f>
        <v>43.55</v>
      </c>
      <c r="AH115">
        <f>IF(Games[[#This Row],[Team]]="","",((ABS(Games[[#This Row],[MOV]])+3)^0.8)/(7.5+0.006*ABS(Games[[#This Row],[PreGmRate]]-Games[[#This Row],[OppPreGmRate]]))*IF(Games[[#This Row],[OT]]=1,0.7,1))</f>
        <v>0.9543127646034526</v>
      </c>
      <c r="AI11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5">
        <f>IF(Games[[#This Row],[Team]]="","",Games[[#This Row],[K]]*IF(Games[[#This Row],[DivG]]=1,DivMult,1)*IF(Games[[#This Row],[ConfG]]=1,ConfMult,1)*Games[[#This Row],[POMult]])</f>
        <v>43.55</v>
      </c>
      <c r="AK115">
        <f>IF(Games[[#This Row],[Team]]="","",(Games[[#This Row],[Keff]]*Games[[#This Row],[MOVMult]])*(Games[[#This Row],[Result]]-Games[[#This Row],[ExpectedWin]]))</f>
        <v>-23.00206133523297</v>
      </c>
      <c r="AL115">
        <f>IF(Games[[#This Row],[Team]]="","",Games[[#This Row],[PreGmRate]]+Games[[#This Row],[RatingChange]])</f>
        <v>1555.0019645200236</v>
      </c>
      <c r="AM115">
        <f>IF(Games[[#This Row],[Team]]="","",IF(Games[[#This Row],[Type]]="R",IF(Games[[#This Row],[Result]]&gt;0.5,1,0),0))</f>
        <v>0</v>
      </c>
      <c r="AN115">
        <f>IF(Games[[#This Row],[Team]]="","",IF(Games[[#This Row],[Type]]="R",IF(Games[[#This Row],[Result]]&lt;0.5,1,0),0))</f>
        <v>1</v>
      </c>
      <c r="AO115">
        <f>IF(Games[[#This Row],[Team]]="","",IF(Games[[#This Row],[Type]]="R",IF(Games[[#This Row],[Result]]=0.5,1,0),0))</f>
        <v>0</v>
      </c>
    </row>
    <row r="116" spans="1:41" x14ac:dyDescent="0.35">
      <c r="A116" s="8">
        <v>35337</v>
      </c>
      <c r="B116">
        <v>1996</v>
      </c>
      <c r="C116" t="s">
        <v>197</v>
      </c>
      <c r="D116" t="s">
        <v>199</v>
      </c>
      <c r="E116" t="s">
        <v>116</v>
      </c>
      <c r="F116" t="s">
        <v>112</v>
      </c>
      <c r="G116" t="s">
        <v>201</v>
      </c>
      <c r="H116">
        <v>14</v>
      </c>
      <c r="I116">
        <v>10</v>
      </c>
      <c r="J116">
        <v>0</v>
      </c>
      <c r="K11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1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1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1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16">
        <f>IF(Games[[#This Row],[Team]]="","",IF(Games[[#This Row],[Conf]]=Games[[#This Row],[OppConf]],1,0))</f>
        <v>1</v>
      </c>
      <c r="P116">
        <f>IF(Games[[#This Row],[Team]]="","",IF(AND(Games[[#This Row],[Conf]]=Games[[#This Row],[OppConf]],Games[[#This Row],[Div]]=Games[[#This Row],[OppDiv]]),1,0))</f>
        <v>0</v>
      </c>
      <c r="Q116">
        <f>IF(Games[[#This Row],[Team]]="","",_xlfn.MINIFS(Games[Date],Games[Season],Games[[#This Row],[Season]]))</f>
        <v>35309</v>
      </c>
      <c r="R116">
        <f>IF(Games[[#This Row],[Team]]="","",INT((Games[[#This Row],[Date]]-(Games[[#This Row],[SeasonStart]]-MOD(WEEKDAY(Games[[#This Row],[SeasonStart]],2)-2,7)))/7)+1)</f>
        <v>5</v>
      </c>
      <c r="S116">
        <f>IF(Games[[#This Row],[Team]]="","",COUNTIFS(Games[Team],Games[[#This Row],[Team]],Games[Season],Games[[#This Row],[Season]],Games[Week],"&lt;="&amp;Games[[#This Row],[Week]]))</f>
        <v>5</v>
      </c>
      <c r="T116">
        <f>IF(Games[[#This Row],[Team]]="","",_xlfn.MAXIFS(Games[Week],Games[Team],Games[[#This Row],[Team]],Games[Season],Games[[#This Row],[Season]],Games[Week],"&lt;"&amp;Games[[#This Row],[Week]]))</f>
        <v>4</v>
      </c>
      <c r="U116">
        <f>IF(Games[[#This Row],[Team]]="","",_xlfn.MAXIFS(Games[Week],Games[Team],Games[[#This Row],[Opponent]],Games[Season],Games[[#This Row],[Season]],Games[Week],"&lt;"&amp;Games[[#This Row],[Week]]))</f>
        <v>3</v>
      </c>
      <c r="V11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1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11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11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1554.8063793758763</v>
      </c>
      <c r="Z11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1487.0299644903289</v>
      </c>
      <c r="AA11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0.45947210420956242</v>
      </c>
      <c r="AB116">
        <f>IF(Games[[#This Row],[Team]]="","",Games[[#This Row],[PointsFor]]-Games[[#This Row],[PointsAgainst]])</f>
        <v>4</v>
      </c>
      <c r="AC116">
        <f>IF(Games[[#This Row],[Team]]="","",IF(Games[[#This Row],[MOV]]&gt;0,1,IF(Games[[#This Row],[MOV]]=0,0.5,0)))</f>
        <v>1</v>
      </c>
      <c r="AD116">
        <f>IF(Games[[#This Row],[Team]]="","",--(OR(AND(Games[[#This Row],[ExpectedWin]]&gt;=0.5,Games[[#This Row],[Result]]=1),AND(Games[[#This Row],[ExpectedWin]]&lt;0.5,Games[[#This Row],[Result]]=0))))</f>
        <v>0</v>
      </c>
      <c r="AE116">
        <f>IF(Games[[#This Row],[Team]]="","",-(Games[[#This Row],[Result]]*LN(Games[[#This Row],[ExpectedWin]])+(1-Games[[#This Row],[Result]])*LN(1-Games[[#This Row],[ExpectedWin]])))</f>
        <v>0.77767704804000748</v>
      </c>
      <c r="AF116">
        <f>IF(Games[[#This Row],[Team]]="","",IF(Games[[#This Row],[Season]]&gt;=2021,17,16))</f>
        <v>16</v>
      </c>
      <c r="AG116">
        <f>IF(Games[[#This Row],[Team]]="","",KMax-(KMax-KFloor)*MIN(Games[[#This Row],[GamesPlayed]],Games[[#This Row],[SeasonLen]])/Games[[#This Row],[SeasonLen]])</f>
        <v>42.9375</v>
      </c>
      <c r="AH116">
        <f>IF(Games[[#This Row],[Team]]="","",((ABS(Games[[#This Row],[MOV]])+3)^0.8)/(7.5+0.006*ABS(Games[[#This Row],[PreGmRate]]-Games[[#This Row],[OppPreGmRate]]))*IF(Games[[#This Row],[OT]]=1,0.7,1))</f>
        <v>0.59990910195684111</v>
      </c>
      <c r="AI11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6">
        <f>IF(Games[[#This Row],[Team]]="","",Games[[#This Row],[K]]*IF(Games[[#This Row],[DivG]]=1,DivMult,1)*IF(Games[[#This Row],[ConfG]]=1,ConfMult,1)*Games[[#This Row],[POMult]])</f>
        <v>43.796250000000001</v>
      </c>
      <c r="AK116">
        <f>IF(Games[[#This Row],[Team]]="","",(Games[[#This Row],[Keff]]*Games[[#This Row],[MOVMult]])*(Games[[#This Row],[Result]]-Games[[#This Row],[ExpectedWin]]))</f>
        <v>14.201705075609246</v>
      </c>
      <c r="AL116">
        <f>IF(Games[[#This Row],[Team]]="","",Games[[#This Row],[PreGmRate]]+Games[[#This Row],[RatingChange]])</f>
        <v>1569.0080844514855</v>
      </c>
      <c r="AM116">
        <f>IF(Games[[#This Row],[Team]]="","",IF(Games[[#This Row],[Type]]="R",IF(Games[[#This Row],[Result]]&gt;0.5,1,0),0))</f>
        <v>1</v>
      </c>
      <c r="AN116">
        <f>IF(Games[[#This Row],[Team]]="","",IF(Games[[#This Row],[Type]]="R",IF(Games[[#This Row],[Result]]&lt;0.5,1,0),0))</f>
        <v>0</v>
      </c>
      <c r="AO116">
        <f>IF(Games[[#This Row],[Team]]="","",IF(Games[[#This Row],[Type]]="R",IF(Games[[#This Row],[Result]]=0.5,1,0),0))</f>
        <v>0</v>
      </c>
    </row>
    <row r="117" spans="1:41" x14ac:dyDescent="0.35">
      <c r="A117" s="8">
        <v>35337</v>
      </c>
      <c r="B117">
        <v>1996</v>
      </c>
      <c r="C117" t="s">
        <v>197</v>
      </c>
      <c r="D117" t="s">
        <v>199</v>
      </c>
      <c r="E117" t="s">
        <v>112</v>
      </c>
      <c r="F117" t="s">
        <v>116</v>
      </c>
      <c r="G117" t="s">
        <v>200</v>
      </c>
      <c r="H117">
        <v>10</v>
      </c>
      <c r="I117">
        <v>14</v>
      </c>
      <c r="J117">
        <v>0</v>
      </c>
      <c r="K11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1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1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1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17">
        <f>IF(Games[[#This Row],[Team]]="","",IF(Games[[#This Row],[Conf]]=Games[[#This Row],[OppConf]],1,0))</f>
        <v>1</v>
      </c>
      <c r="P117">
        <f>IF(Games[[#This Row],[Team]]="","",IF(AND(Games[[#This Row],[Conf]]=Games[[#This Row],[OppConf]],Games[[#This Row],[Div]]=Games[[#This Row],[OppDiv]]),1,0))</f>
        <v>0</v>
      </c>
      <c r="Q117">
        <f>IF(Games[[#This Row],[Team]]="","",_xlfn.MINIFS(Games[Date],Games[Season],Games[[#This Row],[Season]]))</f>
        <v>35309</v>
      </c>
      <c r="R117">
        <f>IF(Games[[#This Row],[Team]]="","",INT((Games[[#This Row],[Date]]-(Games[[#This Row],[SeasonStart]]-MOD(WEEKDAY(Games[[#This Row],[SeasonStart]],2)-2,7)))/7)+1)</f>
        <v>5</v>
      </c>
      <c r="S117">
        <f>IF(Games[[#This Row],[Team]]="","",COUNTIFS(Games[Team],Games[[#This Row],[Team]],Games[Season],Games[[#This Row],[Season]],Games[Week],"&lt;="&amp;Games[[#This Row],[Week]]))</f>
        <v>4</v>
      </c>
      <c r="T117">
        <f>IF(Games[[#This Row],[Team]]="","",_xlfn.MAXIFS(Games[Week],Games[Team],Games[[#This Row],[Team]],Games[Season],Games[[#This Row],[Season]],Games[Week],"&lt;"&amp;Games[[#This Row],[Week]]))</f>
        <v>3</v>
      </c>
      <c r="U117">
        <f>IF(Games[[#This Row],[Team]]="","",_xlfn.MAXIFS(Games[Week],Games[Team],Games[[#This Row],[Opponent]],Games[Season],Games[[#This Row],[Season]],Games[Week],"&lt;"&amp;Games[[#This Row],[Week]]))</f>
        <v>4</v>
      </c>
      <c r="V11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11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1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11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1487.0299644903289</v>
      </c>
      <c r="Z11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1554.8063793758763</v>
      </c>
      <c r="AA11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0.54052789579043758</v>
      </c>
      <c r="AB117">
        <f>IF(Games[[#This Row],[Team]]="","",Games[[#This Row],[PointsFor]]-Games[[#This Row],[PointsAgainst]])</f>
        <v>-4</v>
      </c>
      <c r="AC117">
        <f>IF(Games[[#This Row],[Team]]="","",IF(Games[[#This Row],[MOV]]&gt;0,1,IF(Games[[#This Row],[MOV]]=0,0.5,0)))</f>
        <v>0</v>
      </c>
      <c r="AD117">
        <f>IF(Games[[#This Row],[Team]]="","",--(OR(AND(Games[[#This Row],[ExpectedWin]]&gt;=0.5,Games[[#This Row],[Result]]=1),AND(Games[[#This Row],[ExpectedWin]]&lt;0.5,Games[[#This Row],[Result]]=0))))</f>
        <v>0</v>
      </c>
      <c r="AE117">
        <f>IF(Games[[#This Row],[Team]]="","",-(Games[[#This Row],[Result]]*LN(Games[[#This Row],[ExpectedWin]])+(1-Games[[#This Row],[Result]])*LN(1-Games[[#This Row],[ExpectedWin]])))</f>
        <v>0.77767704804000748</v>
      </c>
      <c r="AF117">
        <f>IF(Games[[#This Row],[Team]]="","",IF(Games[[#This Row],[Season]]&gt;=2021,17,16))</f>
        <v>16</v>
      </c>
      <c r="AG117">
        <f>IF(Games[[#This Row],[Team]]="","",KMax-(KMax-KFloor)*MIN(Games[[#This Row],[GamesPlayed]],Games[[#This Row],[SeasonLen]])/Games[[#This Row],[SeasonLen]])</f>
        <v>43.55</v>
      </c>
      <c r="AH117">
        <f>IF(Games[[#This Row],[Team]]="","",((ABS(Games[[#This Row],[MOV]])+3)^0.8)/(7.5+0.006*ABS(Games[[#This Row],[PreGmRate]]-Games[[#This Row],[OppPreGmRate]]))*IF(Games[[#This Row],[OT]]=1,0.7,1))</f>
        <v>0.59990910195684111</v>
      </c>
      <c r="AI11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7">
        <f>IF(Games[[#This Row],[Team]]="","",Games[[#This Row],[K]]*IF(Games[[#This Row],[DivG]]=1,DivMult,1)*IF(Games[[#This Row],[ConfG]]=1,ConfMult,1)*Games[[#This Row],[POMult]])</f>
        <v>44.420999999999999</v>
      </c>
      <c r="AK117">
        <f>IF(Games[[#This Row],[Team]]="","",(Games[[#This Row],[Keff]]*Games[[#This Row],[MOVMult]])*(Games[[#This Row],[Result]]-Games[[#This Row],[ExpectedWin]]))</f>
        <v>-14.404291261549522</v>
      </c>
      <c r="AL117">
        <f>IF(Games[[#This Row],[Team]]="","",Games[[#This Row],[PreGmRate]]+Games[[#This Row],[RatingChange]])</f>
        <v>1472.6256732287793</v>
      </c>
      <c r="AM117">
        <f>IF(Games[[#This Row],[Team]]="","",IF(Games[[#This Row],[Type]]="R",IF(Games[[#This Row],[Result]]&gt;0.5,1,0),0))</f>
        <v>0</v>
      </c>
      <c r="AN117">
        <f>IF(Games[[#This Row],[Team]]="","",IF(Games[[#This Row],[Type]]="R",IF(Games[[#This Row],[Result]]&lt;0.5,1,0),0))</f>
        <v>1</v>
      </c>
      <c r="AO117">
        <f>IF(Games[[#This Row],[Team]]="","",IF(Games[[#This Row],[Type]]="R",IF(Games[[#This Row],[Result]]=0.5,1,0),0))</f>
        <v>0</v>
      </c>
    </row>
    <row r="118" spans="1:41" x14ac:dyDescent="0.35">
      <c r="A118" s="8">
        <v>35337</v>
      </c>
      <c r="B118">
        <v>1996</v>
      </c>
      <c r="C118" t="s">
        <v>197</v>
      </c>
      <c r="D118" t="s">
        <v>199</v>
      </c>
      <c r="E118" t="s">
        <v>143</v>
      </c>
      <c r="F118" t="s">
        <v>153</v>
      </c>
      <c r="G118" t="s">
        <v>200</v>
      </c>
      <c r="H118">
        <v>30</v>
      </c>
      <c r="I118">
        <v>16</v>
      </c>
      <c r="J118">
        <v>0</v>
      </c>
      <c r="K11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1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1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1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18">
        <f>IF(Games[[#This Row],[Team]]="","",IF(Games[[#This Row],[Conf]]=Games[[#This Row],[OppConf]],1,0))</f>
        <v>1</v>
      </c>
      <c r="P118">
        <f>IF(Games[[#This Row],[Team]]="","",IF(AND(Games[[#This Row],[Conf]]=Games[[#This Row],[OppConf]],Games[[#This Row],[Div]]=Games[[#This Row],[OppDiv]]),1,0))</f>
        <v>1</v>
      </c>
      <c r="Q118">
        <f>IF(Games[[#This Row],[Team]]="","",_xlfn.MINIFS(Games[Date],Games[Season],Games[[#This Row],[Season]]))</f>
        <v>35309</v>
      </c>
      <c r="R118">
        <f>IF(Games[[#This Row],[Team]]="","",INT((Games[[#This Row],[Date]]-(Games[[#This Row],[SeasonStart]]-MOD(WEEKDAY(Games[[#This Row],[SeasonStart]],2)-2,7)))/7)+1)</f>
        <v>5</v>
      </c>
      <c r="S118">
        <f>IF(Games[[#This Row],[Team]]="","",COUNTIFS(Games[Team],Games[[#This Row],[Team]],Games[Season],Games[[#This Row],[Season]],Games[Week],"&lt;="&amp;Games[[#This Row],[Week]]))</f>
        <v>4</v>
      </c>
      <c r="T118">
        <f>IF(Games[[#This Row],[Team]]="","",_xlfn.MAXIFS(Games[Week],Games[Team],Games[[#This Row],[Team]],Games[Season],Games[[#This Row],[Season]],Games[Week],"&lt;"&amp;Games[[#This Row],[Week]]))</f>
        <v>3</v>
      </c>
      <c r="U118">
        <f>IF(Games[[#This Row],[Team]]="","",_xlfn.MAXIFS(Games[Week],Games[Team],Games[[#This Row],[Opponent]],Games[Season],Games[[#This Row],[Season]],Games[Week],"&lt;"&amp;Games[[#This Row],[Week]]))</f>
        <v>3</v>
      </c>
      <c r="V11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13</v>
      </c>
      <c r="W11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11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11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1530.1935621598061</v>
      </c>
      <c r="Z11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1539.7367750704491</v>
      </c>
      <c r="AA11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0.5805402083860689</v>
      </c>
      <c r="AB118">
        <f>IF(Games[[#This Row],[Team]]="","",Games[[#This Row],[PointsFor]]-Games[[#This Row],[PointsAgainst]])</f>
        <v>14</v>
      </c>
      <c r="AC118">
        <f>IF(Games[[#This Row],[Team]]="","",IF(Games[[#This Row],[MOV]]&gt;0,1,IF(Games[[#This Row],[MOV]]=0,0.5,0)))</f>
        <v>1</v>
      </c>
      <c r="AD118">
        <f>IF(Games[[#This Row],[Team]]="","",--(OR(AND(Games[[#This Row],[ExpectedWin]]&gt;=0.5,Games[[#This Row],[Result]]=1),AND(Games[[#This Row],[ExpectedWin]]&lt;0.5,Games[[#This Row],[Result]]=0))))</f>
        <v>1</v>
      </c>
      <c r="AE118">
        <f>IF(Games[[#This Row],[Team]]="","",-(Games[[#This Row],[Result]]*LN(Games[[#This Row],[ExpectedWin]])+(1-Games[[#This Row],[Result]])*LN(1-Games[[#This Row],[ExpectedWin]])))</f>
        <v>0.54379621515062593</v>
      </c>
      <c r="AF118">
        <f>IF(Games[[#This Row],[Team]]="","",IF(Games[[#This Row],[Season]]&gt;=2021,17,16))</f>
        <v>16</v>
      </c>
      <c r="AG118">
        <f>IF(Games[[#This Row],[Team]]="","",KMax-(KMax-KFloor)*MIN(Games[[#This Row],[GamesPlayed]],Games[[#This Row],[SeasonLen]])/Games[[#This Row],[SeasonLen]])</f>
        <v>43.55</v>
      </c>
      <c r="AH118">
        <f>IF(Games[[#This Row],[Team]]="","",((ABS(Games[[#This Row],[MOV]])+3)^0.8)/(7.5+0.006*ABS(Games[[#This Row],[PreGmRate]]-Games[[#This Row],[OppPreGmRate]]))*IF(Games[[#This Row],[OT]]=1,0.7,1))</f>
        <v>1.2764235686848175</v>
      </c>
      <c r="AI11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8">
        <f>IF(Games[[#This Row],[Team]]="","",Games[[#This Row],[K]]*IF(Games[[#This Row],[DivG]]=1,DivMult,1)*IF(Games[[#This Row],[ConfG]]=1,ConfMult,1)*Games[[#This Row],[POMult]])</f>
        <v>48.863100000000003</v>
      </c>
      <c r="AK118">
        <f>IF(Games[[#This Row],[Team]]="","",(Games[[#This Row],[Keff]]*Games[[#This Row],[MOVMult]])*(Games[[#This Row],[Result]]-Games[[#This Row],[ExpectedWin]]))</f>
        <v>26.161712437400926</v>
      </c>
      <c r="AL118">
        <f>IF(Games[[#This Row],[Team]]="","",Games[[#This Row],[PreGmRate]]+Games[[#This Row],[RatingChange]])</f>
        <v>1556.355274597207</v>
      </c>
      <c r="AM118">
        <f>IF(Games[[#This Row],[Team]]="","",IF(Games[[#This Row],[Type]]="R",IF(Games[[#This Row],[Result]]&gt;0.5,1,0),0))</f>
        <v>1</v>
      </c>
      <c r="AN118">
        <f>IF(Games[[#This Row],[Team]]="","",IF(Games[[#This Row],[Type]]="R",IF(Games[[#This Row],[Result]]&lt;0.5,1,0),0))</f>
        <v>0</v>
      </c>
      <c r="AO118">
        <f>IF(Games[[#This Row],[Team]]="","",IF(Games[[#This Row],[Type]]="R",IF(Games[[#This Row],[Result]]=0.5,1,0),0))</f>
        <v>0</v>
      </c>
    </row>
    <row r="119" spans="1:41" x14ac:dyDescent="0.35">
      <c r="A119" s="8">
        <v>35337</v>
      </c>
      <c r="B119">
        <v>1996</v>
      </c>
      <c r="C119" t="s">
        <v>197</v>
      </c>
      <c r="D119" t="s">
        <v>199</v>
      </c>
      <c r="E119" t="s">
        <v>153</v>
      </c>
      <c r="F119" t="s">
        <v>143</v>
      </c>
      <c r="G119" t="s">
        <v>201</v>
      </c>
      <c r="H119">
        <v>16</v>
      </c>
      <c r="I119">
        <v>30</v>
      </c>
      <c r="J119">
        <v>0</v>
      </c>
      <c r="K11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1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1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1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19">
        <f>IF(Games[[#This Row],[Team]]="","",IF(Games[[#This Row],[Conf]]=Games[[#This Row],[OppConf]],1,0))</f>
        <v>1</v>
      </c>
      <c r="P119">
        <f>IF(Games[[#This Row],[Team]]="","",IF(AND(Games[[#This Row],[Conf]]=Games[[#This Row],[OppConf]],Games[[#This Row],[Div]]=Games[[#This Row],[OppDiv]]),1,0))</f>
        <v>1</v>
      </c>
      <c r="Q119">
        <f>IF(Games[[#This Row],[Team]]="","",_xlfn.MINIFS(Games[Date],Games[Season],Games[[#This Row],[Season]]))</f>
        <v>35309</v>
      </c>
      <c r="R119">
        <f>IF(Games[[#This Row],[Team]]="","",INT((Games[[#This Row],[Date]]-(Games[[#This Row],[SeasonStart]]-MOD(WEEKDAY(Games[[#This Row],[SeasonStart]],2)-2,7)))/7)+1)</f>
        <v>5</v>
      </c>
      <c r="S119">
        <f>IF(Games[[#This Row],[Team]]="","",COUNTIFS(Games[Team],Games[[#This Row],[Team]],Games[Season],Games[[#This Row],[Season]],Games[Week],"&lt;="&amp;Games[[#This Row],[Week]]))</f>
        <v>4</v>
      </c>
      <c r="T119">
        <f>IF(Games[[#This Row],[Team]]="","",_xlfn.MAXIFS(Games[Week],Games[Team],Games[[#This Row],[Team]],Games[Season],Games[[#This Row],[Season]],Games[Week],"&lt;"&amp;Games[[#This Row],[Week]]))</f>
        <v>3</v>
      </c>
      <c r="U119">
        <f>IF(Games[[#This Row],[Team]]="","",_xlfn.MAXIFS(Games[Week],Games[Team],Games[[#This Row],[Opponent]],Games[Season],Games[[#This Row],[Season]],Games[Week],"&lt;"&amp;Games[[#This Row],[Week]]))</f>
        <v>3</v>
      </c>
      <c r="V11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11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13</v>
      </c>
      <c r="X11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11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1539.7367750704491</v>
      </c>
      <c r="Z11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1530.1935621598061</v>
      </c>
      <c r="AA11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0.41945979161393104</v>
      </c>
      <c r="AB119">
        <f>IF(Games[[#This Row],[Team]]="","",Games[[#This Row],[PointsFor]]-Games[[#This Row],[PointsAgainst]])</f>
        <v>-14</v>
      </c>
      <c r="AC119">
        <f>IF(Games[[#This Row],[Team]]="","",IF(Games[[#This Row],[MOV]]&gt;0,1,IF(Games[[#This Row],[MOV]]=0,0.5,0)))</f>
        <v>0</v>
      </c>
      <c r="AD119">
        <f>IF(Games[[#This Row],[Team]]="","",--(OR(AND(Games[[#This Row],[ExpectedWin]]&gt;=0.5,Games[[#This Row],[Result]]=1),AND(Games[[#This Row],[ExpectedWin]]&lt;0.5,Games[[#This Row],[Result]]=0))))</f>
        <v>1</v>
      </c>
      <c r="AE119">
        <f>IF(Games[[#This Row],[Team]]="","",-(Games[[#This Row],[Result]]*LN(Games[[#This Row],[ExpectedWin]])+(1-Games[[#This Row],[Result]])*LN(1-Games[[#This Row],[ExpectedWin]])))</f>
        <v>0.54379621515062593</v>
      </c>
      <c r="AF119">
        <f>IF(Games[[#This Row],[Team]]="","",IF(Games[[#This Row],[Season]]&gt;=2021,17,16))</f>
        <v>16</v>
      </c>
      <c r="AG119">
        <f>IF(Games[[#This Row],[Team]]="","",KMax-(KMax-KFloor)*MIN(Games[[#This Row],[GamesPlayed]],Games[[#This Row],[SeasonLen]])/Games[[#This Row],[SeasonLen]])</f>
        <v>43.55</v>
      </c>
      <c r="AH119">
        <f>IF(Games[[#This Row],[Team]]="","",((ABS(Games[[#This Row],[MOV]])+3)^0.8)/(7.5+0.006*ABS(Games[[#This Row],[PreGmRate]]-Games[[#This Row],[OppPreGmRate]]))*IF(Games[[#This Row],[OT]]=1,0.7,1))</f>
        <v>1.2764235686848175</v>
      </c>
      <c r="AI11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9">
        <f>IF(Games[[#This Row],[Team]]="","",Games[[#This Row],[K]]*IF(Games[[#This Row],[DivG]]=1,DivMult,1)*IF(Games[[#This Row],[ConfG]]=1,ConfMult,1)*Games[[#This Row],[POMult]])</f>
        <v>48.863100000000003</v>
      </c>
      <c r="AK119">
        <f>IF(Games[[#This Row],[Team]]="","",(Games[[#This Row],[Keff]]*Games[[#This Row],[MOVMult]])*(Games[[#This Row],[Result]]-Games[[#This Row],[ExpectedWin]]))</f>
        <v>-26.161712437400922</v>
      </c>
      <c r="AL119">
        <f>IF(Games[[#This Row],[Team]]="","",Games[[#This Row],[PreGmRate]]+Games[[#This Row],[RatingChange]])</f>
        <v>1513.5750626330482</v>
      </c>
      <c r="AM119">
        <f>IF(Games[[#This Row],[Team]]="","",IF(Games[[#This Row],[Type]]="R",IF(Games[[#This Row],[Result]]&gt;0.5,1,0),0))</f>
        <v>0</v>
      </c>
      <c r="AN119">
        <f>IF(Games[[#This Row],[Team]]="","",IF(Games[[#This Row],[Type]]="R",IF(Games[[#This Row],[Result]]&lt;0.5,1,0),0))</f>
        <v>1</v>
      </c>
      <c r="AO119">
        <f>IF(Games[[#This Row],[Team]]="","",IF(Games[[#This Row],[Type]]="R",IF(Games[[#This Row],[Result]]=0.5,1,0),0))</f>
        <v>0</v>
      </c>
    </row>
    <row r="120" spans="1:41" x14ac:dyDescent="0.35">
      <c r="A120" s="8">
        <v>35337</v>
      </c>
      <c r="B120">
        <v>1996</v>
      </c>
      <c r="C120" t="s">
        <v>197</v>
      </c>
      <c r="D120" t="s">
        <v>199</v>
      </c>
      <c r="E120" t="s">
        <v>110</v>
      </c>
      <c r="F120" t="s">
        <v>140</v>
      </c>
      <c r="G120" t="s">
        <v>200</v>
      </c>
      <c r="H120">
        <v>19</v>
      </c>
      <c r="I120">
        <v>17</v>
      </c>
      <c r="J120">
        <v>0</v>
      </c>
      <c r="K12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2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2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2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20">
        <f>IF(Games[[#This Row],[Team]]="","",IF(Games[[#This Row],[Conf]]=Games[[#This Row],[OppConf]],1,0))</f>
        <v>0</v>
      </c>
      <c r="P120">
        <f>IF(Games[[#This Row],[Team]]="","",IF(AND(Games[[#This Row],[Conf]]=Games[[#This Row],[OppConf]],Games[[#This Row],[Div]]=Games[[#This Row],[OppDiv]]),1,0))</f>
        <v>0</v>
      </c>
      <c r="Q120">
        <f>IF(Games[[#This Row],[Team]]="","",_xlfn.MINIFS(Games[Date],Games[Season],Games[[#This Row],[Season]]))</f>
        <v>35309</v>
      </c>
      <c r="R120">
        <f>IF(Games[[#This Row],[Team]]="","",INT((Games[[#This Row],[Date]]-(Games[[#This Row],[SeasonStart]]-MOD(WEEKDAY(Games[[#This Row],[SeasonStart]],2)-2,7)))/7)+1)</f>
        <v>5</v>
      </c>
      <c r="S120">
        <f>IF(Games[[#This Row],[Team]]="","",COUNTIFS(Games[Team],Games[[#This Row],[Team]],Games[Season],Games[[#This Row],[Season]],Games[Week],"&lt;="&amp;Games[[#This Row],[Week]]))</f>
        <v>5</v>
      </c>
      <c r="T120">
        <f>IF(Games[[#This Row],[Team]]="","",_xlfn.MAXIFS(Games[Week],Games[Team],Games[[#This Row],[Team]],Games[Season],Games[[#This Row],[Season]],Games[Week],"&lt;"&amp;Games[[#This Row],[Week]]))</f>
        <v>4</v>
      </c>
      <c r="U120">
        <f>IF(Games[[#This Row],[Team]]="","",_xlfn.MAXIFS(Games[Week],Games[Team],Games[[#This Row],[Opponent]],Games[Season],Games[[#This Row],[Season]],Games[Week],"&lt;"&amp;Games[[#This Row],[Week]]))</f>
        <v>4</v>
      </c>
      <c r="V12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2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2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2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1457.482035234849</v>
      </c>
      <c r="Z12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1466.6294224972428</v>
      </c>
      <c r="AA12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0.58947820423789044</v>
      </c>
      <c r="AB120">
        <f>IF(Games[[#This Row],[Team]]="","",Games[[#This Row],[PointsFor]]-Games[[#This Row],[PointsAgainst]])</f>
        <v>2</v>
      </c>
      <c r="AC120">
        <f>IF(Games[[#This Row],[Team]]="","",IF(Games[[#This Row],[MOV]]&gt;0,1,IF(Games[[#This Row],[MOV]]=0,0.5,0)))</f>
        <v>1</v>
      </c>
      <c r="AD120">
        <f>IF(Games[[#This Row],[Team]]="","",--(OR(AND(Games[[#This Row],[ExpectedWin]]&gt;=0.5,Games[[#This Row],[Result]]=1),AND(Games[[#This Row],[ExpectedWin]]&lt;0.5,Games[[#This Row],[Result]]=0))))</f>
        <v>1</v>
      </c>
      <c r="AE120">
        <f>IF(Games[[#This Row],[Team]]="","",-(Games[[#This Row],[Result]]*LN(Games[[#This Row],[ExpectedWin]])+(1-Games[[#This Row],[Result]])*LN(1-Games[[#This Row],[ExpectedWin]])))</f>
        <v>0.52851753299122572</v>
      </c>
      <c r="AF120">
        <f>IF(Games[[#This Row],[Team]]="","",IF(Games[[#This Row],[Season]]&gt;=2021,17,16))</f>
        <v>16</v>
      </c>
      <c r="AG120">
        <f>IF(Games[[#This Row],[Team]]="","",KMax-(KMax-KFloor)*MIN(Games[[#This Row],[GamesPlayed]],Games[[#This Row],[SeasonLen]])/Games[[#This Row],[SeasonLen]])</f>
        <v>42.9375</v>
      </c>
      <c r="AH120">
        <f>IF(Games[[#This Row],[Team]]="","",((ABS(Games[[#This Row],[MOV]])+3)^0.8)/(7.5+0.006*ABS(Games[[#This Row],[PreGmRate]]-Games[[#This Row],[OppPreGmRate]]))*IF(Games[[#This Row],[OT]]=1,0.7,1))</f>
        <v>0.47967621517121273</v>
      </c>
      <c r="AI12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0">
        <f>IF(Games[[#This Row],[Team]]="","",Games[[#This Row],[K]]*IF(Games[[#This Row],[DivG]]=1,DivMult,1)*IF(Games[[#This Row],[ConfG]]=1,ConfMult,1)*Games[[#This Row],[POMult]])</f>
        <v>42.9375</v>
      </c>
      <c r="AK120">
        <f>IF(Games[[#This Row],[Team]]="","",(Games[[#This Row],[Keff]]*Games[[#This Row],[MOVMult]])*(Games[[#This Row],[Result]]-Games[[#This Row],[ExpectedWin]]))</f>
        <v>8.4551469268404293</v>
      </c>
      <c r="AL120">
        <f>IF(Games[[#This Row],[Team]]="","",Games[[#This Row],[PreGmRate]]+Games[[#This Row],[RatingChange]])</f>
        <v>1465.9371821616894</v>
      </c>
      <c r="AM120">
        <f>IF(Games[[#This Row],[Team]]="","",IF(Games[[#This Row],[Type]]="R",IF(Games[[#This Row],[Result]]&gt;0.5,1,0),0))</f>
        <v>1</v>
      </c>
      <c r="AN120">
        <f>IF(Games[[#This Row],[Team]]="","",IF(Games[[#This Row],[Type]]="R",IF(Games[[#This Row],[Result]]&lt;0.5,1,0),0))</f>
        <v>0</v>
      </c>
      <c r="AO120">
        <f>IF(Games[[#This Row],[Team]]="","",IF(Games[[#This Row],[Type]]="R",IF(Games[[#This Row],[Result]]=0.5,1,0),0))</f>
        <v>0</v>
      </c>
    </row>
    <row r="121" spans="1:41" x14ac:dyDescent="0.35">
      <c r="A121" s="8">
        <v>35337</v>
      </c>
      <c r="B121">
        <v>1996</v>
      </c>
      <c r="C121" t="s">
        <v>197</v>
      </c>
      <c r="D121" t="s">
        <v>199</v>
      </c>
      <c r="E121" t="s">
        <v>140</v>
      </c>
      <c r="F121" t="s">
        <v>110</v>
      </c>
      <c r="G121" t="s">
        <v>201</v>
      </c>
      <c r="H121">
        <v>17</v>
      </c>
      <c r="I121">
        <v>19</v>
      </c>
      <c r="J121">
        <v>0</v>
      </c>
      <c r="K12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2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2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2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21">
        <f>IF(Games[[#This Row],[Team]]="","",IF(Games[[#This Row],[Conf]]=Games[[#This Row],[OppConf]],1,0))</f>
        <v>0</v>
      </c>
      <c r="P121">
        <f>IF(Games[[#This Row],[Team]]="","",IF(AND(Games[[#This Row],[Conf]]=Games[[#This Row],[OppConf]],Games[[#This Row],[Div]]=Games[[#This Row],[OppDiv]]),1,0))</f>
        <v>0</v>
      </c>
      <c r="Q121">
        <f>IF(Games[[#This Row],[Team]]="","",_xlfn.MINIFS(Games[Date],Games[Season],Games[[#This Row],[Season]]))</f>
        <v>35309</v>
      </c>
      <c r="R121">
        <f>IF(Games[[#This Row],[Team]]="","",INT((Games[[#This Row],[Date]]-(Games[[#This Row],[SeasonStart]]-MOD(WEEKDAY(Games[[#This Row],[SeasonStart]],2)-2,7)))/7)+1)</f>
        <v>5</v>
      </c>
      <c r="S121">
        <f>IF(Games[[#This Row],[Team]]="","",COUNTIFS(Games[Team],Games[[#This Row],[Team]],Games[Season],Games[[#This Row],[Season]],Games[Week],"&lt;="&amp;Games[[#This Row],[Week]]))</f>
        <v>5</v>
      </c>
      <c r="T121">
        <f>IF(Games[[#This Row],[Team]]="","",_xlfn.MAXIFS(Games[Week],Games[Team],Games[[#This Row],[Team]],Games[Season],Games[[#This Row],[Season]],Games[Week],"&lt;"&amp;Games[[#This Row],[Week]]))</f>
        <v>4</v>
      </c>
      <c r="U121">
        <f>IF(Games[[#This Row],[Team]]="","",_xlfn.MAXIFS(Games[Week],Games[Team],Games[[#This Row],[Opponent]],Games[Season],Games[[#This Row],[Season]],Games[Week],"&lt;"&amp;Games[[#This Row],[Week]]))</f>
        <v>4</v>
      </c>
      <c r="V12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2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2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2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1466.6294224972428</v>
      </c>
      <c r="Z12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1457.482035234849</v>
      </c>
      <c r="AA12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0.41052179576210951</v>
      </c>
      <c r="AB121">
        <f>IF(Games[[#This Row],[Team]]="","",Games[[#This Row],[PointsFor]]-Games[[#This Row],[PointsAgainst]])</f>
        <v>-2</v>
      </c>
      <c r="AC121">
        <f>IF(Games[[#This Row],[Team]]="","",IF(Games[[#This Row],[MOV]]&gt;0,1,IF(Games[[#This Row],[MOV]]=0,0.5,0)))</f>
        <v>0</v>
      </c>
      <c r="AD121">
        <f>IF(Games[[#This Row],[Team]]="","",--(OR(AND(Games[[#This Row],[ExpectedWin]]&gt;=0.5,Games[[#This Row],[Result]]=1),AND(Games[[#This Row],[ExpectedWin]]&lt;0.5,Games[[#This Row],[Result]]=0))))</f>
        <v>1</v>
      </c>
      <c r="AE121">
        <f>IF(Games[[#This Row],[Team]]="","",-(Games[[#This Row],[Result]]*LN(Games[[#This Row],[ExpectedWin]])+(1-Games[[#This Row],[Result]])*LN(1-Games[[#This Row],[ExpectedWin]])))</f>
        <v>0.5285175329912255</v>
      </c>
      <c r="AF121">
        <f>IF(Games[[#This Row],[Team]]="","",IF(Games[[#This Row],[Season]]&gt;=2021,17,16))</f>
        <v>16</v>
      </c>
      <c r="AG121">
        <f>IF(Games[[#This Row],[Team]]="","",KMax-(KMax-KFloor)*MIN(Games[[#This Row],[GamesPlayed]],Games[[#This Row],[SeasonLen]])/Games[[#This Row],[SeasonLen]])</f>
        <v>42.9375</v>
      </c>
      <c r="AH121">
        <f>IF(Games[[#This Row],[Team]]="","",((ABS(Games[[#This Row],[MOV]])+3)^0.8)/(7.5+0.006*ABS(Games[[#This Row],[PreGmRate]]-Games[[#This Row],[OppPreGmRate]]))*IF(Games[[#This Row],[OT]]=1,0.7,1))</f>
        <v>0.47967621517121273</v>
      </c>
      <c r="AI12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1">
        <f>IF(Games[[#This Row],[Team]]="","",Games[[#This Row],[K]]*IF(Games[[#This Row],[DivG]]=1,DivMult,1)*IF(Games[[#This Row],[ConfG]]=1,ConfMult,1)*Games[[#This Row],[POMult]])</f>
        <v>42.9375</v>
      </c>
      <c r="AK121">
        <f>IF(Games[[#This Row],[Team]]="","",(Games[[#This Row],[Keff]]*Games[[#This Row],[MOVMult]])*(Games[[#This Row],[Result]]-Games[[#This Row],[ExpectedWin]]))</f>
        <v>-8.4551469268404276</v>
      </c>
      <c r="AL121">
        <f>IF(Games[[#This Row],[Team]]="","",Games[[#This Row],[PreGmRate]]+Games[[#This Row],[RatingChange]])</f>
        <v>1458.1742755704024</v>
      </c>
      <c r="AM121">
        <f>IF(Games[[#This Row],[Team]]="","",IF(Games[[#This Row],[Type]]="R",IF(Games[[#This Row],[Result]]&gt;0.5,1,0),0))</f>
        <v>0</v>
      </c>
      <c r="AN121">
        <f>IF(Games[[#This Row],[Team]]="","",IF(Games[[#This Row],[Type]]="R",IF(Games[[#This Row],[Result]]&lt;0.5,1,0),0))</f>
        <v>1</v>
      </c>
      <c r="AO121">
        <f>IF(Games[[#This Row],[Team]]="","",IF(Games[[#This Row],[Type]]="R",IF(Games[[#This Row],[Result]]=0.5,1,0),0))</f>
        <v>0</v>
      </c>
    </row>
    <row r="122" spans="1:41" x14ac:dyDescent="0.35">
      <c r="A122" s="8">
        <v>35337</v>
      </c>
      <c r="B122">
        <v>1996</v>
      </c>
      <c r="C122" t="s">
        <v>197</v>
      </c>
      <c r="D122" t="s">
        <v>199</v>
      </c>
      <c r="E122" t="s">
        <v>118</v>
      </c>
      <c r="F122" t="s">
        <v>151</v>
      </c>
      <c r="G122" t="s">
        <v>201</v>
      </c>
      <c r="H122">
        <v>27</v>
      </c>
      <c r="I122">
        <v>0</v>
      </c>
      <c r="J122">
        <v>0</v>
      </c>
      <c r="K12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2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2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2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22">
        <f>IF(Games[[#This Row],[Team]]="","",IF(Games[[#This Row],[Conf]]=Games[[#This Row],[OppConf]],1,0))</f>
        <v>1</v>
      </c>
      <c r="P122">
        <f>IF(Games[[#This Row],[Team]]="","",IF(AND(Games[[#This Row],[Conf]]=Games[[#This Row],[OppConf]],Games[[#This Row],[Div]]=Games[[#This Row],[OppDiv]]),1,0))</f>
        <v>1</v>
      </c>
      <c r="Q122">
        <f>IF(Games[[#This Row],[Team]]="","",_xlfn.MINIFS(Games[Date],Games[Season],Games[[#This Row],[Season]]))</f>
        <v>35309</v>
      </c>
      <c r="R122">
        <f>IF(Games[[#This Row],[Team]]="","",INT((Games[[#This Row],[Date]]-(Games[[#This Row],[SeasonStart]]-MOD(WEEKDAY(Games[[#This Row],[SeasonStart]],2)-2,7)))/7)+1)</f>
        <v>5</v>
      </c>
      <c r="S122">
        <f>IF(Games[[#This Row],[Team]]="","",COUNTIFS(Games[Team],Games[[#This Row],[Team]],Games[Season],Games[[#This Row],[Season]],Games[Week],"&lt;="&amp;Games[[#This Row],[Week]]))</f>
        <v>5</v>
      </c>
      <c r="T122">
        <f>IF(Games[[#This Row],[Team]]="","",_xlfn.MAXIFS(Games[Week],Games[Team],Games[[#This Row],[Team]],Games[Season],Games[[#This Row],[Season]],Games[Week],"&lt;"&amp;Games[[#This Row],[Week]]))</f>
        <v>4</v>
      </c>
      <c r="U122">
        <f>IF(Games[[#This Row],[Team]]="","",_xlfn.MAXIFS(Games[Week],Games[Team],Games[[#This Row],[Opponent]],Games[Season],Games[[#This Row],[Season]],Games[Week],"&lt;"&amp;Games[[#This Row],[Week]]))</f>
        <v>4</v>
      </c>
      <c r="V12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2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2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2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1522.1468267275618</v>
      </c>
      <c r="Z12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1388.4531302533092</v>
      </c>
      <c r="AA12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0.58786284382054843</v>
      </c>
      <c r="AB122">
        <f>IF(Games[[#This Row],[Team]]="","",Games[[#This Row],[PointsFor]]-Games[[#This Row],[PointsAgainst]])</f>
        <v>27</v>
      </c>
      <c r="AC122">
        <f>IF(Games[[#This Row],[Team]]="","",IF(Games[[#This Row],[MOV]]&gt;0,1,IF(Games[[#This Row],[MOV]]=0,0.5,0)))</f>
        <v>1</v>
      </c>
      <c r="AD122">
        <f>IF(Games[[#This Row],[Team]]="","",--(OR(AND(Games[[#This Row],[ExpectedWin]]&gt;=0.5,Games[[#This Row],[Result]]=1),AND(Games[[#This Row],[ExpectedWin]]&lt;0.5,Games[[#This Row],[Result]]=0))))</f>
        <v>1</v>
      </c>
      <c r="AE122">
        <f>IF(Games[[#This Row],[Team]]="","",-(Games[[#This Row],[Result]]*LN(Games[[#This Row],[ExpectedWin]])+(1-Games[[#This Row],[Result]])*LN(1-Games[[#This Row],[ExpectedWin]])))</f>
        <v>0.53126161710116837</v>
      </c>
      <c r="AF122">
        <f>IF(Games[[#This Row],[Team]]="","",IF(Games[[#This Row],[Season]]&gt;=2021,17,16))</f>
        <v>16</v>
      </c>
      <c r="AG122">
        <f>IF(Games[[#This Row],[Team]]="","",KMax-(KMax-KFloor)*MIN(Games[[#This Row],[GamesPlayed]],Games[[#This Row],[SeasonLen]])/Games[[#This Row],[SeasonLen]])</f>
        <v>42.9375</v>
      </c>
      <c r="AH122">
        <f>IF(Games[[#This Row],[Team]]="","",((ABS(Games[[#This Row],[MOV]])+3)^0.8)/(7.5+0.006*ABS(Games[[#This Row],[PreGmRate]]-Games[[#This Row],[OppPreGmRate]]))*IF(Games[[#This Row],[OT]]=1,0.7,1))</f>
        <v>1.8302305105627941</v>
      </c>
      <c r="AI12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2">
        <f>IF(Games[[#This Row],[Team]]="","",Games[[#This Row],[K]]*IF(Games[[#This Row],[DivG]]=1,DivMult,1)*IF(Games[[#This Row],[ConfG]]=1,ConfMult,1)*Games[[#This Row],[POMult]])</f>
        <v>48.175875000000005</v>
      </c>
      <c r="AK122">
        <f>IF(Games[[#This Row],[Team]]="","",(Games[[#This Row],[Keff]]*Games[[#This Row],[MOVMult]])*(Games[[#This Row],[Result]]-Games[[#This Row],[ExpectedWin]]))</f>
        <v>36.339351460617252</v>
      </c>
      <c r="AL122">
        <f>IF(Games[[#This Row],[Team]]="","",Games[[#This Row],[PreGmRate]]+Games[[#This Row],[RatingChange]])</f>
        <v>1558.4861781881791</v>
      </c>
      <c r="AM122">
        <f>IF(Games[[#This Row],[Team]]="","",IF(Games[[#This Row],[Type]]="R",IF(Games[[#This Row],[Result]]&gt;0.5,1,0),0))</f>
        <v>1</v>
      </c>
      <c r="AN122">
        <f>IF(Games[[#This Row],[Team]]="","",IF(Games[[#This Row],[Type]]="R",IF(Games[[#This Row],[Result]]&lt;0.5,1,0),0))</f>
        <v>0</v>
      </c>
      <c r="AO122">
        <f>IF(Games[[#This Row],[Team]]="","",IF(Games[[#This Row],[Type]]="R",IF(Games[[#This Row],[Result]]=0.5,1,0),0))</f>
        <v>0</v>
      </c>
    </row>
    <row r="123" spans="1:41" x14ac:dyDescent="0.35">
      <c r="A123" s="8">
        <v>35337</v>
      </c>
      <c r="B123">
        <v>1996</v>
      </c>
      <c r="C123" t="s">
        <v>197</v>
      </c>
      <c r="D123" t="s">
        <v>199</v>
      </c>
      <c r="E123" t="s">
        <v>151</v>
      </c>
      <c r="F123" t="s">
        <v>118</v>
      </c>
      <c r="G123" t="s">
        <v>200</v>
      </c>
      <c r="H123">
        <v>0</v>
      </c>
      <c r="I123">
        <v>27</v>
      </c>
      <c r="J123">
        <v>0</v>
      </c>
      <c r="K12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2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2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2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23">
        <f>IF(Games[[#This Row],[Team]]="","",IF(Games[[#This Row],[Conf]]=Games[[#This Row],[OppConf]],1,0))</f>
        <v>1</v>
      </c>
      <c r="P123">
        <f>IF(Games[[#This Row],[Team]]="","",IF(AND(Games[[#This Row],[Conf]]=Games[[#This Row],[OppConf]],Games[[#This Row],[Div]]=Games[[#This Row],[OppDiv]]),1,0))</f>
        <v>1</v>
      </c>
      <c r="Q123">
        <f>IF(Games[[#This Row],[Team]]="","",_xlfn.MINIFS(Games[Date],Games[Season],Games[[#This Row],[Season]]))</f>
        <v>35309</v>
      </c>
      <c r="R123">
        <f>IF(Games[[#This Row],[Team]]="","",INT((Games[[#This Row],[Date]]-(Games[[#This Row],[SeasonStart]]-MOD(WEEKDAY(Games[[#This Row],[SeasonStart]],2)-2,7)))/7)+1)</f>
        <v>5</v>
      </c>
      <c r="S123">
        <f>IF(Games[[#This Row],[Team]]="","",COUNTIFS(Games[Team],Games[[#This Row],[Team]],Games[Season],Games[[#This Row],[Season]],Games[Week],"&lt;="&amp;Games[[#This Row],[Week]]))</f>
        <v>5</v>
      </c>
      <c r="T123">
        <f>IF(Games[[#This Row],[Team]]="","",_xlfn.MAXIFS(Games[Week],Games[Team],Games[[#This Row],[Team]],Games[Season],Games[[#This Row],[Season]],Games[Week],"&lt;"&amp;Games[[#This Row],[Week]]))</f>
        <v>4</v>
      </c>
      <c r="U123">
        <f>IF(Games[[#This Row],[Team]]="","",_xlfn.MAXIFS(Games[Week],Games[Team],Games[[#This Row],[Opponent]],Games[Season],Games[[#This Row],[Season]],Games[Week],"&lt;"&amp;Games[[#This Row],[Week]]))</f>
        <v>4</v>
      </c>
      <c r="V12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2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2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2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1388.4531302533092</v>
      </c>
      <c r="Z12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1522.1468267275618</v>
      </c>
      <c r="AA12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0.41213715617945157</v>
      </c>
      <c r="AB123">
        <f>IF(Games[[#This Row],[Team]]="","",Games[[#This Row],[PointsFor]]-Games[[#This Row],[PointsAgainst]])</f>
        <v>-27</v>
      </c>
      <c r="AC123">
        <f>IF(Games[[#This Row],[Team]]="","",IF(Games[[#This Row],[MOV]]&gt;0,1,IF(Games[[#This Row],[MOV]]=0,0.5,0)))</f>
        <v>0</v>
      </c>
      <c r="AD123">
        <f>IF(Games[[#This Row],[Team]]="","",--(OR(AND(Games[[#This Row],[ExpectedWin]]&gt;=0.5,Games[[#This Row],[Result]]=1),AND(Games[[#This Row],[ExpectedWin]]&lt;0.5,Games[[#This Row],[Result]]=0))))</f>
        <v>1</v>
      </c>
      <c r="AE123">
        <f>IF(Games[[#This Row],[Team]]="","",-(Games[[#This Row],[Result]]*LN(Games[[#This Row],[ExpectedWin]])+(1-Games[[#This Row],[Result]])*LN(1-Games[[#This Row],[ExpectedWin]])))</f>
        <v>0.53126161710116837</v>
      </c>
      <c r="AF123">
        <f>IF(Games[[#This Row],[Team]]="","",IF(Games[[#This Row],[Season]]&gt;=2021,17,16))</f>
        <v>16</v>
      </c>
      <c r="AG123">
        <f>IF(Games[[#This Row],[Team]]="","",KMax-(KMax-KFloor)*MIN(Games[[#This Row],[GamesPlayed]],Games[[#This Row],[SeasonLen]])/Games[[#This Row],[SeasonLen]])</f>
        <v>42.9375</v>
      </c>
      <c r="AH123">
        <f>IF(Games[[#This Row],[Team]]="","",((ABS(Games[[#This Row],[MOV]])+3)^0.8)/(7.5+0.006*ABS(Games[[#This Row],[PreGmRate]]-Games[[#This Row],[OppPreGmRate]]))*IF(Games[[#This Row],[OT]]=1,0.7,1))</f>
        <v>1.8302305105627941</v>
      </c>
      <c r="AI12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3">
        <f>IF(Games[[#This Row],[Team]]="","",Games[[#This Row],[K]]*IF(Games[[#This Row],[DivG]]=1,DivMult,1)*IF(Games[[#This Row],[ConfG]]=1,ConfMult,1)*Games[[#This Row],[POMult]])</f>
        <v>48.175875000000005</v>
      </c>
      <c r="AK123">
        <f>IF(Games[[#This Row],[Team]]="","",(Games[[#This Row],[Keff]]*Games[[#This Row],[MOVMult]])*(Games[[#This Row],[Result]]-Games[[#This Row],[ExpectedWin]]))</f>
        <v>-36.339351460617252</v>
      </c>
      <c r="AL123">
        <f>IF(Games[[#This Row],[Team]]="","",Games[[#This Row],[PreGmRate]]+Games[[#This Row],[RatingChange]])</f>
        <v>1352.1137787926918</v>
      </c>
      <c r="AM123">
        <f>IF(Games[[#This Row],[Team]]="","",IF(Games[[#This Row],[Type]]="R",IF(Games[[#This Row],[Result]]&gt;0.5,1,0),0))</f>
        <v>0</v>
      </c>
      <c r="AN123">
        <f>IF(Games[[#This Row],[Team]]="","",IF(Games[[#This Row],[Type]]="R",IF(Games[[#This Row],[Result]]&lt;0.5,1,0),0))</f>
        <v>1</v>
      </c>
      <c r="AO123">
        <f>IF(Games[[#This Row],[Team]]="","",IF(Games[[#This Row],[Type]]="R",IF(Games[[#This Row],[Result]]=0.5,1,0),0))</f>
        <v>0</v>
      </c>
    </row>
    <row r="124" spans="1:41" x14ac:dyDescent="0.35">
      <c r="A124" s="8">
        <v>35337</v>
      </c>
      <c r="B124">
        <v>1996</v>
      </c>
      <c r="C124" t="s">
        <v>197</v>
      </c>
      <c r="D124" t="s">
        <v>199</v>
      </c>
      <c r="E124" t="s">
        <v>136</v>
      </c>
      <c r="F124" t="s">
        <v>130</v>
      </c>
      <c r="G124" t="s">
        <v>200</v>
      </c>
      <c r="H124">
        <v>15</v>
      </c>
      <c r="I124">
        <v>10</v>
      </c>
      <c r="J124">
        <v>0</v>
      </c>
      <c r="K12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2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2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2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24">
        <f>IF(Games[[#This Row],[Team]]="","",IF(Games[[#This Row],[Conf]]=Games[[#This Row],[OppConf]],1,0))</f>
        <v>1</v>
      </c>
      <c r="P124">
        <f>IF(Games[[#This Row],[Team]]="","",IF(AND(Games[[#This Row],[Conf]]=Games[[#This Row],[OppConf]],Games[[#This Row],[Div]]=Games[[#This Row],[OppDiv]]),1,0))</f>
        <v>0</v>
      </c>
      <c r="Q124">
        <f>IF(Games[[#This Row],[Team]]="","",_xlfn.MINIFS(Games[Date],Games[Season],Games[[#This Row],[Season]]))</f>
        <v>35309</v>
      </c>
      <c r="R124">
        <f>IF(Games[[#This Row],[Team]]="","",INT((Games[[#This Row],[Date]]-(Games[[#This Row],[SeasonStart]]-MOD(WEEKDAY(Games[[#This Row],[SeasonStart]],2)-2,7)))/7)+1)</f>
        <v>5</v>
      </c>
      <c r="S124">
        <f>IF(Games[[#This Row],[Team]]="","",COUNTIFS(Games[Team],Games[[#This Row],[Team]],Games[Season],Games[[#This Row],[Season]],Games[Week],"&lt;="&amp;Games[[#This Row],[Week]]))</f>
        <v>5</v>
      </c>
      <c r="T124">
        <f>IF(Games[[#This Row],[Team]]="","",_xlfn.MAXIFS(Games[Week],Games[Team],Games[[#This Row],[Team]],Games[Season],Games[[#This Row],[Season]],Games[Week],"&lt;"&amp;Games[[#This Row],[Week]]))</f>
        <v>4</v>
      </c>
      <c r="U124">
        <f>IF(Games[[#This Row],[Team]]="","",_xlfn.MAXIFS(Games[Week],Games[Team],Games[[#This Row],[Opponent]],Games[Season],Games[[#This Row],[Season]],Games[Week],"&lt;"&amp;Games[[#This Row],[Week]]))</f>
        <v>4</v>
      </c>
      <c r="V12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2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2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2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1426.5189724682446</v>
      </c>
      <c r="Z12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1575.2380579680332</v>
      </c>
      <c r="AA12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0.3913525089257493</v>
      </c>
      <c r="AB124">
        <f>IF(Games[[#This Row],[Team]]="","",Games[[#This Row],[PointsFor]]-Games[[#This Row],[PointsAgainst]])</f>
        <v>5</v>
      </c>
      <c r="AC124">
        <f>IF(Games[[#This Row],[Team]]="","",IF(Games[[#This Row],[MOV]]&gt;0,1,IF(Games[[#This Row],[MOV]]=0,0.5,0)))</f>
        <v>1</v>
      </c>
      <c r="AD124">
        <f>IF(Games[[#This Row],[Team]]="","",--(OR(AND(Games[[#This Row],[ExpectedWin]]&gt;=0.5,Games[[#This Row],[Result]]=1),AND(Games[[#This Row],[ExpectedWin]]&lt;0.5,Games[[#This Row],[Result]]=0))))</f>
        <v>0</v>
      </c>
      <c r="AE124">
        <f>IF(Games[[#This Row],[Team]]="","",-(Games[[#This Row],[Result]]*LN(Games[[#This Row],[ExpectedWin]])+(1-Games[[#This Row],[Result]])*LN(1-Games[[#This Row],[ExpectedWin]])))</f>
        <v>0.9381465678006472</v>
      </c>
      <c r="AF124">
        <f>IF(Games[[#This Row],[Team]]="","",IF(Games[[#This Row],[Season]]&gt;=2021,17,16))</f>
        <v>16</v>
      </c>
      <c r="AG124">
        <f>IF(Games[[#This Row],[Team]]="","",KMax-(KMax-KFloor)*MIN(Games[[#This Row],[GamesPlayed]],Games[[#This Row],[SeasonLen]])/Games[[#This Row],[SeasonLen]])</f>
        <v>42.9375</v>
      </c>
      <c r="AH124">
        <f>IF(Games[[#This Row],[Team]]="","",((ABS(Games[[#This Row],[MOV]])+3)^0.8)/(7.5+0.006*ABS(Games[[#This Row],[PreGmRate]]-Games[[#This Row],[OppPreGmRate]]))*IF(Games[[#This Row],[OT]]=1,0.7,1))</f>
        <v>0.62891251691252892</v>
      </c>
      <c r="AI12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4">
        <f>IF(Games[[#This Row],[Team]]="","",Games[[#This Row],[K]]*IF(Games[[#This Row],[DivG]]=1,DivMult,1)*IF(Games[[#This Row],[ConfG]]=1,ConfMult,1)*Games[[#This Row],[POMult]])</f>
        <v>43.796250000000001</v>
      </c>
      <c r="AK124">
        <f>IF(Games[[#This Row],[Team]]="","",(Games[[#This Row],[Keff]]*Games[[#This Row],[MOVMult]])*(Games[[#This Row],[Result]]-Games[[#This Row],[ExpectedWin]]))</f>
        <v>16.76459247035562</v>
      </c>
      <c r="AL124">
        <f>IF(Games[[#This Row],[Team]]="","",Games[[#This Row],[PreGmRate]]+Games[[#This Row],[RatingChange]])</f>
        <v>1443.2835649386002</v>
      </c>
      <c r="AM124">
        <f>IF(Games[[#This Row],[Team]]="","",IF(Games[[#This Row],[Type]]="R",IF(Games[[#This Row],[Result]]&gt;0.5,1,0),0))</f>
        <v>1</v>
      </c>
      <c r="AN124">
        <f>IF(Games[[#This Row],[Team]]="","",IF(Games[[#This Row],[Type]]="R",IF(Games[[#This Row],[Result]]&lt;0.5,1,0),0))</f>
        <v>0</v>
      </c>
      <c r="AO124">
        <f>IF(Games[[#This Row],[Team]]="","",IF(Games[[#This Row],[Type]]="R",IF(Games[[#This Row],[Result]]=0.5,1,0),0))</f>
        <v>0</v>
      </c>
    </row>
    <row r="125" spans="1:41" x14ac:dyDescent="0.35">
      <c r="A125" s="8">
        <v>35337</v>
      </c>
      <c r="B125">
        <v>1996</v>
      </c>
      <c r="C125" t="s">
        <v>197</v>
      </c>
      <c r="D125" t="s">
        <v>199</v>
      </c>
      <c r="E125" t="s">
        <v>130</v>
      </c>
      <c r="F125" t="s">
        <v>136</v>
      </c>
      <c r="G125" t="s">
        <v>201</v>
      </c>
      <c r="H125">
        <v>10</v>
      </c>
      <c r="I125">
        <v>15</v>
      </c>
      <c r="J125">
        <v>0</v>
      </c>
      <c r="K12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2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2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2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25">
        <f>IF(Games[[#This Row],[Team]]="","",IF(Games[[#This Row],[Conf]]=Games[[#This Row],[OppConf]],1,0))</f>
        <v>1</v>
      </c>
      <c r="P125">
        <f>IF(Games[[#This Row],[Team]]="","",IF(AND(Games[[#This Row],[Conf]]=Games[[#This Row],[OppConf]],Games[[#This Row],[Div]]=Games[[#This Row],[OppDiv]]),1,0))</f>
        <v>0</v>
      </c>
      <c r="Q125">
        <f>IF(Games[[#This Row],[Team]]="","",_xlfn.MINIFS(Games[Date],Games[Season],Games[[#This Row],[Season]]))</f>
        <v>35309</v>
      </c>
      <c r="R125">
        <f>IF(Games[[#This Row],[Team]]="","",INT((Games[[#This Row],[Date]]-(Games[[#This Row],[SeasonStart]]-MOD(WEEKDAY(Games[[#This Row],[SeasonStart]],2)-2,7)))/7)+1)</f>
        <v>5</v>
      </c>
      <c r="S125">
        <f>IF(Games[[#This Row],[Team]]="","",COUNTIFS(Games[Team],Games[[#This Row],[Team]],Games[Season],Games[[#This Row],[Season]],Games[Week],"&lt;="&amp;Games[[#This Row],[Week]]))</f>
        <v>5</v>
      </c>
      <c r="T125">
        <f>IF(Games[[#This Row],[Team]]="","",_xlfn.MAXIFS(Games[Week],Games[Team],Games[[#This Row],[Team]],Games[Season],Games[[#This Row],[Season]],Games[Week],"&lt;"&amp;Games[[#This Row],[Week]]))</f>
        <v>4</v>
      </c>
      <c r="U125">
        <f>IF(Games[[#This Row],[Team]]="","",_xlfn.MAXIFS(Games[Week],Games[Team],Games[[#This Row],[Opponent]],Games[Season],Games[[#This Row],[Season]],Games[Week],"&lt;"&amp;Games[[#This Row],[Week]]))</f>
        <v>4</v>
      </c>
      <c r="V12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2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2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2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1575.2380579680332</v>
      </c>
      <c r="Z12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1426.5189724682446</v>
      </c>
      <c r="AA12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0.60864749107425065</v>
      </c>
      <c r="AB125">
        <f>IF(Games[[#This Row],[Team]]="","",Games[[#This Row],[PointsFor]]-Games[[#This Row],[PointsAgainst]])</f>
        <v>-5</v>
      </c>
      <c r="AC125">
        <f>IF(Games[[#This Row],[Team]]="","",IF(Games[[#This Row],[MOV]]&gt;0,1,IF(Games[[#This Row],[MOV]]=0,0.5,0)))</f>
        <v>0</v>
      </c>
      <c r="AD125">
        <f>IF(Games[[#This Row],[Team]]="","",--(OR(AND(Games[[#This Row],[ExpectedWin]]&gt;=0.5,Games[[#This Row],[Result]]=1),AND(Games[[#This Row],[ExpectedWin]]&lt;0.5,Games[[#This Row],[Result]]=0))))</f>
        <v>0</v>
      </c>
      <c r="AE125">
        <f>IF(Games[[#This Row],[Team]]="","",-(Games[[#This Row],[Result]]*LN(Games[[#This Row],[ExpectedWin]])+(1-Games[[#This Row],[Result]])*LN(1-Games[[#This Row],[ExpectedWin]])))</f>
        <v>0.93814656780064709</v>
      </c>
      <c r="AF125">
        <f>IF(Games[[#This Row],[Team]]="","",IF(Games[[#This Row],[Season]]&gt;=2021,17,16))</f>
        <v>16</v>
      </c>
      <c r="AG125">
        <f>IF(Games[[#This Row],[Team]]="","",KMax-(KMax-KFloor)*MIN(Games[[#This Row],[GamesPlayed]],Games[[#This Row],[SeasonLen]])/Games[[#This Row],[SeasonLen]])</f>
        <v>42.9375</v>
      </c>
      <c r="AH125">
        <f>IF(Games[[#This Row],[Team]]="","",((ABS(Games[[#This Row],[MOV]])+3)^0.8)/(7.5+0.006*ABS(Games[[#This Row],[PreGmRate]]-Games[[#This Row],[OppPreGmRate]]))*IF(Games[[#This Row],[OT]]=1,0.7,1))</f>
        <v>0.62891251691252892</v>
      </c>
      <c r="AI12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5">
        <f>IF(Games[[#This Row],[Team]]="","",Games[[#This Row],[K]]*IF(Games[[#This Row],[DivG]]=1,DivMult,1)*IF(Games[[#This Row],[ConfG]]=1,ConfMult,1)*Games[[#This Row],[POMult]])</f>
        <v>43.796250000000001</v>
      </c>
      <c r="AK125">
        <f>IF(Games[[#This Row],[Team]]="","",(Games[[#This Row],[Keff]]*Games[[#This Row],[MOVMult]])*(Games[[#This Row],[Result]]-Games[[#This Row],[ExpectedWin]]))</f>
        <v>-16.764592470355616</v>
      </c>
      <c r="AL125">
        <f>IF(Games[[#This Row],[Team]]="","",Games[[#This Row],[PreGmRate]]+Games[[#This Row],[RatingChange]])</f>
        <v>1558.4734654976776</v>
      </c>
      <c r="AM125">
        <f>IF(Games[[#This Row],[Team]]="","",IF(Games[[#This Row],[Type]]="R",IF(Games[[#This Row],[Result]]&gt;0.5,1,0),0))</f>
        <v>0</v>
      </c>
      <c r="AN125">
        <f>IF(Games[[#This Row],[Team]]="","",IF(Games[[#This Row],[Type]]="R",IF(Games[[#This Row],[Result]]&lt;0.5,1,0),0))</f>
        <v>1</v>
      </c>
      <c r="AO125">
        <f>IF(Games[[#This Row],[Team]]="","",IF(Games[[#This Row],[Type]]="R",IF(Games[[#This Row],[Result]]=0.5,1,0),0))</f>
        <v>0</v>
      </c>
    </row>
    <row r="126" spans="1:41" x14ac:dyDescent="0.35">
      <c r="A126" s="8">
        <v>35337</v>
      </c>
      <c r="B126">
        <v>1996</v>
      </c>
      <c r="C126" t="s">
        <v>197</v>
      </c>
      <c r="D126" t="s">
        <v>199</v>
      </c>
      <c r="E126" t="s">
        <v>101</v>
      </c>
      <c r="F126" t="s">
        <v>134</v>
      </c>
      <c r="G126" t="s">
        <v>200</v>
      </c>
      <c r="H126">
        <v>17</v>
      </c>
      <c r="I126">
        <v>10</v>
      </c>
      <c r="J126">
        <v>0</v>
      </c>
      <c r="K12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2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2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2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26">
        <f>IF(Games[[#This Row],[Team]]="","",IF(Games[[#This Row],[Conf]]=Games[[#This Row],[OppConf]],1,0))</f>
        <v>0</v>
      </c>
      <c r="P126">
        <f>IF(Games[[#This Row],[Team]]="","",IF(AND(Games[[#This Row],[Conf]]=Games[[#This Row],[OppConf]],Games[[#This Row],[Div]]=Games[[#This Row],[OppDiv]]),1,0))</f>
        <v>0</v>
      </c>
      <c r="Q126">
        <f>IF(Games[[#This Row],[Team]]="","",_xlfn.MINIFS(Games[Date],Games[Season],Games[[#This Row],[Season]]))</f>
        <v>35309</v>
      </c>
      <c r="R126">
        <f>IF(Games[[#This Row],[Team]]="","",INT((Games[[#This Row],[Date]]-(Games[[#This Row],[SeasonStart]]-MOD(WEEKDAY(Games[[#This Row],[SeasonStart]],2)-2,7)))/7)+1)</f>
        <v>5</v>
      </c>
      <c r="S126">
        <f>IF(Games[[#This Row],[Team]]="","",COUNTIFS(Games[Team],Games[[#This Row],[Team]],Games[Season],Games[[#This Row],[Season]],Games[Week],"&lt;="&amp;Games[[#This Row],[Week]]))</f>
        <v>4</v>
      </c>
      <c r="T126">
        <f>IF(Games[[#This Row],[Team]]="","",_xlfn.MAXIFS(Games[Week],Games[Team],Games[[#This Row],[Team]],Games[Season],Games[[#This Row],[Season]],Games[Week],"&lt;"&amp;Games[[#This Row],[Week]]))</f>
        <v>3</v>
      </c>
      <c r="U126">
        <f>IF(Games[[#This Row],[Team]]="","",_xlfn.MAXIFS(Games[Week],Games[Team],Games[[#This Row],[Opponent]],Games[Season],Games[[#This Row],[Season]],Games[Week],"&lt;"&amp;Games[[#This Row],[Week]]))</f>
        <v>4</v>
      </c>
      <c r="V12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12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2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12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1460.321694131464</v>
      </c>
      <c r="Z12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1400.3614718088363</v>
      </c>
      <c r="AA12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0.71049291538196402</v>
      </c>
      <c r="AB126">
        <f>IF(Games[[#This Row],[Team]]="","",Games[[#This Row],[PointsFor]]-Games[[#This Row],[PointsAgainst]])</f>
        <v>7</v>
      </c>
      <c r="AC126">
        <f>IF(Games[[#This Row],[Team]]="","",IF(Games[[#This Row],[MOV]]&gt;0,1,IF(Games[[#This Row],[MOV]]=0,0.5,0)))</f>
        <v>1</v>
      </c>
      <c r="AD126">
        <f>IF(Games[[#This Row],[Team]]="","",--(OR(AND(Games[[#This Row],[ExpectedWin]]&gt;=0.5,Games[[#This Row],[Result]]=1),AND(Games[[#This Row],[ExpectedWin]]&lt;0.5,Games[[#This Row],[Result]]=0))))</f>
        <v>1</v>
      </c>
      <c r="AE126">
        <f>IF(Games[[#This Row],[Team]]="","",-(Games[[#This Row],[Result]]*LN(Games[[#This Row],[ExpectedWin]])+(1-Games[[#This Row],[Result]])*LN(1-Games[[#This Row],[ExpectedWin]])))</f>
        <v>0.34179630280790596</v>
      </c>
      <c r="AF126">
        <f>IF(Games[[#This Row],[Team]]="","",IF(Games[[#This Row],[Season]]&gt;=2021,17,16))</f>
        <v>16</v>
      </c>
      <c r="AG126">
        <f>IF(Games[[#This Row],[Team]]="","",KMax-(KMax-KFloor)*MIN(Games[[#This Row],[GamesPlayed]],Games[[#This Row],[SeasonLen]])/Games[[#This Row],[SeasonLen]])</f>
        <v>43.55</v>
      </c>
      <c r="AH126">
        <f>IF(Games[[#This Row],[Team]]="","",((ABS(Games[[#This Row],[MOV]])+3)^0.8)/(7.5+0.006*ABS(Games[[#This Row],[PreGmRate]]-Games[[#This Row],[OppPreGmRate]]))*IF(Games[[#This Row],[OT]]=1,0.7,1))</f>
        <v>0.80276908887288345</v>
      </c>
      <c r="AI12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6">
        <f>IF(Games[[#This Row],[Team]]="","",Games[[#This Row],[K]]*IF(Games[[#This Row],[DivG]]=1,DivMult,1)*IF(Games[[#This Row],[ConfG]]=1,ConfMult,1)*Games[[#This Row],[POMult]])</f>
        <v>43.55</v>
      </c>
      <c r="AK126">
        <f>IF(Games[[#This Row],[Team]]="","",(Games[[#This Row],[Keff]]*Games[[#This Row],[MOVMult]])*(Games[[#This Row],[Result]]-Games[[#This Row],[ExpectedWin]]))</f>
        <v>10.121339593463404</v>
      </c>
      <c r="AL126">
        <f>IF(Games[[#This Row],[Team]]="","",Games[[#This Row],[PreGmRate]]+Games[[#This Row],[RatingChange]])</f>
        <v>1470.4430337249273</v>
      </c>
      <c r="AM126">
        <f>IF(Games[[#This Row],[Team]]="","",IF(Games[[#This Row],[Type]]="R",IF(Games[[#This Row],[Result]]&gt;0.5,1,0),0))</f>
        <v>1</v>
      </c>
      <c r="AN126">
        <f>IF(Games[[#This Row],[Team]]="","",IF(Games[[#This Row],[Type]]="R",IF(Games[[#This Row],[Result]]&lt;0.5,1,0),0))</f>
        <v>0</v>
      </c>
      <c r="AO126">
        <f>IF(Games[[#This Row],[Team]]="","",IF(Games[[#This Row],[Type]]="R",IF(Games[[#This Row],[Result]]=0.5,1,0),0))</f>
        <v>0</v>
      </c>
    </row>
    <row r="127" spans="1:41" x14ac:dyDescent="0.35">
      <c r="A127" s="8">
        <v>35337</v>
      </c>
      <c r="B127">
        <v>1996</v>
      </c>
      <c r="C127" t="s">
        <v>197</v>
      </c>
      <c r="D127" t="s">
        <v>199</v>
      </c>
      <c r="E127" t="s">
        <v>134</v>
      </c>
      <c r="F127" t="s">
        <v>101</v>
      </c>
      <c r="G127" t="s">
        <v>201</v>
      </c>
      <c r="H127">
        <v>10</v>
      </c>
      <c r="I127">
        <v>17</v>
      </c>
      <c r="J127">
        <v>0</v>
      </c>
      <c r="K12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2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2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2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27">
        <f>IF(Games[[#This Row],[Team]]="","",IF(Games[[#This Row],[Conf]]=Games[[#This Row],[OppConf]],1,0))</f>
        <v>0</v>
      </c>
      <c r="P127">
        <f>IF(Games[[#This Row],[Team]]="","",IF(AND(Games[[#This Row],[Conf]]=Games[[#This Row],[OppConf]],Games[[#This Row],[Div]]=Games[[#This Row],[OppDiv]]),1,0))</f>
        <v>0</v>
      </c>
      <c r="Q127">
        <f>IF(Games[[#This Row],[Team]]="","",_xlfn.MINIFS(Games[Date],Games[Season],Games[[#This Row],[Season]]))</f>
        <v>35309</v>
      </c>
      <c r="R127">
        <f>IF(Games[[#This Row],[Team]]="","",INT((Games[[#This Row],[Date]]-(Games[[#This Row],[SeasonStart]]-MOD(WEEKDAY(Games[[#This Row],[SeasonStart]],2)-2,7)))/7)+1)</f>
        <v>5</v>
      </c>
      <c r="S127">
        <f>IF(Games[[#This Row],[Team]]="","",COUNTIFS(Games[Team],Games[[#This Row],[Team]],Games[Season],Games[[#This Row],[Season]],Games[Week],"&lt;="&amp;Games[[#This Row],[Week]]))</f>
        <v>5</v>
      </c>
      <c r="T127">
        <f>IF(Games[[#This Row],[Team]]="","",_xlfn.MAXIFS(Games[Week],Games[Team],Games[[#This Row],[Team]],Games[Season],Games[[#This Row],[Season]],Games[Week],"&lt;"&amp;Games[[#This Row],[Week]]))</f>
        <v>4</v>
      </c>
      <c r="U127">
        <f>IF(Games[[#This Row],[Team]]="","",_xlfn.MAXIFS(Games[Week],Games[Team],Games[[#This Row],[Opponent]],Games[Season],Games[[#This Row],[Season]],Games[Week],"&lt;"&amp;Games[[#This Row],[Week]]))</f>
        <v>3</v>
      </c>
      <c r="V12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2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12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12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1400.3614718088363</v>
      </c>
      <c r="Z12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1460.321694131464</v>
      </c>
      <c r="AA12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0.28950708461803593</v>
      </c>
      <c r="AB127">
        <f>IF(Games[[#This Row],[Team]]="","",Games[[#This Row],[PointsFor]]-Games[[#This Row],[PointsAgainst]])</f>
        <v>-7</v>
      </c>
      <c r="AC127">
        <f>IF(Games[[#This Row],[Team]]="","",IF(Games[[#This Row],[MOV]]&gt;0,1,IF(Games[[#This Row],[MOV]]=0,0.5,0)))</f>
        <v>0</v>
      </c>
      <c r="AD127">
        <f>IF(Games[[#This Row],[Team]]="","",--(OR(AND(Games[[#This Row],[ExpectedWin]]&gt;=0.5,Games[[#This Row],[Result]]=1),AND(Games[[#This Row],[ExpectedWin]]&lt;0.5,Games[[#This Row],[Result]]=0))))</f>
        <v>1</v>
      </c>
      <c r="AE127">
        <f>IF(Games[[#This Row],[Team]]="","",-(Games[[#This Row],[Result]]*LN(Games[[#This Row],[ExpectedWin]])+(1-Games[[#This Row],[Result]])*LN(1-Games[[#This Row],[ExpectedWin]])))</f>
        <v>0.34179630280790585</v>
      </c>
      <c r="AF127">
        <f>IF(Games[[#This Row],[Team]]="","",IF(Games[[#This Row],[Season]]&gt;=2021,17,16))</f>
        <v>16</v>
      </c>
      <c r="AG127">
        <f>IF(Games[[#This Row],[Team]]="","",KMax-(KMax-KFloor)*MIN(Games[[#This Row],[GamesPlayed]],Games[[#This Row],[SeasonLen]])/Games[[#This Row],[SeasonLen]])</f>
        <v>42.9375</v>
      </c>
      <c r="AH127">
        <f>IF(Games[[#This Row],[Team]]="","",((ABS(Games[[#This Row],[MOV]])+3)^0.8)/(7.5+0.006*ABS(Games[[#This Row],[PreGmRate]]-Games[[#This Row],[OppPreGmRate]]))*IF(Games[[#This Row],[OT]]=1,0.7,1))</f>
        <v>0.80276908887288345</v>
      </c>
      <c r="AI12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7">
        <f>IF(Games[[#This Row],[Team]]="","",Games[[#This Row],[K]]*IF(Games[[#This Row],[DivG]]=1,DivMult,1)*IF(Games[[#This Row],[ConfG]]=1,ConfMult,1)*Games[[#This Row],[POMult]])</f>
        <v>42.9375</v>
      </c>
      <c r="AK127">
        <f>IF(Games[[#This Row],[Team]]="","",(Games[[#This Row],[Keff]]*Games[[#This Row],[MOVMult]])*(Games[[#This Row],[Result]]-Games[[#This Row],[ExpectedWin]]))</f>
        <v>-9.9789900986069977</v>
      </c>
      <c r="AL127">
        <f>IF(Games[[#This Row],[Team]]="","",Games[[#This Row],[PreGmRate]]+Games[[#This Row],[RatingChange]])</f>
        <v>1390.3824817102293</v>
      </c>
      <c r="AM127">
        <f>IF(Games[[#This Row],[Team]]="","",IF(Games[[#This Row],[Type]]="R",IF(Games[[#This Row],[Result]]&gt;0.5,1,0),0))</f>
        <v>0</v>
      </c>
      <c r="AN127">
        <f>IF(Games[[#This Row],[Team]]="","",IF(Games[[#This Row],[Type]]="R",IF(Games[[#This Row],[Result]]&lt;0.5,1,0),0))</f>
        <v>1</v>
      </c>
      <c r="AO127">
        <f>IF(Games[[#This Row],[Team]]="","",IF(Games[[#This Row],[Type]]="R",IF(Games[[#This Row],[Result]]=0.5,1,0),0))</f>
        <v>0</v>
      </c>
    </row>
    <row r="128" spans="1:41" x14ac:dyDescent="0.35">
      <c r="A128" s="8">
        <v>35337</v>
      </c>
      <c r="B128">
        <v>1996</v>
      </c>
      <c r="C128" t="s">
        <v>197</v>
      </c>
      <c r="D128" t="s">
        <v>199</v>
      </c>
      <c r="E128" t="s">
        <v>148</v>
      </c>
      <c r="F128" t="s">
        <v>98</v>
      </c>
      <c r="G128" t="s">
        <v>200</v>
      </c>
      <c r="H128">
        <v>39</v>
      </c>
      <c r="I128">
        <v>17</v>
      </c>
      <c r="J128">
        <v>0</v>
      </c>
      <c r="K12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2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2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2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28">
        <f>IF(Games[[#This Row],[Team]]="","",IF(Games[[#This Row],[Conf]]=Games[[#This Row],[OppConf]],1,0))</f>
        <v>1</v>
      </c>
      <c r="P128">
        <f>IF(Games[[#This Row],[Team]]="","",IF(AND(Games[[#This Row],[Conf]]=Games[[#This Row],[OppConf]],Games[[#This Row],[Div]]=Games[[#This Row],[OppDiv]]),1,0))</f>
        <v>1</v>
      </c>
      <c r="Q128">
        <f>IF(Games[[#This Row],[Team]]="","",_xlfn.MINIFS(Games[Date],Games[Season],Games[[#This Row],[Season]]))</f>
        <v>35309</v>
      </c>
      <c r="R128">
        <f>IF(Games[[#This Row],[Team]]="","",INT((Games[[#This Row],[Date]]-(Games[[#This Row],[SeasonStart]]-MOD(WEEKDAY(Games[[#This Row],[SeasonStart]],2)-2,7)))/7)+1)</f>
        <v>5</v>
      </c>
      <c r="S128">
        <f>IF(Games[[#This Row],[Team]]="","",COUNTIFS(Games[Team],Games[[#This Row],[Team]],Games[Season],Games[[#This Row],[Season]],Games[Week],"&lt;="&amp;Games[[#This Row],[Week]]))</f>
        <v>4</v>
      </c>
      <c r="T128">
        <f>IF(Games[[#This Row],[Team]]="","",_xlfn.MAXIFS(Games[Week],Games[Team],Games[[#This Row],[Team]],Games[Season],Games[[#This Row],[Season]],Games[Week],"&lt;"&amp;Games[[#This Row],[Week]]))</f>
        <v>4</v>
      </c>
      <c r="U128">
        <f>IF(Games[[#This Row],[Team]]="","",_xlfn.MAXIFS(Games[Week],Games[Team],Games[[#This Row],[Opponent]],Games[Season],Games[[#This Row],[Season]],Games[Week],"&lt;"&amp;Games[[#This Row],[Week]]))</f>
        <v>4</v>
      </c>
      <c r="V12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2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2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2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1544.774394726571</v>
      </c>
      <c r="Z12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1413.3322910597892</v>
      </c>
      <c r="AA12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0.76334503265193798</v>
      </c>
      <c r="AB128">
        <f>IF(Games[[#This Row],[Team]]="","",Games[[#This Row],[PointsFor]]-Games[[#This Row],[PointsAgainst]])</f>
        <v>22</v>
      </c>
      <c r="AC128">
        <f>IF(Games[[#This Row],[Team]]="","",IF(Games[[#This Row],[MOV]]&gt;0,1,IF(Games[[#This Row],[MOV]]=0,0.5,0)))</f>
        <v>1</v>
      </c>
      <c r="AD128">
        <f>IF(Games[[#This Row],[Team]]="","",--(OR(AND(Games[[#This Row],[ExpectedWin]]&gt;=0.5,Games[[#This Row],[Result]]=1),AND(Games[[#This Row],[ExpectedWin]]&lt;0.5,Games[[#This Row],[Result]]=0))))</f>
        <v>1</v>
      </c>
      <c r="AE128">
        <f>IF(Games[[#This Row],[Team]]="","",-(Games[[#This Row],[Result]]*LN(Games[[#This Row],[ExpectedWin]])+(1-Games[[#This Row],[Result]])*LN(1-Games[[#This Row],[ExpectedWin]])))</f>
        <v>0.27004514460115348</v>
      </c>
      <c r="AF128">
        <f>IF(Games[[#This Row],[Team]]="","",IF(Games[[#This Row],[Season]]&gt;=2021,17,16))</f>
        <v>16</v>
      </c>
      <c r="AG128">
        <f>IF(Games[[#This Row],[Team]]="","",KMax-(KMax-KFloor)*MIN(Games[[#This Row],[GamesPlayed]],Games[[#This Row],[SeasonLen]])/Games[[#This Row],[SeasonLen]])</f>
        <v>43.55</v>
      </c>
      <c r="AH128">
        <f>IF(Games[[#This Row],[Team]]="","",((ABS(Games[[#This Row],[MOV]])+3)^0.8)/(7.5+0.006*ABS(Games[[#This Row],[PreGmRate]]-Games[[#This Row],[OppPreGmRate]]))*IF(Games[[#This Row],[OT]]=1,0.7,1))</f>
        <v>1.5844118001954486</v>
      </c>
      <c r="AI12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8">
        <f>IF(Games[[#This Row],[Team]]="","",Games[[#This Row],[K]]*IF(Games[[#This Row],[DivG]]=1,DivMult,1)*IF(Games[[#This Row],[ConfG]]=1,ConfMult,1)*Games[[#This Row],[POMult]])</f>
        <v>48.863100000000003</v>
      </c>
      <c r="AK128">
        <f>IF(Games[[#This Row],[Team]]="","",(Games[[#This Row],[Keff]]*Games[[#This Row],[MOVMult]])*(Games[[#This Row],[Result]]-Games[[#This Row],[ExpectedWin]]))</f>
        <v>18.321655342678813</v>
      </c>
      <c r="AL128">
        <f>IF(Games[[#This Row],[Team]]="","",Games[[#This Row],[PreGmRate]]+Games[[#This Row],[RatingChange]])</f>
        <v>1563.0960500692499</v>
      </c>
      <c r="AM128">
        <f>IF(Games[[#This Row],[Team]]="","",IF(Games[[#This Row],[Type]]="R",IF(Games[[#This Row],[Result]]&gt;0.5,1,0),0))</f>
        <v>1</v>
      </c>
      <c r="AN128">
        <f>IF(Games[[#This Row],[Team]]="","",IF(Games[[#This Row],[Type]]="R",IF(Games[[#This Row],[Result]]&lt;0.5,1,0),0))</f>
        <v>0</v>
      </c>
      <c r="AO128">
        <f>IF(Games[[#This Row],[Team]]="","",IF(Games[[#This Row],[Type]]="R",IF(Games[[#This Row],[Result]]=0.5,1,0),0))</f>
        <v>0</v>
      </c>
    </row>
    <row r="129" spans="1:41" x14ac:dyDescent="0.35">
      <c r="A129" s="8">
        <v>35337</v>
      </c>
      <c r="B129">
        <v>1996</v>
      </c>
      <c r="C129" t="s">
        <v>197</v>
      </c>
      <c r="D129" t="s">
        <v>199</v>
      </c>
      <c r="E129" t="s">
        <v>98</v>
      </c>
      <c r="F129" t="s">
        <v>148</v>
      </c>
      <c r="G129" t="s">
        <v>201</v>
      </c>
      <c r="H129">
        <v>17</v>
      </c>
      <c r="I129">
        <v>39</v>
      </c>
      <c r="J129">
        <v>0</v>
      </c>
      <c r="K12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2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2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2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29">
        <f>IF(Games[[#This Row],[Team]]="","",IF(Games[[#This Row],[Conf]]=Games[[#This Row],[OppConf]],1,0))</f>
        <v>1</v>
      </c>
      <c r="P129">
        <f>IF(Games[[#This Row],[Team]]="","",IF(AND(Games[[#This Row],[Conf]]=Games[[#This Row],[OppConf]],Games[[#This Row],[Div]]=Games[[#This Row],[OppDiv]]),1,0))</f>
        <v>1</v>
      </c>
      <c r="Q129">
        <f>IF(Games[[#This Row],[Team]]="","",_xlfn.MINIFS(Games[Date],Games[Season],Games[[#This Row],[Season]]))</f>
        <v>35309</v>
      </c>
      <c r="R129">
        <f>IF(Games[[#This Row],[Team]]="","",INT((Games[[#This Row],[Date]]-(Games[[#This Row],[SeasonStart]]-MOD(WEEKDAY(Games[[#This Row],[SeasonStart]],2)-2,7)))/7)+1)</f>
        <v>5</v>
      </c>
      <c r="S129">
        <f>IF(Games[[#This Row],[Team]]="","",COUNTIFS(Games[Team],Games[[#This Row],[Team]],Games[Season],Games[[#This Row],[Season]],Games[Week],"&lt;="&amp;Games[[#This Row],[Week]]))</f>
        <v>4</v>
      </c>
      <c r="T129">
        <f>IF(Games[[#This Row],[Team]]="","",_xlfn.MAXIFS(Games[Week],Games[Team],Games[[#This Row],[Team]],Games[Season],Games[[#This Row],[Season]],Games[Week],"&lt;"&amp;Games[[#This Row],[Week]]))</f>
        <v>4</v>
      </c>
      <c r="U129">
        <f>IF(Games[[#This Row],[Team]]="","",_xlfn.MAXIFS(Games[Week],Games[Team],Games[[#This Row],[Opponent]],Games[Season],Games[[#This Row],[Season]],Games[Week],"&lt;"&amp;Games[[#This Row],[Week]]))</f>
        <v>4</v>
      </c>
      <c r="V12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2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2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2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1413.3322910597892</v>
      </c>
      <c r="Z12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1544.774394726571</v>
      </c>
      <c r="AA12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0.23665496734806199</v>
      </c>
      <c r="AB129">
        <f>IF(Games[[#This Row],[Team]]="","",Games[[#This Row],[PointsFor]]-Games[[#This Row],[PointsAgainst]])</f>
        <v>-22</v>
      </c>
      <c r="AC129">
        <f>IF(Games[[#This Row],[Team]]="","",IF(Games[[#This Row],[MOV]]&gt;0,1,IF(Games[[#This Row],[MOV]]=0,0.5,0)))</f>
        <v>0</v>
      </c>
      <c r="AD129">
        <f>IF(Games[[#This Row],[Team]]="","",--(OR(AND(Games[[#This Row],[ExpectedWin]]&gt;=0.5,Games[[#This Row],[Result]]=1),AND(Games[[#This Row],[ExpectedWin]]&lt;0.5,Games[[#This Row],[Result]]=0))))</f>
        <v>1</v>
      </c>
      <c r="AE129">
        <f>IF(Games[[#This Row],[Team]]="","",-(Games[[#This Row],[Result]]*LN(Games[[#This Row],[ExpectedWin]])+(1-Games[[#This Row],[Result]])*LN(1-Games[[#This Row],[ExpectedWin]])))</f>
        <v>0.27004514460115348</v>
      </c>
      <c r="AF129">
        <f>IF(Games[[#This Row],[Team]]="","",IF(Games[[#This Row],[Season]]&gt;=2021,17,16))</f>
        <v>16</v>
      </c>
      <c r="AG129">
        <f>IF(Games[[#This Row],[Team]]="","",KMax-(KMax-KFloor)*MIN(Games[[#This Row],[GamesPlayed]],Games[[#This Row],[SeasonLen]])/Games[[#This Row],[SeasonLen]])</f>
        <v>43.55</v>
      </c>
      <c r="AH129">
        <f>IF(Games[[#This Row],[Team]]="","",((ABS(Games[[#This Row],[MOV]])+3)^0.8)/(7.5+0.006*ABS(Games[[#This Row],[PreGmRate]]-Games[[#This Row],[OppPreGmRate]]))*IF(Games[[#This Row],[OT]]=1,0.7,1))</f>
        <v>1.5844118001954486</v>
      </c>
      <c r="AI12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9">
        <f>IF(Games[[#This Row],[Team]]="","",Games[[#This Row],[K]]*IF(Games[[#This Row],[DivG]]=1,DivMult,1)*IF(Games[[#This Row],[ConfG]]=1,ConfMult,1)*Games[[#This Row],[POMult]])</f>
        <v>48.863100000000003</v>
      </c>
      <c r="AK129">
        <f>IF(Games[[#This Row],[Team]]="","",(Games[[#This Row],[Keff]]*Games[[#This Row],[MOVMult]])*(Games[[#This Row],[Result]]-Games[[#This Row],[ExpectedWin]]))</f>
        <v>-18.321655342678813</v>
      </c>
      <c r="AL129">
        <f>IF(Games[[#This Row],[Team]]="","",Games[[#This Row],[PreGmRate]]+Games[[#This Row],[RatingChange]])</f>
        <v>1395.0106357171103</v>
      </c>
      <c r="AM129">
        <f>IF(Games[[#This Row],[Team]]="","",IF(Games[[#This Row],[Type]]="R",IF(Games[[#This Row],[Result]]&gt;0.5,1,0),0))</f>
        <v>0</v>
      </c>
      <c r="AN129">
        <f>IF(Games[[#This Row],[Team]]="","",IF(Games[[#This Row],[Type]]="R",IF(Games[[#This Row],[Result]]&lt;0.5,1,0),0))</f>
        <v>1</v>
      </c>
      <c r="AO129">
        <f>IF(Games[[#This Row],[Team]]="","",IF(Games[[#This Row],[Type]]="R",IF(Games[[#This Row],[Result]]=0.5,1,0),0))</f>
        <v>0</v>
      </c>
    </row>
    <row r="130" spans="1:41" x14ac:dyDescent="0.35">
      <c r="A130" s="8">
        <v>35337</v>
      </c>
      <c r="B130">
        <v>1996</v>
      </c>
      <c r="C130" t="s">
        <v>197</v>
      </c>
      <c r="D130" t="s">
        <v>199</v>
      </c>
      <c r="E130" t="s">
        <v>93</v>
      </c>
      <c r="F130" t="s">
        <v>150</v>
      </c>
      <c r="G130" t="s">
        <v>200</v>
      </c>
      <c r="H130">
        <v>31</v>
      </c>
      <c r="I130">
        <v>28</v>
      </c>
      <c r="J130">
        <v>1</v>
      </c>
      <c r="K13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3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3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3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30">
        <f>IF(Games[[#This Row],[Team]]="","",IF(Games[[#This Row],[Conf]]=Games[[#This Row],[OppConf]],1,0))</f>
        <v>1</v>
      </c>
      <c r="P130">
        <f>IF(Games[[#This Row],[Team]]="","",IF(AND(Games[[#This Row],[Conf]]=Games[[#This Row],[OppConf]],Games[[#This Row],[Div]]=Games[[#This Row],[OppDiv]]),1,0))</f>
        <v>0</v>
      </c>
      <c r="Q130">
        <f>IF(Games[[#This Row],[Team]]="","",_xlfn.MINIFS(Games[Date],Games[Season],Games[[#This Row],[Season]]))</f>
        <v>35309</v>
      </c>
      <c r="R130">
        <f>IF(Games[[#This Row],[Team]]="","",INT((Games[[#This Row],[Date]]-(Games[[#This Row],[SeasonStart]]-MOD(WEEKDAY(Games[[#This Row],[SeasonStart]],2)-2,7)))/7)+1)</f>
        <v>5</v>
      </c>
      <c r="S130">
        <f>IF(Games[[#This Row],[Team]]="","",COUNTIFS(Games[Team],Games[[#This Row],[Team]],Games[Season],Games[[#This Row],[Season]],Games[Week],"&lt;="&amp;Games[[#This Row],[Week]]))</f>
        <v>5</v>
      </c>
      <c r="T130">
        <f>IF(Games[[#This Row],[Team]]="","",_xlfn.MAXIFS(Games[Week],Games[Team],Games[[#This Row],[Team]],Games[Season],Games[[#This Row],[Season]],Games[Week],"&lt;"&amp;Games[[#This Row],[Week]]))</f>
        <v>4</v>
      </c>
      <c r="U130">
        <f>IF(Games[[#This Row],[Team]]="","",_xlfn.MAXIFS(Games[Week],Games[Team],Games[[#This Row],[Opponent]],Games[Season],Games[[#This Row],[Season]],Games[Week],"&lt;"&amp;Games[[#This Row],[Week]]))</f>
        <v>4</v>
      </c>
      <c r="V13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3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3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3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1436.4344894861392</v>
      </c>
      <c r="Z13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1453.4786791535516</v>
      </c>
      <c r="AA13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0.5784347244629946</v>
      </c>
      <c r="AB130">
        <f>IF(Games[[#This Row],[Team]]="","",Games[[#This Row],[PointsFor]]-Games[[#This Row],[PointsAgainst]])</f>
        <v>3</v>
      </c>
      <c r="AC130">
        <f>IF(Games[[#This Row],[Team]]="","",IF(Games[[#This Row],[MOV]]&gt;0,1,IF(Games[[#This Row],[MOV]]=0,0.5,0)))</f>
        <v>1</v>
      </c>
      <c r="AD130">
        <f>IF(Games[[#This Row],[Team]]="","",--(OR(AND(Games[[#This Row],[ExpectedWin]]&gt;=0.5,Games[[#This Row],[Result]]=1),AND(Games[[#This Row],[ExpectedWin]]&lt;0.5,Games[[#This Row],[Result]]=0))))</f>
        <v>1</v>
      </c>
      <c r="AE130">
        <f>IF(Games[[#This Row],[Team]]="","",-(Games[[#This Row],[Result]]*LN(Games[[#This Row],[ExpectedWin]])+(1-Games[[#This Row],[Result]])*LN(1-Games[[#This Row],[ExpectedWin]])))</f>
        <v>0.54742957456101193</v>
      </c>
      <c r="AF130">
        <f>IF(Games[[#This Row],[Team]]="","",IF(Games[[#This Row],[Season]]&gt;=2021,17,16))</f>
        <v>16</v>
      </c>
      <c r="AG130">
        <f>IF(Games[[#This Row],[Team]]="","",KMax-(KMax-KFloor)*MIN(Games[[#This Row],[GamesPlayed]],Games[[#This Row],[SeasonLen]])/Games[[#This Row],[SeasonLen]])</f>
        <v>42.9375</v>
      </c>
      <c r="AH130">
        <f>IF(Games[[#This Row],[Team]]="","",((ABS(Games[[#This Row],[MOV]])+3)^0.8)/(7.5+0.006*ABS(Games[[#This Row],[PreGmRate]]-Games[[#This Row],[OppPreGmRate]]))*IF(Games[[#This Row],[OT]]=1,0.7,1))</f>
        <v>0.38607886538551628</v>
      </c>
      <c r="AI13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0">
        <f>IF(Games[[#This Row],[Team]]="","",Games[[#This Row],[K]]*IF(Games[[#This Row],[DivG]]=1,DivMult,1)*IF(Games[[#This Row],[ConfG]]=1,ConfMult,1)*Games[[#This Row],[POMult]])</f>
        <v>43.796250000000001</v>
      </c>
      <c r="AK130">
        <f>IF(Games[[#This Row],[Team]]="","",(Games[[#This Row],[Keff]]*Games[[#This Row],[MOVMult]])*(Games[[#This Row],[Result]]-Games[[#This Row],[ExpectedWin]]))</f>
        <v>7.1281656746061257</v>
      </c>
      <c r="AL130">
        <f>IF(Games[[#This Row],[Team]]="","",Games[[#This Row],[PreGmRate]]+Games[[#This Row],[RatingChange]])</f>
        <v>1443.5626551607454</v>
      </c>
      <c r="AM130">
        <f>IF(Games[[#This Row],[Team]]="","",IF(Games[[#This Row],[Type]]="R",IF(Games[[#This Row],[Result]]&gt;0.5,1,0),0))</f>
        <v>1</v>
      </c>
      <c r="AN130">
        <f>IF(Games[[#This Row],[Team]]="","",IF(Games[[#This Row],[Type]]="R",IF(Games[[#This Row],[Result]]&lt;0.5,1,0),0))</f>
        <v>0</v>
      </c>
      <c r="AO130">
        <f>IF(Games[[#This Row],[Team]]="","",IF(Games[[#This Row],[Type]]="R",IF(Games[[#This Row],[Result]]=0.5,1,0),0))</f>
        <v>0</v>
      </c>
    </row>
    <row r="131" spans="1:41" x14ac:dyDescent="0.35">
      <c r="A131" s="8">
        <v>35337</v>
      </c>
      <c r="B131">
        <v>1996</v>
      </c>
      <c r="C131" t="s">
        <v>197</v>
      </c>
      <c r="D131" t="s">
        <v>199</v>
      </c>
      <c r="E131" t="s">
        <v>150</v>
      </c>
      <c r="F131" t="s">
        <v>93</v>
      </c>
      <c r="G131" t="s">
        <v>201</v>
      </c>
      <c r="H131">
        <v>28</v>
      </c>
      <c r="I131">
        <v>31</v>
      </c>
      <c r="J131">
        <v>1</v>
      </c>
      <c r="K13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3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3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3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31">
        <f>IF(Games[[#This Row],[Team]]="","",IF(Games[[#This Row],[Conf]]=Games[[#This Row],[OppConf]],1,0))</f>
        <v>1</v>
      </c>
      <c r="P131">
        <f>IF(Games[[#This Row],[Team]]="","",IF(AND(Games[[#This Row],[Conf]]=Games[[#This Row],[OppConf]],Games[[#This Row],[Div]]=Games[[#This Row],[OppDiv]]),1,0))</f>
        <v>0</v>
      </c>
      <c r="Q131">
        <f>IF(Games[[#This Row],[Team]]="","",_xlfn.MINIFS(Games[Date],Games[Season],Games[[#This Row],[Season]]))</f>
        <v>35309</v>
      </c>
      <c r="R131">
        <f>IF(Games[[#This Row],[Team]]="","",INT((Games[[#This Row],[Date]]-(Games[[#This Row],[SeasonStart]]-MOD(WEEKDAY(Games[[#This Row],[SeasonStart]],2)-2,7)))/7)+1)</f>
        <v>5</v>
      </c>
      <c r="S131">
        <f>IF(Games[[#This Row],[Team]]="","",COUNTIFS(Games[Team],Games[[#This Row],[Team]],Games[Season],Games[[#This Row],[Season]],Games[Week],"&lt;="&amp;Games[[#This Row],[Week]]))</f>
        <v>4</v>
      </c>
      <c r="T131">
        <f>IF(Games[[#This Row],[Team]]="","",_xlfn.MAXIFS(Games[Week],Games[Team],Games[[#This Row],[Team]],Games[Season],Games[[#This Row],[Season]],Games[Week],"&lt;"&amp;Games[[#This Row],[Week]]))</f>
        <v>4</v>
      </c>
      <c r="U131">
        <f>IF(Games[[#This Row],[Team]]="","",_xlfn.MAXIFS(Games[Week],Games[Team],Games[[#This Row],[Opponent]],Games[Season],Games[[#This Row],[Season]],Games[Week],"&lt;"&amp;Games[[#This Row],[Week]]))</f>
        <v>4</v>
      </c>
      <c r="V13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3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3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3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1453.4786791535516</v>
      </c>
      <c r="Z13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1436.4344894861392</v>
      </c>
      <c r="AA13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0.42156527553700551</v>
      </c>
      <c r="AB131">
        <f>IF(Games[[#This Row],[Team]]="","",Games[[#This Row],[PointsFor]]-Games[[#This Row],[PointsAgainst]])</f>
        <v>-3</v>
      </c>
      <c r="AC131">
        <f>IF(Games[[#This Row],[Team]]="","",IF(Games[[#This Row],[MOV]]&gt;0,1,IF(Games[[#This Row],[MOV]]=0,0.5,0)))</f>
        <v>0</v>
      </c>
      <c r="AD131">
        <f>IF(Games[[#This Row],[Team]]="","",--(OR(AND(Games[[#This Row],[ExpectedWin]]&gt;=0.5,Games[[#This Row],[Result]]=1),AND(Games[[#This Row],[ExpectedWin]]&lt;0.5,Games[[#This Row],[Result]]=0))))</f>
        <v>1</v>
      </c>
      <c r="AE131">
        <f>IF(Games[[#This Row],[Team]]="","",-(Games[[#This Row],[Result]]*LN(Games[[#This Row],[ExpectedWin]])+(1-Games[[#This Row],[Result]])*LN(1-Games[[#This Row],[ExpectedWin]])))</f>
        <v>0.54742957456101216</v>
      </c>
      <c r="AF131">
        <f>IF(Games[[#This Row],[Team]]="","",IF(Games[[#This Row],[Season]]&gt;=2021,17,16))</f>
        <v>16</v>
      </c>
      <c r="AG131">
        <f>IF(Games[[#This Row],[Team]]="","",KMax-(KMax-KFloor)*MIN(Games[[#This Row],[GamesPlayed]],Games[[#This Row],[SeasonLen]])/Games[[#This Row],[SeasonLen]])</f>
        <v>43.55</v>
      </c>
      <c r="AH131">
        <f>IF(Games[[#This Row],[Team]]="","",((ABS(Games[[#This Row],[MOV]])+3)^0.8)/(7.5+0.006*ABS(Games[[#This Row],[PreGmRate]]-Games[[#This Row],[OppPreGmRate]]))*IF(Games[[#This Row],[OT]]=1,0.7,1))</f>
        <v>0.38607886538551628</v>
      </c>
      <c r="AI13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1">
        <f>IF(Games[[#This Row],[Team]]="","",Games[[#This Row],[K]]*IF(Games[[#This Row],[DivG]]=1,DivMult,1)*IF(Games[[#This Row],[ConfG]]=1,ConfMult,1)*Games[[#This Row],[POMult]])</f>
        <v>44.420999999999999</v>
      </c>
      <c r="AK131">
        <f>IF(Games[[#This Row],[Team]]="","",(Games[[#This Row],[Keff]]*Games[[#This Row],[MOVMult]])*(Games[[#This Row],[Result]]-Games[[#This Row],[ExpectedWin]]))</f>
        <v>-7.2298483872860979</v>
      </c>
      <c r="AL131">
        <f>IF(Games[[#This Row],[Team]]="","",Games[[#This Row],[PreGmRate]]+Games[[#This Row],[RatingChange]])</f>
        <v>1446.2488307662654</v>
      </c>
      <c r="AM131">
        <f>IF(Games[[#This Row],[Team]]="","",IF(Games[[#This Row],[Type]]="R",IF(Games[[#This Row],[Result]]&gt;0.5,1,0),0))</f>
        <v>0</v>
      </c>
      <c r="AN131">
        <f>IF(Games[[#This Row],[Team]]="","",IF(Games[[#This Row],[Type]]="R",IF(Games[[#This Row],[Result]]&lt;0.5,1,0),0))</f>
        <v>1</v>
      </c>
      <c r="AO131">
        <f>IF(Games[[#This Row],[Team]]="","",IF(Games[[#This Row],[Type]]="R",IF(Games[[#This Row],[Result]]=0.5,1,0),0))</f>
        <v>0</v>
      </c>
    </row>
    <row r="132" spans="1:41" x14ac:dyDescent="0.35">
      <c r="A132" s="8">
        <v>35337</v>
      </c>
      <c r="B132">
        <v>1996</v>
      </c>
      <c r="C132" t="s">
        <v>197</v>
      </c>
      <c r="D132" t="s">
        <v>199</v>
      </c>
      <c r="E132" t="s">
        <v>120</v>
      </c>
      <c r="F132" t="s">
        <v>146</v>
      </c>
      <c r="G132" t="s">
        <v>201</v>
      </c>
      <c r="H132">
        <v>31</v>
      </c>
      <c r="I132">
        <v>10</v>
      </c>
      <c r="J132">
        <v>0</v>
      </c>
      <c r="K13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3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3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3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32">
        <f>IF(Games[[#This Row],[Team]]="","",IF(Games[[#This Row],[Conf]]=Games[[#This Row],[OppConf]],1,0))</f>
        <v>0</v>
      </c>
      <c r="P132">
        <f>IF(Games[[#This Row],[Team]]="","",IF(AND(Games[[#This Row],[Conf]]=Games[[#This Row],[OppConf]],Games[[#This Row],[Div]]=Games[[#This Row],[OppDiv]]),1,0))</f>
        <v>0</v>
      </c>
      <c r="Q132">
        <f>IF(Games[[#This Row],[Team]]="","",_xlfn.MINIFS(Games[Date],Games[Season],Games[[#This Row],[Season]]))</f>
        <v>35309</v>
      </c>
      <c r="R132">
        <f>IF(Games[[#This Row],[Team]]="","",INT((Games[[#This Row],[Date]]-(Games[[#This Row],[SeasonStart]]-MOD(WEEKDAY(Games[[#This Row],[SeasonStart]],2)-2,7)))/7)+1)</f>
        <v>5</v>
      </c>
      <c r="S132">
        <f>IF(Games[[#This Row],[Team]]="","",COUNTIFS(Games[Team],Games[[#This Row],[Team]],Games[Season],Games[[#This Row],[Season]],Games[Week],"&lt;="&amp;Games[[#This Row],[Week]]))</f>
        <v>5</v>
      </c>
      <c r="T132">
        <f>IF(Games[[#This Row],[Team]]="","",_xlfn.MAXIFS(Games[Week],Games[Team],Games[[#This Row],[Team]],Games[Season],Games[[#This Row],[Season]],Games[Week],"&lt;"&amp;Games[[#This Row],[Week]]))</f>
        <v>4</v>
      </c>
      <c r="U132">
        <f>IF(Games[[#This Row],[Team]]="","",_xlfn.MAXIFS(Games[Week],Games[Team],Games[[#This Row],[Opponent]],Games[Season],Games[[#This Row],[Season]],Games[Week],"&lt;"&amp;Games[[#This Row],[Week]]))</f>
        <v>4</v>
      </c>
      <c r="V13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3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3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3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1608.231688982956</v>
      </c>
      <c r="Z13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1423.7063570787641</v>
      </c>
      <c r="AA13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0.65650277317318595</v>
      </c>
      <c r="AB132">
        <f>IF(Games[[#This Row],[Team]]="","",Games[[#This Row],[PointsFor]]-Games[[#This Row],[PointsAgainst]])</f>
        <v>21</v>
      </c>
      <c r="AC132">
        <f>IF(Games[[#This Row],[Team]]="","",IF(Games[[#This Row],[MOV]]&gt;0,1,IF(Games[[#This Row],[MOV]]=0,0.5,0)))</f>
        <v>1</v>
      </c>
      <c r="AD132">
        <f>IF(Games[[#This Row],[Team]]="","",--(OR(AND(Games[[#This Row],[ExpectedWin]]&gt;=0.5,Games[[#This Row],[Result]]=1),AND(Games[[#This Row],[ExpectedWin]]&lt;0.5,Games[[#This Row],[Result]]=0))))</f>
        <v>1</v>
      </c>
      <c r="AE132">
        <f>IF(Games[[#This Row],[Team]]="","",-(Games[[#This Row],[Result]]*LN(Games[[#This Row],[ExpectedWin]])+(1-Games[[#This Row],[Result]])*LN(1-Games[[#This Row],[ExpectedWin]])))</f>
        <v>0.42082836106970695</v>
      </c>
      <c r="AF132">
        <f>IF(Games[[#This Row],[Team]]="","",IF(Games[[#This Row],[Season]]&gt;=2021,17,16))</f>
        <v>16</v>
      </c>
      <c r="AG132">
        <f>IF(Games[[#This Row],[Team]]="","",KMax-(KMax-KFloor)*MIN(Games[[#This Row],[GamesPlayed]],Games[[#This Row],[SeasonLen]])/Games[[#This Row],[SeasonLen]])</f>
        <v>42.9375</v>
      </c>
      <c r="AH132">
        <f>IF(Games[[#This Row],[Team]]="","",((ABS(Games[[#This Row],[MOV]])+3)^0.8)/(7.5+0.006*ABS(Games[[#This Row],[PreGmRate]]-Games[[#This Row],[OppPreGmRate]]))*IF(Games[[#This Row],[OT]]=1,0.7,1))</f>
        <v>1.476758642725112</v>
      </c>
      <c r="AI13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2">
        <f>IF(Games[[#This Row],[Team]]="","",Games[[#This Row],[K]]*IF(Games[[#This Row],[DivG]]=1,DivMult,1)*IF(Games[[#This Row],[ConfG]]=1,ConfMult,1)*Games[[#This Row],[POMult]])</f>
        <v>42.9375</v>
      </c>
      <c r="AK132">
        <f>IF(Games[[#This Row],[Team]]="","",(Games[[#This Row],[Keff]]*Games[[#This Row],[MOVMult]])*(Games[[#This Row],[Result]]-Games[[#This Row],[ExpectedWin]]))</f>
        <v>21.780583527995763</v>
      </c>
      <c r="AL132">
        <f>IF(Games[[#This Row],[Team]]="","",Games[[#This Row],[PreGmRate]]+Games[[#This Row],[RatingChange]])</f>
        <v>1630.0122725109518</v>
      </c>
      <c r="AM132">
        <f>IF(Games[[#This Row],[Team]]="","",IF(Games[[#This Row],[Type]]="R",IF(Games[[#This Row],[Result]]&gt;0.5,1,0),0))</f>
        <v>1</v>
      </c>
      <c r="AN132">
        <f>IF(Games[[#This Row],[Team]]="","",IF(Games[[#This Row],[Type]]="R",IF(Games[[#This Row],[Result]]&lt;0.5,1,0),0))</f>
        <v>0</v>
      </c>
      <c r="AO132">
        <f>IF(Games[[#This Row],[Team]]="","",IF(Games[[#This Row],[Type]]="R",IF(Games[[#This Row],[Result]]=0.5,1,0),0))</f>
        <v>0</v>
      </c>
    </row>
    <row r="133" spans="1:41" x14ac:dyDescent="0.35">
      <c r="A133" s="8">
        <v>35337</v>
      </c>
      <c r="B133">
        <v>1996</v>
      </c>
      <c r="C133" t="s">
        <v>197</v>
      </c>
      <c r="D133" t="s">
        <v>199</v>
      </c>
      <c r="E133" t="s">
        <v>146</v>
      </c>
      <c r="F133" t="s">
        <v>120</v>
      </c>
      <c r="G133" t="s">
        <v>200</v>
      </c>
      <c r="H133">
        <v>10</v>
      </c>
      <c r="I133">
        <v>31</v>
      </c>
      <c r="J133">
        <v>0</v>
      </c>
      <c r="K13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3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3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3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33">
        <f>IF(Games[[#This Row],[Team]]="","",IF(Games[[#This Row],[Conf]]=Games[[#This Row],[OppConf]],1,0))</f>
        <v>0</v>
      </c>
      <c r="P133">
        <f>IF(Games[[#This Row],[Team]]="","",IF(AND(Games[[#This Row],[Conf]]=Games[[#This Row],[OppConf]],Games[[#This Row],[Div]]=Games[[#This Row],[OppDiv]]),1,0))</f>
        <v>0</v>
      </c>
      <c r="Q133">
        <f>IF(Games[[#This Row],[Team]]="","",_xlfn.MINIFS(Games[Date],Games[Season],Games[[#This Row],[Season]]))</f>
        <v>35309</v>
      </c>
      <c r="R133">
        <f>IF(Games[[#This Row],[Team]]="","",INT((Games[[#This Row],[Date]]-(Games[[#This Row],[SeasonStart]]-MOD(WEEKDAY(Games[[#This Row],[SeasonStart]],2)-2,7)))/7)+1)</f>
        <v>5</v>
      </c>
      <c r="S133">
        <f>IF(Games[[#This Row],[Team]]="","",COUNTIFS(Games[Team],Games[[#This Row],[Team]],Games[Season],Games[[#This Row],[Season]],Games[Week],"&lt;="&amp;Games[[#This Row],[Week]]))</f>
        <v>5</v>
      </c>
      <c r="T133">
        <f>IF(Games[[#This Row],[Team]]="","",_xlfn.MAXIFS(Games[Week],Games[Team],Games[[#This Row],[Team]],Games[Season],Games[[#This Row],[Season]],Games[Week],"&lt;"&amp;Games[[#This Row],[Week]]))</f>
        <v>4</v>
      </c>
      <c r="U133">
        <f>IF(Games[[#This Row],[Team]]="","",_xlfn.MAXIFS(Games[Week],Games[Team],Games[[#This Row],[Opponent]],Games[Season],Games[[#This Row],[Season]],Games[Week],"&lt;"&amp;Games[[#This Row],[Week]]))</f>
        <v>4</v>
      </c>
      <c r="V13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3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3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3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1423.7063570787641</v>
      </c>
      <c r="Z13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1608.231688982956</v>
      </c>
      <c r="AA13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0.34349722682681411</v>
      </c>
      <c r="AB133">
        <f>IF(Games[[#This Row],[Team]]="","",Games[[#This Row],[PointsFor]]-Games[[#This Row],[PointsAgainst]])</f>
        <v>-21</v>
      </c>
      <c r="AC133">
        <f>IF(Games[[#This Row],[Team]]="","",IF(Games[[#This Row],[MOV]]&gt;0,1,IF(Games[[#This Row],[MOV]]=0,0.5,0)))</f>
        <v>0</v>
      </c>
      <c r="AD133">
        <f>IF(Games[[#This Row],[Team]]="","",--(OR(AND(Games[[#This Row],[ExpectedWin]]&gt;=0.5,Games[[#This Row],[Result]]=1),AND(Games[[#This Row],[ExpectedWin]]&lt;0.5,Games[[#This Row],[Result]]=0))))</f>
        <v>1</v>
      </c>
      <c r="AE133">
        <f>IF(Games[[#This Row],[Team]]="","",-(Games[[#This Row],[Result]]*LN(Games[[#This Row],[ExpectedWin]])+(1-Games[[#This Row],[Result]])*LN(1-Games[[#This Row],[ExpectedWin]])))</f>
        <v>0.42082836106970711</v>
      </c>
      <c r="AF133">
        <f>IF(Games[[#This Row],[Team]]="","",IF(Games[[#This Row],[Season]]&gt;=2021,17,16))</f>
        <v>16</v>
      </c>
      <c r="AG133">
        <f>IF(Games[[#This Row],[Team]]="","",KMax-(KMax-KFloor)*MIN(Games[[#This Row],[GamesPlayed]],Games[[#This Row],[SeasonLen]])/Games[[#This Row],[SeasonLen]])</f>
        <v>42.9375</v>
      </c>
      <c r="AH133">
        <f>IF(Games[[#This Row],[Team]]="","",((ABS(Games[[#This Row],[MOV]])+3)^0.8)/(7.5+0.006*ABS(Games[[#This Row],[PreGmRate]]-Games[[#This Row],[OppPreGmRate]]))*IF(Games[[#This Row],[OT]]=1,0.7,1))</f>
        <v>1.476758642725112</v>
      </c>
      <c r="AI13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3">
        <f>IF(Games[[#This Row],[Team]]="","",Games[[#This Row],[K]]*IF(Games[[#This Row],[DivG]]=1,DivMult,1)*IF(Games[[#This Row],[ConfG]]=1,ConfMult,1)*Games[[#This Row],[POMult]])</f>
        <v>42.9375</v>
      </c>
      <c r="AK133">
        <f>IF(Games[[#This Row],[Team]]="","",(Games[[#This Row],[Keff]]*Games[[#This Row],[MOVMult]])*(Games[[#This Row],[Result]]-Games[[#This Row],[ExpectedWin]]))</f>
        <v>-21.780583527995766</v>
      </c>
      <c r="AL133">
        <f>IF(Games[[#This Row],[Team]]="","",Games[[#This Row],[PreGmRate]]+Games[[#This Row],[RatingChange]])</f>
        <v>1401.9257735507683</v>
      </c>
      <c r="AM133">
        <f>IF(Games[[#This Row],[Team]]="","",IF(Games[[#This Row],[Type]]="R",IF(Games[[#This Row],[Result]]&gt;0.5,1,0),0))</f>
        <v>0</v>
      </c>
      <c r="AN133">
        <f>IF(Games[[#This Row],[Team]]="","",IF(Games[[#This Row],[Type]]="R",IF(Games[[#This Row],[Result]]&lt;0.5,1,0),0))</f>
        <v>1</v>
      </c>
      <c r="AO133">
        <f>IF(Games[[#This Row],[Team]]="","",IF(Games[[#This Row],[Type]]="R",IF(Games[[#This Row],[Result]]=0.5,1,0),0))</f>
        <v>0</v>
      </c>
    </row>
    <row r="134" spans="1:41" x14ac:dyDescent="0.35">
      <c r="A134" s="8">
        <v>35337</v>
      </c>
      <c r="B134">
        <v>1996</v>
      </c>
      <c r="C134" t="s">
        <v>197</v>
      </c>
      <c r="D134" t="s">
        <v>199</v>
      </c>
      <c r="E134" t="s">
        <v>145</v>
      </c>
      <c r="F134" t="s">
        <v>126</v>
      </c>
      <c r="G134" t="s">
        <v>200</v>
      </c>
      <c r="H134">
        <v>22</v>
      </c>
      <c r="I134">
        <v>19</v>
      </c>
      <c r="J134">
        <v>0</v>
      </c>
      <c r="K13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3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3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3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34">
        <f>IF(Games[[#This Row],[Team]]="","",IF(Games[[#This Row],[Conf]]=Games[[#This Row],[OppConf]],1,0))</f>
        <v>1</v>
      </c>
      <c r="P134">
        <f>IF(Games[[#This Row],[Team]]="","",IF(AND(Games[[#This Row],[Conf]]=Games[[#This Row],[OppConf]],Games[[#This Row],[Div]]=Games[[#This Row],[OppDiv]]),1,0))</f>
        <v>1</v>
      </c>
      <c r="Q134">
        <f>IF(Games[[#This Row],[Team]]="","",_xlfn.MINIFS(Games[Date],Games[Season],Games[[#This Row],[Season]]))</f>
        <v>35309</v>
      </c>
      <c r="R134">
        <f>IF(Games[[#This Row],[Team]]="","",INT((Games[[#This Row],[Date]]-(Games[[#This Row],[SeasonStart]]-MOD(WEEKDAY(Games[[#This Row],[SeasonStart]],2)-2,7)))/7)+1)</f>
        <v>5</v>
      </c>
      <c r="S134">
        <f>IF(Games[[#This Row],[Team]]="","",COUNTIFS(Games[Team],Games[[#This Row],[Team]],Games[Season],Games[[#This Row],[Season]],Games[Week],"&lt;="&amp;Games[[#This Row],[Week]]))</f>
        <v>5</v>
      </c>
      <c r="T134">
        <f>IF(Games[[#This Row],[Team]]="","",_xlfn.MAXIFS(Games[Week],Games[Team],Games[[#This Row],[Team]],Games[Season],Games[[#This Row],[Season]],Games[Week],"&lt;"&amp;Games[[#This Row],[Week]]))</f>
        <v>4</v>
      </c>
      <c r="U134">
        <f>IF(Games[[#This Row],[Team]]="","",_xlfn.MAXIFS(Games[Week],Games[Team],Games[[#This Row],[Opponent]],Games[Season],Games[[#This Row],[Season]],Games[Week],"&lt;"&amp;Games[[#This Row],[Week]]))</f>
        <v>4</v>
      </c>
      <c r="V13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3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3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3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1539.6194620453111</v>
      </c>
      <c r="Z13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1579.7841114249877</v>
      </c>
      <c r="AA13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0.54568696180520848</v>
      </c>
      <c r="AB134">
        <f>IF(Games[[#This Row],[Team]]="","",Games[[#This Row],[PointsFor]]-Games[[#This Row],[PointsAgainst]])</f>
        <v>3</v>
      </c>
      <c r="AC134">
        <f>IF(Games[[#This Row],[Team]]="","",IF(Games[[#This Row],[MOV]]&gt;0,1,IF(Games[[#This Row],[MOV]]=0,0.5,0)))</f>
        <v>1</v>
      </c>
      <c r="AD134">
        <f>IF(Games[[#This Row],[Team]]="","",--(OR(AND(Games[[#This Row],[ExpectedWin]]&gt;=0.5,Games[[#This Row],[Result]]=1),AND(Games[[#This Row],[ExpectedWin]]&lt;0.5,Games[[#This Row],[Result]]=0))))</f>
        <v>1</v>
      </c>
      <c r="AE134">
        <f>IF(Games[[#This Row],[Team]]="","",-(Games[[#This Row],[Result]]*LN(Games[[#This Row],[ExpectedWin]])+(1-Games[[#This Row],[Result]])*LN(1-Games[[#This Row],[ExpectedWin]])))</f>
        <v>0.605709797680829</v>
      </c>
      <c r="AF134">
        <f>IF(Games[[#This Row],[Team]]="","",IF(Games[[#This Row],[Season]]&gt;=2021,17,16))</f>
        <v>16</v>
      </c>
      <c r="AG134">
        <f>IF(Games[[#This Row],[Team]]="","",KMax-(KMax-KFloor)*MIN(Games[[#This Row],[GamesPlayed]],Games[[#This Row],[SeasonLen]])/Games[[#This Row],[SeasonLen]])</f>
        <v>42.9375</v>
      </c>
      <c r="AH134">
        <f>IF(Games[[#This Row],[Team]]="","",((ABS(Games[[#This Row],[MOV]])+3)^0.8)/(7.5+0.006*ABS(Games[[#This Row],[PreGmRate]]-Games[[#This Row],[OppPreGmRate]]))*IF(Games[[#This Row],[OT]]=1,0.7,1))</f>
        <v>0.54165731413241092</v>
      </c>
      <c r="AI13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4">
        <f>IF(Games[[#This Row],[Team]]="","",Games[[#This Row],[K]]*IF(Games[[#This Row],[DivG]]=1,DivMult,1)*IF(Games[[#This Row],[ConfG]]=1,ConfMult,1)*Games[[#This Row],[POMult]])</f>
        <v>48.175875000000005</v>
      </c>
      <c r="AK134">
        <f>IF(Games[[#This Row],[Team]]="","",(Games[[#This Row],[Keff]]*Games[[#This Row],[MOVMult]])*(Games[[#This Row],[Result]]-Games[[#This Row],[ExpectedWin]]))</f>
        <v>11.855214710348685</v>
      </c>
      <c r="AL134">
        <f>IF(Games[[#This Row],[Team]]="","",Games[[#This Row],[PreGmRate]]+Games[[#This Row],[RatingChange]])</f>
        <v>1551.4746767556599</v>
      </c>
      <c r="AM134">
        <f>IF(Games[[#This Row],[Team]]="","",IF(Games[[#This Row],[Type]]="R",IF(Games[[#This Row],[Result]]&gt;0.5,1,0),0))</f>
        <v>1</v>
      </c>
      <c r="AN134">
        <f>IF(Games[[#This Row],[Team]]="","",IF(Games[[#This Row],[Type]]="R",IF(Games[[#This Row],[Result]]&lt;0.5,1,0),0))</f>
        <v>0</v>
      </c>
      <c r="AO134">
        <f>IF(Games[[#This Row],[Team]]="","",IF(Games[[#This Row],[Type]]="R",IF(Games[[#This Row],[Result]]=0.5,1,0),0))</f>
        <v>0</v>
      </c>
    </row>
    <row r="135" spans="1:41" x14ac:dyDescent="0.35">
      <c r="A135" s="8">
        <v>35337</v>
      </c>
      <c r="B135">
        <v>1996</v>
      </c>
      <c r="C135" t="s">
        <v>197</v>
      </c>
      <c r="D135" t="s">
        <v>199</v>
      </c>
      <c r="E135" t="s">
        <v>126</v>
      </c>
      <c r="F135" t="s">
        <v>145</v>
      </c>
      <c r="G135" t="s">
        <v>201</v>
      </c>
      <c r="H135">
        <v>19</v>
      </c>
      <c r="I135">
        <v>22</v>
      </c>
      <c r="J135">
        <v>0</v>
      </c>
      <c r="K13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3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3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3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35">
        <f>IF(Games[[#This Row],[Team]]="","",IF(Games[[#This Row],[Conf]]=Games[[#This Row],[OppConf]],1,0))</f>
        <v>1</v>
      </c>
      <c r="P135">
        <f>IF(Games[[#This Row],[Team]]="","",IF(AND(Games[[#This Row],[Conf]]=Games[[#This Row],[OppConf]],Games[[#This Row],[Div]]=Games[[#This Row],[OppDiv]]),1,0))</f>
        <v>1</v>
      </c>
      <c r="Q135">
        <f>IF(Games[[#This Row],[Team]]="","",_xlfn.MINIFS(Games[Date],Games[Season],Games[[#This Row],[Season]]))</f>
        <v>35309</v>
      </c>
      <c r="R135">
        <f>IF(Games[[#This Row],[Team]]="","",INT((Games[[#This Row],[Date]]-(Games[[#This Row],[SeasonStart]]-MOD(WEEKDAY(Games[[#This Row],[SeasonStart]],2)-2,7)))/7)+1)</f>
        <v>5</v>
      </c>
      <c r="S135">
        <f>IF(Games[[#This Row],[Team]]="","",COUNTIFS(Games[Team],Games[[#This Row],[Team]],Games[Season],Games[[#This Row],[Season]],Games[Week],"&lt;="&amp;Games[[#This Row],[Week]]))</f>
        <v>5</v>
      </c>
      <c r="T135">
        <f>IF(Games[[#This Row],[Team]]="","",_xlfn.MAXIFS(Games[Week],Games[Team],Games[[#This Row],[Team]],Games[Season],Games[[#This Row],[Season]],Games[Week],"&lt;"&amp;Games[[#This Row],[Week]]))</f>
        <v>4</v>
      </c>
      <c r="U135">
        <f>IF(Games[[#This Row],[Team]]="","",_xlfn.MAXIFS(Games[Week],Games[Team],Games[[#This Row],[Opponent]],Games[Season],Games[[#This Row],[Season]],Games[Week],"&lt;"&amp;Games[[#This Row],[Week]]))</f>
        <v>4</v>
      </c>
      <c r="V13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3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3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3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1579.7841114249877</v>
      </c>
      <c r="Z13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1539.6194620453111</v>
      </c>
      <c r="AA13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0.45431303819479146</v>
      </c>
      <c r="AB135">
        <f>IF(Games[[#This Row],[Team]]="","",Games[[#This Row],[PointsFor]]-Games[[#This Row],[PointsAgainst]])</f>
        <v>-3</v>
      </c>
      <c r="AC135">
        <f>IF(Games[[#This Row],[Team]]="","",IF(Games[[#This Row],[MOV]]&gt;0,1,IF(Games[[#This Row],[MOV]]=0,0.5,0)))</f>
        <v>0</v>
      </c>
      <c r="AD135">
        <f>IF(Games[[#This Row],[Team]]="","",--(OR(AND(Games[[#This Row],[ExpectedWin]]&gt;=0.5,Games[[#This Row],[Result]]=1),AND(Games[[#This Row],[ExpectedWin]]&lt;0.5,Games[[#This Row],[Result]]=0))))</f>
        <v>1</v>
      </c>
      <c r="AE135">
        <f>IF(Games[[#This Row],[Team]]="","",-(Games[[#This Row],[Result]]*LN(Games[[#This Row],[ExpectedWin]])+(1-Games[[#This Row],[Result]])*LN(1-Games[[#This Row],[ExpectedWin]])))</f>
        <v>0.605709797680829</v>
      </c>
      <c r="AF135">
        <f>IF(Games[[#This Row],[Team]]="","",IF(Games[[#This Row],[Season]]&gt;=2021,17,16))</f>
        <v>16</v>
      </c>
      <c r="AG135">
        <f>IF(Games[[#This Row],[Team]]="","",KMax-(KMax-KFloor)*MIN(Games[[#This Row],[GamesPlayed]],Games[[#This Row],[SeasonLen]])/Games[[#This Row],[SeasonLen]])</f>
        <v>42.9375</v>
      </c>
      <c r="AH135">
        <f>IF(Games[[#This Row],[Team]]="","",((ABS(Games[[#This Row],[MOV]])+3)^0.8)/(7.5+0.006*ABS(Games[[#This Row],[PreGmRate]]-Games[[#This Row],[OppPreGmRate]]))*IF(Games[[#This Row],[OT]]=1,0.7,1))</f>
        <v>0.54165731413241092</v>
      </c>
      <c r="AI13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5">
        <f>IF(Games[[#This Row],[Team]]="","",Games[[#This Row],[K]]*IF(Games[[#This Row],[DivG]]=1,DivMult,1)*IF(Games[[#This Row],[ConfG]]=1,ConfMult,1)*Games[[#This Row],[POMult]])</f>
        <v>48.175875000000005</v>
      </c>
      <c r="AK135">
        <f>IF(Games[[#This Row],[Team]]="","",(Games[[#This Row],[Keff]]*Games[[#This Row],[MOVMult]])*(Games[[#This Row],[Result]]-Games[[#This Row],[ExpectedWin]]))</f>
        <v>-11.855214710348683</v>
      </c>
      <c r="AL135">
        <f>IF(Games[[#This Row],[Team]]="","",Games[[#This Row],[PreGmRate]]+Games[[#This Row],[RatingChange]])</f>
        <v>1567.928896714639</v>
      </c>
      <c r="AM135">
        <f>IF(Games[[#This Row],[Team]]="","",IF(Games[[#This Row],[Type]]="R",IF(Games[[#This Row],[Result]]&gt;0.5,1,0),0))</f>
        <v>0</v>
      </c>
      <c r="AN135">
        <f>IF(Games[[#This Row],[Team]]="","",IF(Games[[#This Row],[Type]]="R",IF(Games[[#This Row],[Result]]&lt;0.5,1,0),0))</f>
        <v>1</v>
      </c>
      <c r="AO135">
        <f>IF(Games[[#This Row],[Team]]="","",IF(Games[[#This Row],[Type]]="R",IF(Games[[#This Row],[Result]]=0.5,1,0),0))</f>
        <v>0</v>
      </c>
    </row>
    <row r="136" spans="1:41" x14ac:dyDescent="0.35">
      <c r="A136" s="8">
        <v>35337</v>
      </c>
      <c r="B136">
        <v>1996</v>
      </c>
      <c r="C136" t="s">
        <v>197</v>
      </c>
      <c r="D136" t="s">
        <v>199</v>
      </c>
      <c r="E136" t="s">
        <v>154</v>
      </c>
      <c r="F136" t="s">
        <v>138</v>
      </c>
      <c r="G136" t="s">
        <v>200</v>
      </c>
      <c r="H136">
        <v>31</v>
      </c>
      <c r="I136">
        <v>16</v>
      </c>
      <c r="J136">
        <v>0</v>
      </c>
      <c r="K13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3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3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3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36">
        <f>IF(Games[[#This Row],[Team]]="","",IF(Games[[#This Row],[Conf]]=Games[[#This Row],[OppConf]],1,0))</f>
        <v>0</v>
      </c>
      <c r="P136">
        <f>IF(Games[[#This Row],[Team]]="","",IF(AND(Games[[#This Row],[Conf]]=Games[[#This Row],[OppConf]],Games[[#This Row],[Div]]=Games[[#This Row],[OppDiv]]),1,0))</f>
        <v>0</v>
      </c>
      <c r="Q136">
        <f>IF(Games[[#This Row],[Team]]="","",_xlfn.MINIFS(Games[Date],Games[Season],Games[[#This Row],[Season]]))</f>
        <v>35309</v>
      </c>
      <c r="R136">
        <f>IF(Games[[#This Row],[Team]]="","",INT((Games[[#This Row],[Date]]-(Games[[#This Row],[SeasonStart]]-MOD(WEEKDAY(Games[[#This Row],[SeasonStart]],2)-2,7)))/7)+1)</f>
        <v>5</v>
      </c>
      <c r="S136">
        <f>IF(Games[[#This Row],[Team]]="","",COUNTIFS(Games[Team],Games[[#This Row],[Team]],Games[Season],Games[[#This Row],[Season]],Games[Week],"&lt;="&amp;Games[[#This Row],[Week]]))</f>
        <v>5</v>
      </c>
      <c r="T136">
        <f>IF(Games[[#This Row],[Team]]="","",_xlfn.MAXIFS(Games[Week],Games[Team],Games[[#This Row],[Team]],Games[Season],Games[[#This Row],[Season]],Games[Week],"&lt;"&amp;Games[[#This Row],[Week]]))</f>
        <v>4</v>
      </c>
      <c r="U136">
        <f>IF(Games[[#This Row],[Team]]="","",_xlfn.MAXIFS(Games[Week],Games[Team],Games[[#This Row],[Opponent]],Games[Season],Games[[#This Row],[Season]],Games[Week],"&lt;"&amp;Games[[#This Row],[Week]]))</f>
        <v>4</v>
      </c>
      <c r="V13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3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3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3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1561.0786771770659</v>
      </c>
      <c r="Z13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1399.3672396374384</v>
      </c>
      <c r="AA13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0.79336856380476983</v>
      </c>
      <c r="AB136">
        <f>IF(Games[[#This Row],[Team]]="","",Games[[#This Row],[PointsFor]]-Games[[#This Row],[PointsAgainst]])</f>
        <v>15</v>
      </c>
      <c r="AC136">
        <f>IF(Games[[#This Row],[Team]]="","",IF(Games[[#This Row],[MOV]]&gt;0,1,IF(Games[[#This Row],[MOV]]=0,0.5,0)))</f>
        <v>1</v>
      </c>
      <c r="AD136">
        <f>IF(Games[[#This Row],[Team]]="","",--(OR(AND(Games[[#This Row],[ExpectedWin]]&gt;=0.5,Games[[#This Row],[Result]]=1),AND(Games[[#This Row],[ExpectedWin]]&lt;0.5,Games[[#This Row],[Result]]=0))))</f>
        <v>1</v>
      </c>
      <c r="AE136">
        <f>IF(Games[[#This Row],[Team]]="","",-(Games[[#This Row],[Result]]*LN(Games[[#This Row],[ExpectedWin]])+(1-Games[[#This Row],[Result]])*LN(1-Games[[#This Row],[ExpectedWin]])))</f>
        <v>0.23146739381346648</v>
      </c>
      <c r="AF136">
        <f>IF(Games[[#This Row],[Team]]="","",IF(Games[[#This Row],[Season]]&gt;=2021,17,16))</f>
        <v>16</v>
      </c>
      <c r="AG136">
        <f>IF(Games[[#This Row],[Team]]="","",KMax-(KMax-KFloor)*MIN(Games[[#This Row],[GamesPlayed]],Games[[#This Row],[SeasonLen]])/Games[[#This Row],[SeasonLen]])</f>
        <v>42.9375</v>
      </c>
      <c r="AH136">
        <f>IF(Games[[#This Row],[Team]]="","",((ABS(Games[[#This Row],[MOV]])+3)^0.8)/(7.5+0.006*ABS(Games[[#This Row],[PreGmRate]]-Games[[#This Row],[OppPreGmRate]]))*IF(Games[[#This Row],[OT]]=1,0.7,1))</f>
        <v>1.1921223228894173</v>
      </c>
      <c r="AI13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6">
        <f>IF(Games[[#This Row],[Team]]="","",Games[[#This Row],[K]]*IF(Games[[#This Row],[DivG]]=1,DivMult,1)*IF(Games[[#This Row],[ConfG]]=1,ConfMult,1)*Games[[#This Row],[POMult]])</f>
        <v>42.9375</v>
      </c>
      <c r="AK136">
        <f>IF(Games[[#This Row],[Team]]="","",(Games[[#This Row],[Keff]]*Games[[#This Row],[MOVMult]])*(Games[[#This Row],[Result]]-Games[[#This Row],[ExpectedWin]]))</f>
        <v>10.576792129327281</v>
      </c>
      <c r="AL136">
        <f>IF(Games[[#This Row],[Team]]="","",Games[[#This Row],[PreGmRate]]+Games[[#This Row],[RatingChange]])</f>
        <v>1571.6554693063931</v>
      </c>
      <c r="AM136">
        <f>IF(Games[[#This Row],[Team]]="","",IF(Games[[#This Row],[Type]]="R",IF(Games[[#This Row],[Result]]&gt;0.5,1,0),0))</f>
        <v>1</v>
      </c>
      <c r="AN136">
        <f>IF(Games[[#This Row],[Team]]="","",IF(Games[[#This Row],[Type]]="R",IF(Games[[#This Row],[Result]]&lt;0.5,1,0),0))</f>
        <v>0</v>
      </c>
      <c r="AO136">
        <f>IF(Games[[#This Row],[Team]]="","",IF(Games[[#This Row],[Type]]="R",IF(Games[[#This Row],[Result]]=0.5,1,0),0))</f>
        <v>0</v>
      </c>
    </row>
    <row r="137" spans="1:41" x14ac:dyDescent="0.35">
      <c r="A137" s="8">
        <v>35337</v>
      </c>
      <c r="B137">
        <v>1996</v>
      </c>
      <c r="C137" t="s">
        <v>197</v>
      </c>
      <c r="D137" t="s">
        <v>199</v>
      </c>
      <c r="E137" t="s">
        <v>138</v>
      </c>
      <c r="F137" t="s">
        <v>154</v>
      </c>
      <c r="G137" t="s">
        <v>201</v>
      </c>
      <c r="H137">
        <v>16</v>
      </c>
      <c r="I137">
        <v>31</v>
      </c>
      <c r="J137">
        <v>0</v>
      </c>
      <c r="K13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3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3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3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37">
        <f>IF(Games[[#This Row],[Team]]="","",IF(Games[[#This Row],[Conf]]=Games[[#This Row],[OppConf]],1,0))</f>
        <v>0</v>
      </c>
      <c r="P137">
        <f>IF(Games[[#This Row],[Team]]="","",IF(AND(Games[[#This Row],[Conf]]=Games[[#This Row],[OppConf]],Games[[#This Row],[Div]]=Games[[#This Row],[OppDiv]]),1,0))</f>
        <v>0</v>
      </c>
      <c r="Q137">
        <f>IF(Games[[#This Row],[Team]]="","",_xlfn.MINIFS(Games[Date],Games[Season],Games[[#This Row],[Season]]))</f>
        <v>35309</v>
      </c>
      <c r="R137">
        <f>IF(Games[[#This Row],[Team]]="","",INT((Games[[#This Row],[Date]]-(Games[[#This Row],[SeasonStart]]-MOD(WEEKDAY(Games[[#This Row],[SeasonStart]],2)-2,7)))/7)+1)</f>
        <v>5</v>
      </c>
      <c r="S137">
        <f>IF(Games[[#This Row],[Team]]="","",COUNTIFS(Games[Team],Games[[#This Row],[Team]],Games[Season],Games[[#This Row],[Season]],Games[Week],"&lt;="&amp;Games[[#This Row],[Week]]))</f>
        <v>5</v>
      </c>
      <c r="T137">
        <f>IF(Games[[#This Row],[Team]]="","",_xlfn.MAXIFS(Games[Week],Games[Team],Games[[#This Row],[Team]],Games[Season],Games[[#This Row],[Season]],Games[Week],"&lt;"&amp;Games[[#This Row],[Week]]))</f>
        <v>4</v>
      </c>
      <c r="U137">
        <f>IF(Games[[#This Row],[Team]]="","",_xlfn.MAXIFS(Games[Week],Games[Team],Games[[#This Row],[Opponent]],Games[Season],Games[[#This Row],[Season]],Games[Week],"&lt;"&amp;Games[[#This Row],[Week]]))</f>
        <v>4</v>
      </c>
      <c r="V13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3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3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3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1399.3672396374384</v>
      </c>
      <c r="Z13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1561.0786771770659</v>
      </c>
      <c r="AA13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0.20663143619523028</v>
      </c>
      <c r="AB137">
        <f>IF(Games[[#This Row],[Team]]="","",Games[[#This Row],[PointsFor]]-Games[[#This Row],[PointsAgainst]])</f>
        <v>-15</v>
      </c>
      <c r="AC137">
        <f>IF(Games[[#This Row],[Team]]="","",IF(Games[[#This Row],[MOV]]&gt;0,1,IF(Games[[#This Row],[MOV]]=0,0.5,0)))</f>
        <v>0</v>
      </c>
      <c r="AD137">
        <f>IF(Games[[#This Row],[Team]]="","",--(OR(AND(Games[[#This Row],[ExpectedWin]]&gt;=0.5,Games[[#This Row],[Result]]=1),AND(Games[[#This Row],[ExpectedWin]]&lt;0.5,Games[[#This Row],[Result]]=0))))</f>
        <v>1</v>
      </c>
      <c r="AE137">
        <f>IF(Games[[#This Row],[Team]]="","",-(Games[[#This Row],[Result]]*LN(Games[[#This Row],[ExpectedWin]])+(1-Games[[#This Row],[Result]])*LN(1-Games[[#This Row],[ExpectedWin]])))</f>
        <v>0.23146739381346662</v>
      </c>
      <c r="AF137">
        <f>IF(Games[[#This Row],[Team]]="","",IF(Games[[#This Row],[Season]]&gt;=2021,17,16))</f>
        <v>16</v>
      </c>
      <c r="AG137">
        <f>IF(Games[[#This Row],[Team]]="","",KMax-(KMax-KFloor)*MIN(Games[[#This Row],[GamesPlayed]],Games[[#This Row],[SeasonLen]])/Games[[#This Row],[SeasonLen]])</f>
        <v>42.9375</v>
      </c>
      <c r="AH137">
        <f>IF(Games[[#This Row],[Team]]="","",((ABS(Games[[#This Row],[MOV]])+3)^0.8)/(7.5+0.006*ABS(Games[[#This Row],[PreGmRate]]-Games[[#This Row],[OppPreGmRate]]))*IF(Games[[#This Row],[OT]]=1,0.7,1))</f>
        <v>1.1921223228894173</v>
      </c>
      <c r="AI13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7">
        <f>IF(Games[[#This Row],[Team]]="","",Games[[#This Row],[K]]*IF(Games[[#This Row],[DivG]]=1,DivMult,1)*IF(Games[[#This Row],[ConfG]]=1,ConfMult,1)*Games[[#This Row],[POMult]])</f>
        <v>42.9375</v>
      </c>
      <c r="AK137">
        <f>IF(Games[[#This Row],[Team]]="","",(Games[[#This Row],[Keff]]*Games[[#This Row],[MOVMult]])*(Games[[#This Row],[Result]]-Games[[#This Row],[ExpectedWin]]))</f>
        <v>-10.576792129327286</v>
      </c>
      <c r="AL137">
        <f>IF(Games[[#This Row],[Team]]="","",Games[[#This Row],[PreGmRate]]+Games[[#This Row],[RatingChange]])</f>
        <v>1388.7904475081111</v>
      </c>
      <c r="AM137">
        <f>IF(Games[[#This Row],[Team]]="","",IF(Games[[#This Row],[Type]]="R",IF(Games[[#This Row],[Result]]&gt;0.5,1,0),0))</f>
        <v>0</v>
      </c>
      <c r="AN137">
        <f>IF(Games[[#This Row],[Team]]="","",IF(Games[[#This Row],[Type]]="R",IF(Games[[#This Row],[Result]]&lt;0.5,1,0),0))</f>
        <v>1</v>
      </c>
      <c r="AO137">
        <f>IF(Games[[#This Row],[Team]]="","",IF(Games[[#This Row],[Type]]="R",IF(Games[[#This Row],[Result]]=0.5,1,0),0))</f>
        <v>0</v>
      </c>
    </row>
    <row r="138" spans="1:41" x14ac:dyDescent="0.35">
      <c r="A138" s="8">
        <v>35338</v>
      </c>
      <c r="B138">
        <v>1996</v>
      </c>
      <c r="C138" t="s">
        <v>197</v>
      </c>
      <c r="D138" t="s">
        <v>199</v>
      </c>
      <c r="E138" t="s">
        <v>114</v>
      </c>
      <c r="F138" t="s">
        <v>141</v>
      </c>
      <c r="G138" t="s">
        <v>201</v>
      </c>
      <c r="H138">
        <v>23</v>
      </c>
      <c r="I138">
        <v>19</v>
      </c>
      <c r="J138">
        <v>0</v>
      </c>
      <c r="K13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3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3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3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38">
        <f>IF(Games[[#This Row],[Team]]="","",IF(Games[[#This Row],[Conf]]=Games[[#This Row],[OppConf]],1,0))</f>
        <v>1</v>
      </c>
      <c r="P138">
        <f>IF(Games[[#This Row],[Team]]="","",IF(AND(Games[[#This Row],[Conf]]=Games[[#This Row],[OppConf]],Games[[#This Row],[Div]]=Games[[#This Row],[OppDiv]]),1,0))</f>
        <v>1</v>
      </c>
      <c r="Q138">
        <f>IF(Games[[#This Row],[Team]]="","",_xlfn.MINIFS(Games[Date],Games[Season],Games[[#This Row],[Season]]))</f>
        <v>35309</v>
      </c>
      <c r="R138">
        <f>IF(Games[[#This Row],[Team]]="","",INT((Games[[#This Row],[Date]]-(Games[[#This Row],[SeasonStart]]-MOD(WEEKDAY(Games[[#This Row],[SeasonStart]],2)-2,7)))/7)+1)</f>
        <v>5</v>
      </c>
      <c r="S138">
        <f>IF(Games[[#This Row],[Team]]="","",COUNTIFS(Games[Team],Games[[#This Row],[Team]],Games[Season],Games[[#This Row],[Season]],Games[Week],"&lt;="&amp;Games[[#This Row],[Week]]))</f>
        <v>5</v>
      </c>
      <c r="T138">
        <f>IF(Games[[#This Row],[Team]]="","",_xlfn.MAXIFS(Games[Week],Games[Team],Games[[#This Row],[Team]],Games[Season],Games[[#This Row],[Season]],Games[Week],"&lt;"&amp;Games[[#This Row],[Week]]))</f>
        <v>4</v>
      </c>
      <c r="U138">
        <f>IF(Games[[#This Row],[Team]]="","",_xlfn.MAXIFS(Games[Week],Games[Team],Games[[#This Row],[Opponent]],Games[Season],Games[[#This Row],[Season]],Games[Week],"&lt;"&amp;Games[[#This Row],[Week]]))</f>
        <v>4</v>
      </c>
      <c r="V13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13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13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3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1497.1734070033708</v>
      </c>
      <c r="Z13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1536.3617664298513</v>
      </c>
      <c r="AA13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0.34523486453867613</v>
      </c>
      <c r="AB138">
        <f>IF(Games[[#This Row],[Team]]="","",Games[[#This Row],[PointsFor]]-Games[[#This Row],[PointsAgainst]])</f>
        <v>4</v>
      </c>
      <c r="AC138">
        <f>IF(Games[[#This Row],[Team]]="","",IF(Games[[#This Row],[MOV]]&gt;0,1,IF(Games[[#This Row],[MOV]]=0,0.5,0)))</f>
        <v>1</v>
      </c>
      <c r="AD138">
        <f>IF(Games[[#This Row],[Team]]="","",--(OR(AND(Games[[#This Row],[ExpectedWin]]&gt;=0.5,Games[[#This Row],[Result]]=1),AND(Games[[#This Row],[ExpectedWin]]&lt;0.5,Games[[#This Row],[Result]]=0))))</f>
        <v>0</v>
      </c>
      <c r="AE138">
        <f>IF(Games[[#This Row],[Team]]="","",-(Games[[#This Row],[Result]]*LN(Games[[#This Row],[ExpectedWin]])+(1-Games[[#This Row],[Result]])*LN(1-Games[[#This Row],[ExpectedWin]])))</f>
        <v>1.0635303267885974</v>
      </c>
      <c r="AF138">
        <f>IF(Games[[#This Row],[Team]]="","",IF(Games[[#This Row],[Season]]&gt;=2021,17,16))</f>
        <v>16</v>
      </c>
      <c r="AG138">
        <f>IF(Games[[#This Row],[Team]]="","",KMax-(KMax-KFloor)*MIN(Games[[#This Row],[GamesPlayed]],Games[[#This Row],[SeasonLen]])/Games[[#This Row],[SeasonLen]])</f>
        <v>42.9375</v>
      </c>
      <c r="AH138">
        <f>IF(Games[[#This Row],[Team]]="","",((ABS(Games[[#This Row],[MOV]])+3)^0.8)/(7.5+0.006*ABS(Games[[#This Row],[PreGmRate]]-Games[[#This Row],[OppPreGmRate]]))*IF(Games[[#This Row],[OT]]=1,0.7,1))</f>
        <v>0.61321222756431315</v>
      </c>
      <c r="AI13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8">
        <f>IF(Games[[#This Row],[Team]]="","",Games[[#This Row],[K]]*IF(Games[[#This Row],[DivG]]=1,DivMult,1)*IF(Games[[#This Row],[ConfG]]=1,ConfMult,1)*Games[[#This Row],[POMult]])</f>
        <v>48.175875000000005</v>
      </c>
      <c r="AK138">
        <f>IF(Games[[#This Row],[Team]]="","",(Games[[#This Row],[Keff]]*Games[[#This Row],[MOVMult]])*(Games[[#This Row],[Result]]-Games[[#This Row],[ExpectedWin]]))</f>
        <v>19.343094956896199</v>
      </c>
      <c r="AL138">
        <f>IF(Games[[#This Row],[Team]]="","",Games[[#This Row],[PreGmRate]]+Games[[#This Row],[RatingChange]])</f>
        <v>1516.5165019602671</v>
      </c>
      <c r="AM138">
        <f>IF(Games[[#This Row],[Team]]="","",IF(Games[[#This Row],[Type]]="R",IF(Games[[#This Row],[Result]]&gt;0.5,1,0),0))</f>
        <v>1</v>
      </c>
      <c r="AN138">
        <f>IF(Games[[#This Row],[Team]]="","",IF(Games[[#This Row],[Type]]="R",IF(Games[[#This Row],[Result]]&lt;0.5,1,0),0))</f>
        <v>0</v>
      </c>
      <c r="AO138">
        <f>IF(Games[[#This Row],[Team]]="","",IF(Games[[#This Row],[Type]]="R",IF(Games[[#This Row],[Result]]=0.5,1,0),0))</f>
        <v>0</v>
      </c>
    </row>
    <row r="139" spans="1:41" x14ac:dyDescent="0.35">
      <c r="A139" s="8">
        <v>35338</v>
      </c>
      <c r="B139">
        <v>1996</v>
      </c>
      <c r="C139" t="s">
        <v>197</v>
      </c>
      <c r="D139" t="s">
        <v>199</v>
      </c>
      <c r="E139" t="s">
        <v>141</v>
      </c>
      <c r="F139" t="s">
        <v>114</v>
      </c>
      <c r="G139" t="s">
        <v>200</v>
      </c>
      <c r="H139">
        <v>19</v>
      </c>
      <c r="I139">
        <v>23</v>
      </c>
      <c r="J139">
        <v>0</v>
      </c>
      <c r="K13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3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3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3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39">
        <f>IF(Games[[#This Row],[Team]]="","",IF(Games[[#This Row],[Conf]]=Games[[#This Row],[OppConf]],1,0))</f>
        <v>1</v>
      </c>
      <c r="P139">
        <f>IF(Games[[#This Row],[Team]]="","",IF(AND(Games[[#This Row],[Conf]]=Games[[#This Row],[OppConf]],Games[[#This Row],[Div]]=Games[[#This Row],[OppDiv]]),1,0))</f>
        <v>1</v>
      </c>
      <c r="Q139">
        <f>IF(Games[[#This Row],[Team]]="","",_xlfn.MINIFS(Games[Date],Games[Season],Games[[#This Row],[Season]]))</f>
        <v>35309</v>
      </c>
      <c r="R139">
        <f>IF(Games[[#This Row],[Team]]="","",INT((Games[[#This Row],[Date]]-(Games[[#This Row],[SeasonStart]]-MOD(WEEKDAY(Games[[#This Row],[SeasonStart]],2)-2,7)))/7)+1)</f>
        <v>5</v>
      </c>
      <c r="S139">
        <f>IF(Games[[#This Row],[Team]]="","",COUNTIFS(Games[Team],Games[[#This Row],[Team]],Games[Season],Games[[#This Row],[Season]],Games[Week],"&lt;="&amp;Games[[#This Row],[Week]]))</f>
        <v>5</v>
      </c>
      <c r="T139">
        <f>IF(Games[[#This Row],[Team]]="","",_xlfn.MAXIFS(Games[Week],Games[Team],Games[[#This Row],[Team]],Games[Season],Games[[#This Row],[Season]],Games[Week],"&lt;"&amp;Games[[#This Row],[Week]]))</f>
        <v>4</v>
      </c>
      <c r="U139">
        <f>IF(Games[[#This Row],[Team]]="","",_xlfn.MAXIFS(Games[Week],Games[Team],Games[[#This Row],[Opponent]],Games[Season],Games[[#This Row],[Season]],Games[Week],"&lt;"&amp;Games[[#This Row],[Week]]))</f>
        <v>4</v>
      </c>
      <c r="V13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13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13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3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1536.3617664298513</v>
      </c>
      <c r="Z13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1497.1734070033708</v>
      </c>
      <c r="AA13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0.65476513546132387</v>
      </c>
      <c r="AB139">
        <f>IF(Games[[#This Row],[Team]]="","",Games[[#This Row],[PointsFor]]-Games[[#This Row],[PointsAgainst]])</f>
        <v>-4</v>
      </c>
      <c r="AC139">
        <f>IF(Games[[#This Row],[Team]]="","",IF(Games[[#This Row],[MOV]]&gt;0,1,IF(Games[[#This Row],[MOV]]=0,0.5,0)))</f>
        <v>0</v>
      </c>
      <c r="AD139">
        <f>IF(Games[[#This Row],[Team]]="","",--(OR(AND(Games[[#This Row],[ExpectedWin]]&gt;=0.5,Games[[#This Row],[Result]]=1),AND(Games[[#This Row],[ExpectedWin]]&lt;0.5,Games[[#This Row],[Result]]=0))))</f>
        <v>0</v>
      </c>
      <c r="AE139">
        <f>IF(Games[[#This Row],[Team]]="","",-(Games[[#This Row],[Result]]*LN(Games[[#This Row],[ExpectedWin]])+(1-Games[[#This Row],[Result]])*LN(1-Games[[#This Row],[ExpectedWin]])))</f>
        <v>1.0635303267885974</v>
      </c>
      <c r="AF139">
        <f>IF(Games[[#This Row],[Team]]="","",IF(Games[[#This Row],[Season]]&gt;=2021,17,16))</f>
        <v>16</v>
      </c>
      <c r="AG139">
        <f>IF(Games[[#This Row],[Team]]="","",KMax-(KMax-KFloor)*MIN(Games[[#This Row],[GamesPlayed]],Games[[#This Row],[SeasonLen]])/Games[[#This Row],[SeasonLen]])</f>
        <v>42.9375</v>
      </c>
      <c r="AH139">
        <f>IF(Games[[#This Row],[Team]]="","",((ABS(Games[[#This Row],[MOV]])+3)^0.8)/(7.5+0.006*ABS(Games[[#This Row],[PreGmRate]]-Games[[#This Row],[OppPreGmRate]]))*IF(Games[[#This Row],[OT]]=1,0.7,1))</f>
        <v>0.61321222756431315</v>
      </c>
      <c r="AI13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9">
        <f>IF(Games[[#This Row],[Team]]="","",Games[[#This Row],[K]]*IF(Games[[#This Row],[DivG]]=1,DivMult,1)*IF(Games[[#This Row],[ConfG]]=1,ConfMult,1)*Games[[#This Row],[POMult]])</f>
        <v>48.175875000000005</v>
      </c>
      <c r="AK139">
        <f>IF(Games[[#This Row],[Team]]="","",(Games[[#This Row],[Keff]]*Games[[#This Row],[MOVMult]])*(Games[[#This Row],[Result]]-Games[[#This Row],[ExpectedWin]]))</f>
        <v>-19.343094956896199</v>
      </c>
      <c r="AL139">
        <f>IF(Games[[#This Row],[Team]]="","",Games[[#This Row],[PreGmRate]]+Games[[#This Row],[RatingChange]])</f>
        <v>1517.018671472955</v>
      </c>
      <c r="AM139">
        <f>IF(Games[[#This Row],[Team]]="","",IF(Games[[#This Row],[Type]]="R",IF(Games[[#This Row],[Result]]&gt;0.5,1,0),0))</f>
        <v>0</v>
      </c>
      <c r="AN139">
        <f>IF(Games[[#This Row],[Team]]="","",IF(Games[[#This Row],[Type]]="R",IF(Games[[#This Row],[Result]]&lt;0.5,1,0),0))</f>
        <v>1</v>
      </c>
      <c r="AO139">
        <f>IF(Games[[#This Row],[Team]]="","",IF(Games[[#This Row],[Type]]="R",IF(Games[[#This Row],[Result]]=0.5,1,0),0))</f>
        <v>0</v>
      </c>
    </row>
    <row r="140" spans="1:41" x14ac:dyDescent="0.35">
      <c r="A140" s="8">
        <v>35344</v>
      </c>
      <c r="B140">
        <v>1996</v>
      </c>
      <c r="C140" t="s">
        <v>197</v>
      </c>
      <c r="D140" t="s">
        <v>199</v>
      </c>
      <c r="E140" t="s">
        <v>118</v>
      </c>
      <c r="F140" t="s">
        <v>98</v>
      </c>
      <c r="G140" t="s">
        <v>200</v>
      </c>
      <c r="H140">
        <v>28</v>
      </c>
      <c r="I140">
        <v>24</v>
      </c>
      <c r="J140">
        <v>0</v>
      </c>
      <c r="K14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4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4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4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40">
        <f>IF(Games[[#This Row],[Team]]="","",IF(Games[[#This Row],[Conf]]=Games[[#This Row],[OppConf]],1,0))</f>
        <v>1</v>
      </c>
      <c r="P140">
        <f>IF(Games[[#This Row],[Team]]="","",IF(AND(Games[[#This Row],[Conf]]=Games[[#This Row],[OppConf]],Games[[#This Row],[Div]]=Games[[#This Row],[OppDiv]]),1,0))</f>
        <v>0</v>
      </c>
      <c r="Q140">
        <f>IF(Games[[#This Row],[Team]]="","",_xlfn.MINIFS(Games[Date],Games[Season],Games[[#This Row],[Season]]))</f>
        <v>35309</v>
      </c>
      <c r="R140">
        <f>IF(Games[[#This Row],[Team]]="","",INT((Games[[#This Row],[Date]]-(Games[[#This Row],[SeasonStart]]-MOD(WEEKDAY(Games[[#This Row],[SeasonStart]],2)-2,7)))/7)+1)</f>
        <v>6</v>
      </c>
      <c r="S140">
        <f>IF(Games[[#This Row],[Team]]="","",COUNTIFS(Games[Team],Games[[#This Row],[Team]],Games[Season],Games[[#This Row],[Season]],Games[Week],"&lt;="&amp;Games[[#This Row],[Week]]))</f>
        <v>6</v>
      </c>
      <c r="T140">
        <f>IF(Games[[#This Row],[Team]]="","",_xlfn.MAXIFS(Games[Week],Games[Team],Games[[#This Row],[Team]],Games[Season],Games[[#This Row],[Season]],Games[Week],"&lt;"&amp;Games[[#This Row],[Week]]))</f>
        <v>5</v>
      </c>
      <c r="U140">
        <f>IF(Games[[#This Row],[Team]]="","",_xlfn.MAXIFS(Games[Week],Games[Team],Games[[#This Row],[Opponent]],Games[Season],Games[[#This Row],[Season]],Games[Week],"&lt;"&amp;Games[[#This Row],[Week]]))</f>
        <v>5</v>
      </c>
      <c r="V14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4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4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4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1558.4861781881791</v>
      </c>
      <c r="Z14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1395.0106357171103</v>
      </c>
      <c r="AA14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0.79502836420062606</v>
      </c>
      <c r="AB140">
        <f>IF(Games[[#This Row],[Team]]="","",Games[[#This Row],[PointsFor]]-Games[[#This Row],[PointsAgainst]])</f>
        <v>4</v>
      </c>
      <c r="AC140">
        <f>IF(Games[[#This Row],[Team]]="","",IF(Games[[#This Row],[MOV]]&gt;0,1,IF(Games[[#This Row],[MOV]]=0,0.5,0)))</f>
        <v>1</v>
      </c>
      <c r="AD140">
        <f>IF(Games[[#This Row],[Team]]="","",--(OR(AND(Games[[#This Row],[ExpectedWin]]&gt;=0.5,Games[[#This Row],[Result]]=1),AND(Games[[#This Row],[ExpectedWin]]&lt;0.5,Games[[#This Row],[Result]]=0))))</f>
        <v>1</v>
      </c>
      <c r="AE140">
        <f>IF(Games[[#This Row],[Team]]="","",-(Games[[#This Row],[Result]]*LN(Games[[#This Row],[ExpectedWin]])+(1-Games[[#This Row],[Result]])*LN(1-Games[[#This Row],[ExpectedWin]])))</f>
        <v>0.22937748672447719</v>
      </c>
      <c r="AF140">
        <f>IF(Games[[#This Row],[Team]]="","",IF(Games[[#This Row],[Season]]&gt;=2021,17,16))</f>
        <v>16</v>
      </c>
      <c r="AG140">
        <f>IF(Games[[#This Row],[Team]]="","",KMax-(KMax-KFloor)*MIN(Games[[#This Row],[GamesPlayed]],Games[[#This Row],[SeasonLen]])/Games[[#This Row],[SeasonLen]])</f>
        <v>42.325000000000003</v>
      </c>
      <c r="AH140">
        <f>IF(Games[[#This Row],[Team]]="","",((ABS(Games[[#This Row],[MOV]])+3)^0.8)/(7.5+0.006*ABS(Games[[#This Row],[PreGmRate]]-Games[[#This Row],[OppPreGmRate]]))*IF(Games[[#This Row],[OT]]=1,0.7,1))</f>
        <v>0.5592923555308531</v>
      </c>
      <c r="AI14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0">
        <f>IF(Games[[#This Row],[Team]]="","",Games[[#This Row],[K]]*IF(Games[[#This Row],[DivG]]=1,DivMult,1)*IF(Games[[#This Row],[ConfG]]=1,ConfMult,1)*Games[[#This Row],[POMult]])</f>
        <v>43.171500000000002</v>
      </c>
      <c r="AK140">
        <f>IF(Games[[#This Row],[Team]]="","",(Games[[#This Row],[Keff]]*Games[[#This Row],[MOVMult]])*(Games[[#This Row],[Result]]-Games[[#This Row],[ExpectedWin]]))</f>
        <v>4.949140567473548</v>
      </c>
      <c r="AL140">
        <f>IF(Games[[#This Row],[Team]]="","",Games[[#This Row],[PreGmRate]]+Games[[#This Row],[RatingChange]])</f>
        <v>1563.4353187556526</v>
      </c>
      <c r="AM140">
        <f>IF(Games[[#This Row],[Team]]="","",IF(Games[[#This Row],[Type]]="R",IF(Games[[#This Row],[Result]]&gt;0.5,1,0),0))</f>
        <v>1</v>
      </c>
      <c r="AN140">
        <f>IF(Games[[#This Row],[Team]]="","",IF(Games[[#This Row],[Type]]="R",IF(Games[[#This Row],[Result]]&lt;0.5,1,0),0))</f>
        <v>0</v>
      </c>
      <c r="AO140">
        <f>IF(Games[[#This Row],[Team]]="","",IF(Games[[#This Row],[Type]]="R",IF(Games[[#This Row],[Result]]=0.5,1,0),0))</f>
        <v>0</v>
      </c>
    </row>
    <row r="141" spans="1:41" x14ac:dyDescent="0.35">
      <c r="A141" s="8">
        <v>35344</v>
      </c>
      <c r="B141">
        <v>1996</v>
      </c>
      <c r="C141" t="s">
        <v>197</v>
      </c>
      <c r="D141" t="s">
        <v>199</v>
      </c>
      <c r="E141" t="s">
        <v>98</v>
      </c>
      <c r="F141" t="s">
        <v>118</v>
      </c>
      <c r="G141" t="s">
        <v>201</v>
      </c>
      <c r="H141">
        <v>24</v>
      </c>
      <c r="I141">
        <v>28</v>
      </c>
      <c r="J141">
        <v>0</v>
      </c>
      <c r="K14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4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4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4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41">
        <f>IF(Games[[#This Row],[Team]]="","",IF(Games[[#This Row],[Conf]]=Games[[#This Row],[OppConf]],1,0))</f>
        <v>1</v>
      </c>
      <c r="P141">
        <f>IF(Games[[#This Row],[Team]]="","",IF(AND(Games[[#This Row],[Conf]]=Games[[#This Row],[OppConf]],Games[[#This Row],[Div]]=Games[[#This Row],[OppDiv]]),1,0))</f>
        <v>0</v>
      </c>
      <c r="Q141">
        <f>IF(Games[[#This Row],[Team]]="","",_xlfn.MINIFS(Games[Date],Games[Season],Games[[#This Row],[Season]]))</f>
        <v>35309</v>
      </c>
      <c r="R141">
        <f>IF(Games[[#This Row],[Team]]="","",INT((Games[[#This Row],[Date]]-(Games[[#This Row],[SeasonStart]]-MOD(WEEKDAY(Games[[#This Row],[SeasonStart]],2)-2,7)))/7)+1)</f>
        <v>6</v>
      </c>
      <c r="S141">
        <f>IF(Games[[#This Row],[Team]]="","",COUNTIFS(Games[Team],Games[[#This Row],[Team]],Games[Season],Games[[#This Row],[Season]],Games[Week],"&lt;="&amp;Games[[#This Row],[Week]]))</f>
        <v>5</v>
      </c>
      <c r="T141">
        <f>IF(Games[[#This Row],[Team]]="","",_xlfn.MAXIFS(Games[Week],Games[Team],Games[[#This Row],[Team]],Games[Season],Games[[#This Row],[Season]],Games[Week],"&lt;"&amp;Games[[#This Row],[Week]]))</f>
        <v>5</v>
      </c>
      <c r="U141">
        <f>IF(Games[[#This Row],[Team]]="","",_xlfn.MAXIFS(Games[Week],Games[Team],Games[[#This Row],[Opponent]],Games[Season],Games[[#This Row],[Season]],Games[Week],"&lt;"&amp;Games[[#This Row],[Week]]))</f>
        <v>5</v>
      </c>
      <c r="V14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4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4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4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1395.0106357171103</v>
      </c>
      <c r="Z14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1558.4861781881791</v>
      </c>
      <c r="AA14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0.20497163579937391</v>
      </c>
      <c r="AB141">
        <f>IF(Games[[#This Row],[Team]]="","",Games[[#This Row],[PointsFor]]-Games[[#This Row],[PointsAgainst]])</f>
        <v>-4</v>
      </c>
      <c r="AC141">
        <f>IF(Games[[#This Row],[Team]]="","",IF(Games[[#This Row],[MOV]]&gt;0,1,IF(Games[[#This Row],[MOV]]=0,0.5,0)))</f>
        <v>0</v>
      </c>
      <c r="AD141">
        <f>IF(Games[[#This Row],[Team]]="","",--(OR(AND(Games[[#This Row],[ExpectedWin]]&gt;=0.5,Games[[#This Row],[Result]]=1),AND(Games[[#This Row],[ExpectedWin]]&lt;0.5,Games[[#This Row],[Result]]=0))))</f>
        <v>1</v>
      </c>
      <c r="AE141">
        <f>IF(Games[[#This Row],[Team]]="","",-(Games[[#This Row],[Result]]*LN(Games[[#This Row],[ExpectedWin]])+(1-Games[[#This Row],[Result]])*LN(1-Games[[#This Row],[ExpectedWin]])))</f>
        <v>0.22937748672447719</v>
      </c>
      <c r="AF141">
        <f>IF(Games[[#This Row],[Team]]="","",IF(Games[[#This Row],[Season]]&gt;=2021,17,16))</f>
        <v>16</v>
      </c>
      <c r="AG141">
        <f>IF(Games[[#This Row],[Team]]="","",KMax-(KMax-KFloor)*MIN(Games[[#This Row],[GamesPlayed]],Games[[#This Row],[SeasonLen]])/Games[[#This Row],[SeasonLen]])</f>
        <v>42.9375</v>
      </c>
      <c r="AH141">
        <f>IF(Games[[#This Row],[Team]]="","",((ABS(Games[[#This Row],[MOV]])+3)^0.8)/(7.5+0.006*ABS(Games[[#This Row],[PreGmRate]]-Games[[#This Row],[OppPreGmRate]]))*IF(Games[[#This Row],[OT]]=1,0.7,1))</f>
        <v>0.5592923555308531</v>
      </c>
      <c r="AI14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1">
        <f>IF(Games[[#This Row],[Team]]="","",Games[[#This Row],[K]]*IF(Games[[#This Row],[DivG]]=1,DivMult,1)*IF(Games[[#This Row],[ConfG]]=1,ConfMult,1)*Games[[#This Row],[POMult]])</f>
        <v>43.796250000000001</v>
      </c>
      <c r="AK141">
        <f>IF(Games[[#This Row],[Team]]="","",(Games[[#This Row],[Keff]]*Games[[#This Row],[MOVMult]])*(Games[[#This Row],[Result]]-Games[[#This Row],[ExpectedWin]]))</f>
        <v>-5.0207613258333241</v>
      </c>
      <c r="AL141">
        <f>IF(Games[[#This Row],[Team]]="","",Games[[#This Row],[PreGmRate]]+Games[[#This Row],[RatingChange]])</f>
        <v>1389.989874391277</v>
      </c>
      <c r="AM141">
        <f>IF(Games[[#This Row],[Team]]="","",IF(Games[[#This Row],[Type]]="R",IF(Games[[#This Row],[Result]]&gt;0.5,1,0),0))</f>
        <v>0</v>
      </c>
      <c r="AN141">
        <f>IF(Games[[#This Row],[Team]]="","",IF(Games[[#This Row],[Type]]="R",IF(Games[[#This Row],[Result]]&lt;0.5,1,0),0))</f>
        <v>1</v>
      </c>
      <c r="AO141">
        <f>IF(Games[[#This Row],[Team]]="","",IF(Games[[#This Row],[Type]]="R",IF(Games[[#This Row],[Result]]=0.5,1,0),0))</f>
        <v>0</v>
      </c>
    </row>
    <row r="142" spans="1:41" x14ac:dyDescent="0.35">
      <c r="A142" s="8">
        <v>35344</v>
      </c>
      <c r="B142">
        <v>1996</v>
      </c>
      <c r="C142" t="s">
        <v>197</v>
      </c>
      <c r="D142" t="s">
        <v>199</v>
      </c>
      <c r="E142" t="s">
        <v>130</v>
      </c>
      <c r="F142" t="s">
        <v>108</v>
      </c>
      <c r="G142" t="s">
        <v>200</v>
      </c>
      <c r="H142">
        <v>14</v>
      </c>
      <c r="I142">
        <v>12</v>
      </c>
      <c r="J142">
        <v>0</v>
      </c>
      <c r="K14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4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4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4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42">
        <f>IF(Games[[#This Row],[Team]]="","",IF(Games[[#This Row],[Conf]]=Games[[#This Row],[OppConf]],1,0))</f>
        <v>1</v>
      </c>
      <c r="P142">
        <f>IF(Games[[#This Row],[Team]]="","",IF(AND(Games[[#This Row],[Conf]]=Games[[#This Row],[OppConf]],Games[[#This Row],[Div]]=Games[[#This Row],[OppDiv]]),1,0))</f>
        <v>0</v>
      </c>
      <c r="Q142">
        <f>IF(Games[[#This Row],[Team]]="","",_xlfn.MINIFS(Games[Date],Games[Season],Games[[#This Row],[Season]]))</f>
        <v>35309</v>
      </c>
      <c r="R142">
        <f>IF(Games[[#This Row],[Team]]="","",INT((Games[[#This Row],[Date]]-(Games[[#This Row],[SeasonStart]]-MOD(WEEKDAY(Games[[#This Row],[SeasonStart]],2)-2,7)))/7)+1)</f>
        <v>6</v>
      </c>
      <c r="S142">
        <f>IF(Games[[#This Row],[Team]]="","",COUNTIFS(Games[Team],Games[[#This Row],[Team]],Games[Season],Games[[#This Row],[Season]],Games[Week],"&lt;="&amp;Games[[#This Row],[Week]]))</f>
        <v>6</v>
      </c>
      <c r="T142">
        <f>IF(Games[[#This Row],[Team]]="","",_xlfn.MAXIFS(Games[Week],Games[Team],Games[[#This Row],[Team]],Games[Season],Games[[#This Row],[Season]],Games[Week],"&lt;"&amp;Games[[#This Row],[Week]]))</f>
        <v>5</v>
      </c>
      <c r="U142">
        <f>IF(Games[[#This Row],[Team]]="","",_xlfn.MAXIFS(Games[Week],Games[Team],Games[[#This Row],[Opponent]],Games[Season],Games[[#This Row],[Season]],Games[Week],"&lt;"&amp;Games[[#This Row],[Week]]))</f>
        <v>5</v>
      </c>
      <c r="V14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4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4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4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1558.4734654976776</v>
      </c>
      <c r="Z14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1555.0019645200236</v>
      </c>
      <c r="AA14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0.60693551864759565</v>
      </c>
      <c r="AB142">
        <f>IF(Games[[#This Row],[Team]]="","",Games[[#This Row],[PointsFor]]-Games[[#This Row],[PointsAgainst]])</f>
        <v>2</v>
      </c>
      <c r="AC142">
        <f>IF(Games[[#This Row],[Team]]="","",IF(Games[[#This Row],[MOV]]&gt;0,1,IF(Games[[#This Row],[MOV]]=0,0.5,0)))</f>
        <v>1</v>
      </c>
      <c r="AD142">
        <f>IF(Games[[#This Row],[Team]]="","",--(OR(AND(Games[[#This Row],[ExpectedWin]]&gt;=0.5,Games[[#This Row],[Result]]=1),AND(Games[[#This Row],[ExpectedWin]]&lt;0.5,Games[[#This Row],[Result]]=0))))</f>
        <v>1</v>
      </c>
      <c r="AE142">
        <f>IF(Games[[#This Row],[Team]]="","",-(Games[[#This Row],[Result]]*LN(Games[[#This Row],[ExpectedWin]])+(1-Games[[#This Row],[Result]])*LN(1-Games[[#This Row],[ExpectedWin]])))</f>
        <v>0.49933272314102473</v>
      </c>
      <c r="AF142">
        <f>IF(Games[[#This Row],[Team]]="","",IF(Games[[#This Row],[Season]]&gt;=2021,17,16))</f>
        <v>16</v>
      </c>
      <c r="AG142">
        <f>IF(Games[[#This Row],[Team]]="","",KMax-(KMax-KFloor)*MIN(Games[[#This Row],[GamesPlayed]],Games[[#This Row],[SeasonLen]])/Games[[#This Row],[SeasonLen]])</f>
        <v>42.325000000000003</v>
      </c>
      <c r="AH142">
        <f>IF(Games[[#This Row],[Team]]="","",((ABS(Games[[#This Row],[MOV]])+3)^0.8)/(7.5+0.006*ABS(Games[[#This Row],[PreGmRate]]-Games[[#This Row],[OppPreGmRate]]))*IF(Games[[#This Row],[OT]]=1,0.7,1))</f>
        <v>0.48184825310640528</v>
      </c>
      <c r="AI14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2">
        <f>IF(Games[[#This Row],[Team]]="","",Games[[#This Row],[K]]*IF(Games[[#This Row],[DivG]]=1,DivMult,1)*IF(Games[[#This Row],[ConfG]]=1,ConfMult,1)*Games[[#This Row],[POMult]])</f>
        <v>43.171500000000002</v>
      </c>
      <c r="AK142">
        <f>IF(Games[[#This Row],[Team]]="","",(Games[[#This Row],[Keff]]*Games[[#This Row],[MOVMult]])*(Games[[#This Row],[Result]]-Games[[#This Row],[ExpectedWin]]))</f>
        <v>8.1765713088859222</v>
      </c>
      <c r="AL142">
        <f>IF(Games[[#This Row],[Team]]="","",Games[[#This Row],[PreGmRate]]+Games[[#This Row],[RatingChange]])</f>
        <v>1566.6500368065635</v>
      </c>
      <c r="AM142">
        <f>IF(Games[[#This Row],[Team]]="","",IF(Games[[#This Row],[Type]]="R",IF(Games[[#This Row],[Result]]&gt;0.5,1,0),0))</f>
        <v>1</v>
      </c>
      <c r="AN142">
        <f>IF(Games[[#This Row],[Team]]="","",IF(Games[[#This Row],[Type]]="R",IF(Games[[#This Row],[Result]]&lt;0.5,1,0),0))</f>
        <v>0</v>
      </c>
      <c r="AO142">
        <f>IF(Games[[#This Row],[Team]]="","",IF(Games[[#This Row],[Type]]="R",IF(Games[[#This Row],[Result]]=0.5,1,0),0))</f>
        <v>0</v>
      </c>
    </row>
    <row r="143" spans="1:41" x14ac:dyDescent="0.35">
      <c r="A143" s="8">
        <v>35344</v>
      </c>
      <c r="B143">
        <v>1996</v>
      </c>
      <c r="C143" t="s">
        <v>197</v>
      </c>
      <c r="D143" t="s">
        <v>199</v>
      </c>
      <c r="E143" t="s">
        <v>108</v>
      </c>
      <c r="F143" t="s">
        <v>130</v>
      </c>
      <c r="G143" t="s">
        <v>201</v>
      </c>
      <c r="H143">
        <v>12</v>
      </c>
      <c r="I143">
        <v>14</v>
      </c>
      <c r="J143">
        <v>0</v>
      </c>
      <c r="K14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4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4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4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43">
        <f>IF(Games[[#This Row],[Team]]="","",IF(Games[[#This Row],[Conf]]=Games[[#This Row],[OppConf]],1,0))</f>
        <v>1</v>
      </c>
      <c r="P143">
        <f>IF(Games[[#This Row],[Team]]="","",IF(AND(Games[[#This Row],[Conf]]=Games[[#This Row],[OppConf]],Games[[#This Row],[Div]]=Games[[#This Row],[OppDiv]]),1,0))</f>
        <v>0</v>
      </c>
      <c r="Q143">
        <f>IF(Games[[#This Row],[Team]]="","",_xlfn.MINIFS(Games[Date],Games[Season],Games[[#This Row],[Season]]))</f>
        <v>35309</v>
      </c>
      <c r="R143">
        <f>IF(Games[[#This Row],[Team]]="","",INT((Games[[#This Row],[Date]]-(Games[[#This Row],[SeasonStart]]-MOD(WEEKDAY(Games[[#This Row],[SeasonStart]],2)-2,7)))/7)+1)</f>
        <v>6</v>
      </c>
      <c r="S143">
        <f>IF(Games[[#This Row],[Team]]="","",COUNTIFS(Games[Team],Games[[#This Row],[Team]],Games[Season],Games[[#This Row],[Season]],Games[Week],"&lt;="&amp;Games[[#This Row],[Week]]))</f>
        <v>5</v>
      </c>
      <c r="T143">
        <f>IF(Games[[#This Row],[Team]]="","",_xlfn.MAXIFS(Games[Week],Games[Team],Games[[#This Row],[Team]],Games[Season],Games[[#This Row],[Season]],Games[Week],"&lt;"&amp;Games[[#This Row],[Week]]))</f>
        <v>5</v>
      </c>
      <c r="U143">
        <f>IF(Games[[#This Row],[Team]]="","",_xlfn.MAXIFS(Games[Week],Games[Team],Games[[#This Row],[Opponent]],Games[Season],Games[[#This Row],[Season]],Games[Week],"&lt;"&amp;Games[[#This Row],[Week]]))</f>
        <v>5</v>
      </c>
      <c r="V14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4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4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4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1555.0019645200236</v>
      </c>
      <c r="Z14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1558.4734654976776</v>
      </c>
      <c r="AA14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0.39306448135240435</v>
      </c>
      <c r="AB143">
        <f>IF(Games[[#This Row],[Team]]="","",Games[[#This Row],[PointsFor]]-Games[[#This Row],[PointsAgainst]])</f>
        <v>-2</v>
      </c>
      <c r="AC143">
        <f>IF(Games[[#This Row],[Team]]="","",IF(Games[[#This Row],[MOV]]&gt;0,1,IF(Games[[#This Row],[MOV]]=0,0.5,0)))</f>
        <v>0</v>
      </c>
      <c r="AD143">
        <f>IF(Games[[#This Row],[Team]]="","",--(OR(AND(Games[[#This Row],[ExpectedWin]]&gt;=0.5,Games[[#This Row],[Result]]=1),AND(Games[[#This Row],[ExpectedWin]]&lt;0.5,Games[[#This Row],[Result]]=0))))</f>
        <v>1</v>
      </c>
      <c r="AE143">
        <f>IF(Games[[#This Row],[Team]]="","",-(Games[[#This Row],[Result]]*LN(Games[[#This Row],[ExpectedWin]])+(1-Games[[#This Row],[Result]])*LN(1-Games[[#This Row],[ExpectedWin]])))</f>
        <v>0.49933272314102473</v>
      </c>
      <c r="AF143">
        <f>IF(Games[[#This Row],[Team]]="","",IF(Games[[#This Row],[Season]]&gt;=2021,17,16))</f>
        <v>16</v>
      </c>
      <c r="AG143">
        <f>IF(Games[[#This Row],[Team]]="","",KMax-(KMax-KFloor)*MIN(Games[[#This Row],[GamesPlayed]],Games[[#This Row],[SeasonLen]])/Games[[#This Row],[SeasonLen]])</f>
        <v>42.9375</v>
      </c>
      <c r="AH143">
        <f>IF(Games[[#This Row],[Team]]="","",((ABS(Games[[#This Row],[MOV]])+3)^0.8)/(7.5+0.006*ABS(Games[[#This Row],[PreGmRate]]-Games[[#This Row],[OppPreGmRate]]))*IF(Games[[#This Row],[OT]]=1,0.7,1))</f>
        <v>0.48184825310640528</v>
      </c>
      <c r="AI14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3">
        <f>IF(Games[[#This Row],[Team]]="","",Games[[#This Row],[K]]*IF(Games[[#This Row],[DivG]]=1,DivMult,1)*IF(Games[[#This Row],[ConfG]]=1,ConfMult,1)*Games[[#This Row],[POMult]])</f>
        <v>43.796250000000001</v>
      </c>
      <c r="AK143">
        <f>IF(Games[[#This Row],[Team]]="","",(Games[[#This Row],[Keff]]*Games[[#This Row],[MOVMult]])*(Games[[#This Row],[Result]]-Games[[#This Row],[ExpectedWin]]))</f>
        <v>-8.2948973555886418</v>
      </c>
      <c r="AL143">
        <f>IF(Games[[#This Row],[Team]]="","",Games[[#This Row],[PreGmRate]]+Games[[#This Row],[RatingChange]])</f>
        <v>1546.7070671644351</v>
      </c>
      <c r="AM143">
        <f>IF(Games[[#This Row],[Team]]="","",IF(Games[[#This Row],[Type]]="R",IF(Games[[#This Row],[Result]]&gt;0.5,1,0),0))</f>
        <v>0</v>
      </c>
      <c r="AN143">
        <f>IF(Games[[#This Row],[Team]]="","",IF(Games[[#This Row],[Type]]="R",IF(Games[[#This Row],[Result]]&lt;0.5,1,0),0))</f>
        <v>1</v>
      </c>
      <c r="AO143">
        <f>IF(Games[[#This Row],[Team]]="","",IF(Games[[#This Row],[Type]]="R",IF(Games[[#This Row],[Result]]=0.5,1,0),0))</f>
        <v>0</v>
      </c>
    </row>
    <row r="144" spans="1:41" x14ac:dyDescent="0.35">
      <c r="A144" s="8">
        <v>35344</v>
      </c>
      <c r="B144">
        <v>1996</v>
      </c>
      <c r="C144" t="s">
        <v>197</v>
      </c>
      <c r="D144" t="s">
        <v>199</v>
      </c>
      <c r="E144" t="s">
        <v>146</v>
      </c>
      <c r="F144" t="s">
        <v>128</v>
      </c>
      <c r="G144" t="s">
        <v>201</v>
      </c>
      <c r="H144">
        <v>22</v>
      </c>
      <c r="I144">
        <v>15</v>
      </c>
      <c r="J144">
        <v>0</v>
      </c>
      <c r="K14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4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4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4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44">
        <f>IF(Games[[#This Row],[Team]]="","",IF(Games[[#This Row],[Conf]]=Games[[#This Row],[OppConf]],1,0))</f>
        <v>1</v>
      </c>
      <c r="P144">
        <f>IF(Games[[#This Row],[Team]]="","",IF(AND(Games[[#This Row],[Conf]]=Games[[#This Row],[OppConf]],Games[[#This Row],[Div]]=Games[[#This Row],[OppDiv]]),1,0))</f>
        <v>0</v>
      </c>
      <c r="Q144">
        <f>IF(Games[[#This Row],[Team]]="","",_xlfn.MINIFS(Games[Date],Games[Season],Games[[#This Row],[Season]]))</f>
        <v>35309</v>
      </c>
      <c r="R144">
        <f>IF(Games[[#This Row],[Team]]="","",INT((Games[[#This Row],[Date]]-(Games[[#This Row],[SeasonStart]]-MOD(WEEKDAY(Games[[#This Row],[SeasonStart]],2)-2,7)))/7)+1)</f>
        <v>6</v>
      </c>
      <c r="S144">
        <f>IF(Games[[#This Row],[Team]]="","",COUNTIFS(Games[Team],Games[[#This Row],[Team]],Games[Season],Games[[#This Row],[Season]],Games[Week],"&lt;="&amp;Games[[#This Row],[Week]]))</f>
        <v>6</v>
      </c>
      <c r="T144">
        <f>IF(Games[[#This Row],[Team]]="","",_xlfn.MAXIFS(Games[Week],Games[Team],Games[[#This Row],[Team]],Games[Season],Games[[#This Row],[Season]],Games[Week],"&lt;"&amp;Games[[#This Row],[Week]]))</f>
        <v>5</v>
      </c>
      <c r="U144">
        <f>IF(Games[[#This Row],[Team]]="","",_xlfn.MAXIFS(Games[Week],Games[Team],Games[[#This Row],[Opponent]],Games[Season],Games[[#This Row],[Season]],Games[Week],"&lt;"&amp;Games[[#This Row],[Week]]))</f>
        <v>4</v>
      </c>
      <c r="V14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4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13</v>
      </c>
      <c r="X14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14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1401.9257735507683</v>
      </c>
      <c r="Z14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1571.6488900744405</v>
      </c>
      <c r="AA14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0.17804852756678452</v>
      </c>
      <c r="AB144">
        <f>IF(Games[[#This Row],[Team]]="","",Games[[#This Row],[PointsFor]]-Games[[#This Row],[PointsAgainst]])</f>
        <v>7</v>
      </c>
      <c r="AC144">
        <f>IF(Games[[#This Row],[Team]]="","",IF(Games[[#This Row],[MOV]]&gt;0,1,IF(Games[[#This Row],[MOV]]=0,0.5,0)))</f>
        <v>1</v>
      </c>
      <c r="AD144">
        <f>IF(Games[[#This Row],[Team]]="","",--(OR(AND(Games[[#This Row],[ExpectedWin]]&gt;=0.5,Games[[#This Row],[Result]]=1),AND(Games[[#This Row],[ExpectedWin]]&lt;0.5,Games[[#This Row],[Result]]=0))))</f>
        <v>0</v>
      </c>
      <c r="AE144">
        <f>IF(Games[[#This Row],[Team]]="","",-(Games[[#This Row],[Result]]*LN(Games[[#This Row],[ExpectedWin]])+(1-Games[[#This Row],[Result]])*LN(1-Games[[#This Row],[ExpectedWin]])))</f>
        <v>1.725699139066291</v>
      </c>
      <c r="AF144">
        <f>IF(Games[[#This Row],[Team]]="","",IF(Games[[#This Row],[Season]]&gt;=2021,17,16))</f>
        <v>16</v>
      </c>
      <c r="AG144">
        <f>IF(Games[[#This Row],[Team]]="","",KMax-(KMax-KFloor)*MIN(Games[[#This Row],[GamesPlayed]],Games[[#This Row],[SeasonLen]])/Games[[#This Row],[SeasonLen]])</f>
        <v>42.325000000000003</v>
      </c>
      <c r="AH144">
        <f>IF(Games[[#This Row],[Team]]="","",((ABS(Games[[#This Row],[MOV]])+3)^0.8)/(7.5+0.006*ABS(Games[[#This Row],[PreGmRate]]-Games[[#This Row],[OppPreGmRate]]))*IF(Games[[#This Row],[OT]]=1,0.7,1))</f>
        <v>0.74070469227027025</v>
      </c>
      <c r="AI14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4">
        <f>IF(Games[[#This Row],[Team]]="","",Games[[#This Row],[K]]*IF(Games[[#This Row],[DivG]]=1,DivMult,1)*IF(Games[[#This Row],[ConfG]]=1,ConfMult,1)*Games[[#This Row],[POMult]])</f>
        <v>43.171500000000002</v>
      </c>
      <c r="AK144">
        <f>IF(Games[[#This Row],[Team]]="","",(Games[[#This Row],[Keff]]*Games[[#This Row],[MOVMult]])*(Games[[#This Row],[Result]]-Games[[#This Row],[ExpectedWin]]))</f>
        <v>26.28381563342397</v>
      </c>
      <c r="AL144">
        <f>IF(Games[[#This Row],[Team]]="","",Games[[#This Row],[PreGmRate]]+Games[[#This Row],[RatingChange]])</f>
        <v>1428.2095891841923</v>
      </c>
      <c r="AM144">
        <f>IF(Games[[#This Row],[Team]]="","",IF(Games[[#This Row],[Type]]="R",IF(Games[[#This Row],[Result]]&gt;0.5,1,0),0))</f>
        <v>1</v>
      </c>
      <c r="AN144">
        <f>IF(Games[[#This Row],[Team]]="","",IF(Games[[#This Row],[Type]]="R",IF(Games[[#This Row],[Result]]&lt;0.5,1,0),0))</f>
        <v>0</v>
      </c>
      <c r="AO144">
        <f>IF(Games[[#This Row],[Team]]="","",IF(Games[[#This Row],[Type]]="R",IF(Games[[#This Row],[Result]]=0.5,1,0),0))</f>
        <v>0</v>
      </c>
    </row>
    <row r="145" spans="1:41" x14ac:dyDescent="0.35">
      <c r="A145" s="8">
        <v>35344</v>
      </c>
      <c r="B145">
        <v>1996</v>
      </c>
      <c r="C145" t="s">
        <v>197</v>
      </c>
      <c r="D145" t="s">
        <v>199</v>
      </c>
      <c r="E145" t="s">
        <v>128</v>
      </c>
      <c r="F145" t="s">
        <v>146</v>
      </c>
      <c r="G145" t="s">
        <v>200</v>
      </c>
      <c r="H145">
        <v>15</v>
      </c>
      <c r="I145">
        <v>22</v>
      </c>
      <c r="J145">
        <v>0</v>
      </c>
      <c r="K14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4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4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4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45">
        <f>IF(Games[[#This Row],[Team]]="","",IF(Games[[#This Row],[Conf]]=Games[[#This Row],[OppConf]],1,0))</f>
        <v>1</v>
      </c>
      <c r="P145">
        <f>IF(Games[[#This Row],[Team]]="","",IF(AND(Games[[#This Row],[Conf]]=Games[[#This Row],[OppConf]],Games[[#This Row],[Div]]=Games[[#This Row],[OppDiv]]),1,0))</f>
        <v>0</v>
      </c>
      <c r="Q145">
        <f>IF(Games[[#This Row],[Team]]="","",_xlfn.MINIFS(Games[Date],Games[Season],Games[[#This Row],[Season]]))</f>
        <v>35309</v>
      </c>
      <c r="R145">
        <f>IF(Games[[#This Row],[Team]]="","",INT((Games[[#This Row],[Date]]-(Games[[#This Row],[SeasonStart]]-MOD(WEEKDAY(Games[[#This Row],[SeasonStart]],2)-2,7)))/7)+1)</f>
        <v>6</v>
      </c>
      <c r="S145">
        <f>IF(Games[[#This Row],[Team]]="","",COUNTIFS(Games[Team],Games[[#This Row],[Team]],Games[Season],Games[[#This Row],[Season]],Games[Week],"&lt;="&amp;Games[[#This Row],[Week]]))</f>
        <v>5</v>
      </c>
      <c r="T145">
        <f>IF(Games[[#This Row],[Team]]="","",_xlfn.MAXIFS(Games[Week],Games[Team],Games[[#This Row],[Team]],Games[Season],Games[[#This Row],[Season]],Games[Week],"&lt;"&amp;Games[[#This Row],[Week]]))</f>
        <v>4</v>
      </c>
      <c r="U145">
        <f>IF(Games[[#This Row],[Team]]="","",_xlfn.MAXIFS(Games[Week],Games[Team],Games[[#This Row],[Opponent]],Games[Season],Games[[#This Row],[Season]],Games[Week],"&lt;"&amp;Games[[#This Row],[Week]]))</f>
        <v>5</v>
      </c>
      <c r="V14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13</v>
      </c>
      <c r="W14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4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14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1571.6488900744405</v>
      </c>
      <c r="Z14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1401.9257735507683</v>
      </c>
      <c r="AA14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0.82195147243321542</v>
      </c>
      <c r="AB145">
        <f>IF(Games[[#This Row],[Team]]="","",Games[[#This Row],[PointsFor]]-Games[[#This Row],[PointsAgainst]])</f>
        <v>-7</v>
      </c>
      <c r="AC145">
        <f>IF(Games[[#This Row],[Team]]="","",IF(Games[[#This Row],[MOV]]&gt;0,1,IF(Games[[#This Row],[MOV]]=0,0.5,0)))</f>
        <v>0</v>
      </c>
      <c r="AD145">
        <f>IF(Games[[#This Row],[Team]]="","",--(OR(AND(Games[[#This Row],[ExpectedWin]]&gt;=0.5,Games[[#This Row],[Result]]=1),AND(Games[[#This Row],[ExpectedWin]]&lt;0.5,Games[[#This Row],[Result]]=0))))</f>
        <v>0</v>
      </c>
      <c r="AE145">
        <f>IF(Games[[#This Row],[Team]]="","",-(Games[[#This Row],[Result]]*LN(Games[[#This Row],[ExpectedWin]])+(1-Games[[#This Row],[Result]])*LN(1-Games[[#This Row],[ExpectedWin]])))</f>
        <v>1.7256991390662908</v>
      </c>
      <c r="AF145">
        <f>IF(Games[[#This Row],[Team]]="","",IF(Games[[#This Row],[Season]]&gt;=2021,17,16))</f>
        <v>16</v>
      </c>
      <c r="AG145">
        <f>IF(Games[[#This Row],[Team]]="","",KMax-(KMax-KFloor)*MIN(Games[[#This Row],[GamesPlayed]],Games[[#This Row],[SeasonLen]])/Games[[#This Row],[SeasonLen]])</f>
        <v>42.9375</v>
      </c>
      <c r="AH145">
        <f>IF(Games[[#This Row],[Team]]="","",((ABS(Games[[#This Row],[MOV]])+3)^0.8)/(7.5+0.006*ABS(Games[[#This Row],[PreGmRate]]-Games[[#This Row],[OppPreGmRate]]))*IF(Games[[#This Row],[OT]]=1,0.7,1))</f>
        <v>0.74070469227027025</v>
      </c>
      <c r="AI14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5">
        <f>IF(Games[[#This Row],[Team]]="","",Games[[#This Row],[K]]*IF(Games[[#This Row],[DivG]]=1,DivMult,1)*IF(Games[[#This Row],[ConfG]]=1,ConfMult,1)*Games[[#This Row],[POMult]])</f>
        <v>43.796250000000001</v>
      </c>
      <c r="AK145">
        <f>IF(Games[[#This Row],[Team]]="","",(Games[[#This Row],[Keff]]*Games[[#This Row],[MOVMult]])*(Games[[#This Row],[Result]]-Games[[#This Row],[ExpectedWin]]))</f>
        <v>-26.664177997876941</v>
      </c>
      <c r="AL145">
        <f>IF(Games[[#This Row],[Team]]="","",Games[[#This Row],[PreGmRate]]+Games[[#This Row],[RatingChange]])</f>
        <v>1544.9847120765635</v>
      </c>
      <c r="AM145">
        <f>IF(Games[[#This Row],[Team]]="","",IF(Games[[#This Row],[Type]]="R",IF(Games[[#This Row],[Result]]&gt;0.5,1,0),0))</f>
        <v>0</v>
      </c>
      <c r="AN145">
        <f>IF(Games[[#This Row],[Team]]="","",IF(Games[[#This Row],[Type]]="R",IF(Games[[#This Row],[Result]]&lt;0.5,1,0),0))</f>
        <v>1</v>
      </c>
      <c r="AO145">
        <f>IF(Games[[#This Row],[Team]]="","",IF(Games[[#This Row],[Type]]="R",IF(Games[[#This Row],[Result]]=0.5,1,0),0))</f>
        <v>0</v>
      </c>
    </row>
    <row r="146" spans="1:41" x14ac:dyDescent="0.35">
      <c r="A146" s="8">
        <v>35344</v>
      </c>
      <c r="B146">
        <v>1996</v>
      </c>
      <c r="C146" t="s">
        <v>197</v>
      </c>
      <c r="D146" t="s">
        <v>199</v>
      </c>
      <c r="E146" t="s">
        <v>132</v>
      </c>
      <c r="F146" t="s">
        <v>101</v>
      </c>
      <c r="G146" t="s">
        <v>201</v>
      </c>
      <c r="H146">
        <v>46</v>
      </c>
      <c r="I146">
        <v>38</v>
      </c>
      <c r="J146">
        <v>0</v>
      </c>
      <c r="K14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4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4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4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46">
        <f>IF(Games[[#This Row],[Team]]="","",IF(Games[[#This Row],[Conf]]=Games[[#This Row],[OppConf]],1,0))</f>
        <v>1</v>
      </c>
      <c r="P146">
        <f>IF(Games[[#This Row],[Team]]="","",IF(AND(Games[[#This Row],[Conf]]=Games[[#This Row],[OppConf]],Games[[#This Row],[Div]]=Games[[#This Row],[OppDiv]]),1,0))</f>
        <v>0</v>
      </c>
      <c r="Q146">
        <f>IF(Games[[#This Row],[Team]]="","",_xlfn.MINIFS(Games[Date],Games[Season],Games[[#This Row],[Season]]))</f>
        <v>35309</v>
      </c>
      <c r="R146">
        <f>IF(Games[[#This Row],[Team]]="","",INT((Games[[#This Row],[Date]]-(Games[[#This Row],[SeasonStart]]-MOD(WEEKDAY(Games[[#This Row],[SeasonStart]],2)-2,7)))/7)+1)</f>
        <v>6</v>
      </c>
      <c r="S146">
        <f>IF(Games[[#This Row],[Team]]="","",COUNTIFS(Games[Team],Games[[#This Row],[Team]],Games[Season],Games[[#This Row],[Season]],Games[Week],"&lt;="&amp;Games[[#This Row],[Week]]))</f>
        <v>5</v>
      </c>
      <c r="T146">
        <f>IF(Games[[#This Row],[Team]]="","",_xlfn.MAXIFS(Games[Week],Games[Team],Games[[#This Row],[Team]],Games[Season],Games[[#This Row],[Season]],Games[Week],"&lt;"&amp;Games[[#This Row],[Week]]))</f>
        <v>4</v>
      </c>
      <c r="U146">
        <f>IF(Games[[#This Row],[Team]]="","",_xlfn.MAXIFS(Games[Week],Games[Team],Games[[#This Row],[Opponent]],Games[Season],Games[[#This Row],[Season]],Games[Week],"&lt;"&amp;Games[[#This Row],[Week]]))</f>
        <v>5</v>
      </c>
      <c r="V14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14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4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14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1501.4377741810483</v>
      </c>
      <c r="Z14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1470.4430337249273</v>
      </c>
      <c r="AA14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0.47554698788541488</v>
      </c>
      <c r="AB146">
        <f>IF(Games[[#This Row],[Team]]="","",Games[[#This Row],[PointsFor]]-Games[[#This Row],[PointsAgainst]])</f>
        <v>8</v>
      </c>
      <c r="AC146">
        <f>IF(Games[[#This Row],[Team]]="","",IF(Games[[#This Row],[MOV]]&gt;0,1,IF(Games[[#This Row],[MOV]]=0,0.5,0)))</f>
        <v>1</v>
      </c>
      <c r="AD146">
        <f>IF(Games[[#This Row],[Team]]="","",--(OR(AND(Games[[#This Row],[ExpectedWin]]&gt;=0.5,Games[[#This Row],[Result]]=1),AND(Games[[#This Row],[ExpectedWin]]&lt;0.5,Games[[#This Row],[Result]]=0))))</f>
        <v>0</v>
      </c>
      <c r="AE146">
        <f>IF(Games[[#This Row],[Team]]="","",-(Games[[#This Row],[Result]]*LN(Games[[#This Row],[ExpectedWin]])+(1-Games[[#This Row],[Result]])*LN(1-Games[[#This Row],[ExpectedWin]])))</f>
        <v>0.74328958403360679</v>
      </c>
      <c r="AF146">
        <f>IF(Games[[#This Row],[Team]]="","",IF(Games[[#This Row],[Season]]&gt;=2021,17,16))</f>
        <v>16</v>
      </c>
      <c r="AG146">
        <f>IF(Games[[#This Row],[Team]]="","",KMax-(KMax-KFloor)*MIN(Games[[#This Row],[GamesPlayed]],Games[[#This Row],[SeasonLen]])/Games[[#This Row],[SeasonLen]])</f>
        <v>42.9375</v>
      </c>
      <c r="AH146">
        <f>IF(Games[[#This Row],[Team]]="","",((ABS(Games[[#This Row],[MOV]])+3)^0.8)/(7.5+0.006*ABS(Games[[#This Row],[PreGmRate]]-Games[[#This Row],[OppPreGmRate]]))*IF(Games[[#This Row],[OT]]=1,0.7,1))</f>
        <v>0.88596293079466037</v>
      </c>
      <c r="AI14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6">
        <f>IF(Games[[#This Row],[Team]]="","",Games[[#This Row],[K]]*IF(Games[[#This Row],[DivG]]=1,DivMult,1)*IF(Games[[#This Row],[ConfG]]=1,ConfMult,1)*Games[[#This Row],[POMult]])</f>
        <v>43.796250000000001</v>
      </c>
      <c r="AK146">
        <f>IF(Games[[#This Row],[Team]]="","",(Games[[#This Row],[Keff]]*Games[[#This Row],[MOVMult]])*(Games[[#This Row],[Result]]-Games[[#This Row],[ExpectedWin]]))</f>
        <v>20.349749210029302</v>
      </c>
      <c r="AL146">
        <f>IF(Games[[#This Row],[Team]]="","",Games[[#This Row],[PreGmRate]]+Games[[#This Row],[RatingChange]])</f>
        <v>1521.7875233910777</v>
      </c>
      <c r="AM146">
        <f>IF(Games[[#This Row],[Team]]="","",IF(Games[[#This Row],[Type]]="R",IF(Games[[#This Row],[Result]]&gt;0.5,1,0),0))</f>
        <v>1</v>
      </c>
      <c r="AN146">
        <f>IF(Games[[#This Row],[Team]]="","",IF(Games[[#This Row],[Type]]="R",IF(Games[[#This Row],[Result]]&lt;0.5,1,0),0))</f>
        <v>0</v>
      </c>
      <c r="AO146">
        <f>IF(Games[[#This Row],[Team]]="","",IF(Games[[#This Row],[Type]]="R",IF(Games[[#This Row],[Result]]=0.5,1,0),0))</f>
        <v>0</v>
      </c>
    </row>
    <row r="147" spans="1:41" x14ac:dyDescent="0.35">
      <c r="A147" s="8">
        <v>35344</v>
      </c>
      <c r="B147">
        <v>1996</v>
      </c>
      <c r="C147" t="s">
        <v>197</v>
      </c>
      <c r="D147" t="s">
        <v>199</v>
      </c>
      <c r="E147" t="s">
        <v>101</v>
      </c>
      <c r="F147" t="s">
        <v>132</v>
      </c>
      <c r="G147" t="s">
        <v>200</v>
      </c>
      <c r="H147">
        <v>38</v>
      </c>
      <c r="I147">
        <v>46</v>
      </c>
      <c r="J147">
        <v>0</v>
      </c>
      <c r="K14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4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4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4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47">
        <f>IF(Games[[#This Row],[Team]]="","",IF(Games[[#This Row],[Conf]]=Games[[#This Row],[OppConf]],1,0))</f>
        <v>1</v>
      </c>
      <c r="P147">
        <f>IF(Games[[#This Row],[Team]]="","",IF(AND(Games[[#This Row],[Conf]]=Games[[#This Row],[OppConf]],Games[[#This Row],[Div]]=Games[[#This Row],[OppDiv]]),1,0))</f>
        <v>0</v>
      </c>
      <c r="Q147">
        <f>IF(Games[[#This Row],[Team]]="","",_xlfn.MINIFS(Games[Date],Games[Season],Games[[#This Row],[Season]]))</f>
        <v>35309</v>
      </c>
      <c r="R147">
        <f>IF(Games[[#This Row],[Team]]="","",INT((Games[[#This Row],[Date]]-(Games[[#This Row],[SeasonStart]]-MOD(WEEKDAY(Games[[#This Row],[SeasonStart]],2)-2,7)))/7)+1)</f>
        <v>6</v>
      </c>
      <c r="S147">
        <f>IF(Games[[#This Row],[Team]]="","",COUNTIFS(Games[Team],Games[[#This Row],[Team]],Games[Season],Games[[#This Row],[Season]],Games[Week],"&lt;="&amp;Games[[#This Row],[Week]]))</f>
        <v>5</v>
      </c>
      <c r="T147">
        <f>IF(Games[[#This Row],[Team]]="","",_xlfn.MAXIFS(Games[Week],Games[Team],Games[[#This Row],[Team]],Games[Season],Games[[#This Row],[Season]],Games[Week],"&lt;"&amp;Games[[#This Row],[Week]]))</f>
        <v>5</v>
      </c>
      <c r="U147">
        <f>IF(Games[[#This Row],[Team]]="","",_xlfn.MAXIFS(Games[Week],Games[Team],Games[[#This Row],[Opponent]],Games[Season],Games[[#This Row],[Season]],Games[Week],"&lt;"&amp;Games[[#This Row],[Week]]))</f>
        <v>4</v>
      </c>
      <c r="V14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4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14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14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1470.4430337249273</v>
      </c>
      <c r="Z14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1501.4377741810483</v>
      </c>
      <c r="AA14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0.52445301211458506</v>
      </c>
      <c r="AB147">
        <f>IF(Games[[#This Row],[Team]]="","",Games[[#This Row],[PointsFor]]-Games[[#This Row],[PointsAgainst]])</f>
        <v>-8</v>
      </c>
      <c r="AC147">
        <f>IF(Games[[#This Row],[Team]]="","",IF(Games[[#This Row],[MOV]]&gt;0,1,IF(Games[[#This Row],[MOV]]=0,0.5,0)))</f>
        <v>0</v>
      </c>
      <c r="AD147">
        <f>IF(Games[[#This Row],[Team]]="","",--(OR(AND(Games[[#This Row],[ExpectedWin]]&gt;=0.5,Games[[#This Row],[Result]]=1),AND(Games[[#This Row],[ExpectedWin]]&lt;0.5,Games[[#This Row],[Result]]=0))))</f>
        <v>0</v>
      </c>
      <c r="AE147">
        <f>IF(Games[[#This Row],[Team]]="","",-(Games[[#This Row],[Result]]*LN(Games[[#This Row],[ExpectedWin]])+(1-Games[[#This Row],[Result]])*LN(1-Games[[#This Row],[ExpectedWin]])))</f>
        <v>0.74328958403360668</v>
      </c>
      <c r="AF147">
        <f>IF(Games[[#This Row],[Team]]="","",IF(Games[[#This Row],[Season]]&gt;=2021,17,16))</f>
        <v>16</v>
      </c>
      <c r="AG147">
        <f>IF(Games[[#This Row],[Team]]="","",KMax-(KMax-KFloor)*MIN(Games[[#This Row],[GamesPlayed]],Games[[#This Row],[SeasonLen]])/Games[[#This Row],[SeasonLen]])</f>
        <v>42.9375</v>
      </c>
      <c r="AH147">
        <f>IF(Games[[#This Row],[Team]]="","",((ABS(Games[[#This Row],[MOV]])+3)^0.8)/(7.5+0.006*ABS(Games[[#This Row],[PreGmRate]]-Games[[#This Row],[OppPreGmRate]]))*IF(Games[[#This Row],[OT]]=1,0.7,1))</f>
        <v>0.88596293079466037</v>
      </c>
      <c r="AI14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7">
        <f>IF(Games[[#This Row],[Team]]="","",Games[[#This Row],[K]]*IF(Games[[#This Row],[DivG]]=1,DivMult,1)*IF(Games[[#This Row],[ConfG]]=1,ConfMult,1)*Games[[#This Row],[POMult]])</f>
        <v>43.796250000000001</v>
      </c>
      <c r="AK147">
        <f>IF(Games[[#This Row],[Team]]="","",(Games[[#This Row],[Keff]]*Games[[#This Row],[MOVMult]])*(Games[[#This Row],[Result]]-Games[[#This Row],[ExpectedWin]]))</f>
        <v>-20.349749210029298</v>
      </c>
      <c r="AL147">
        <f>IF(Games[[#This Row],[Team]]="","",Games[[#This Row],[PreGmRate]]+Games[[#This Row],[RatingChange]])</f>
        <v>1450.093284514898</v>
      </c>
      <c r="AM147">
        <f>IF(Games[[#This Row],[Team]]="","",IF(Games[[#This Row],[Type]]="R",IF(Games[[#This Row],[Result]]&gt;0.5,1,0),0))</f>
        <v>0</v>
      </c>
      <c r="AN147">
        <f>IF(Games[[#This Row],[Team]]="","",IF(Games[[#This Row],[Type]]="R",IF(Games[[#This Row],[Result]]&lt;0.5,1,0),0))</f>
        <v>1</v>
      </c>
      <c r="AO147">
        <f>IF(Games[[#This Row],[Team]]="","",IF(Games[[#This Row],[Type]]="R",IF(Games[[#This Row],[Result]]=0.5,1,0),0))</f>
        <v>0</v>
      </c>
    </row>
    <row r="148" spans="1:41" x14ac:dyDescent="0.35">
      <c r="A148" s="8">
        <v>35344</v>
      </c>
      <c r="B148">
        <v>1996</v>
      </c>
      <c r="C148" t="s">
        <v>197</v>
      </c>
      <c r="D148" t="s">
        <v>199</v>
      </c>
      <c r="E148" t="s">
        <v>120</v>
      </c>
      <c r="F148" t="s">
        <v>110</v>
      </c>
      <c r="G148" t="s">
        <v>201</v>
      </c>
      <c r="H148">
        <v>37</v>
      </c>
      <c r="I148">
        <v>6</v>
      </c>
      <c r="J148">
        <v>0</v>
      </c>
      <c r="K14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4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4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4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48">
        <f>IF(Games[[#This Row],[Team]]="","",IF(Games[[#This Row],[Conf]]=Games[[#This Row],[OppConf]],1,0))</f>
        <v>1</v>
      </c>
      <c r="P148">
        <f>IF(Games[[#This Row],[Team]]="","",IF(AND(Games[[#This Row],[Conf]]=Games[[#This Row],[OppConf]],Games[[#This Row],[Div]]=Games[[#This Row],[OppDiv]]),1,0))</f>
        <v>1</v>
      </c>
      <c r="Q148">
        <f>IF(Games[[#This Row],[Team]]="","",_xlfn.MINIFS(Games[Date],Games[Season],Games[[#This Row],[Season]]))</f>
        <v>35309</v>
      </c>
      <c r="R148">
        <f>IF(Games[[#This Row],[Team]]="","",INT((Games[[#This Row],[Date]]-(Games[[#This Row],[SeasonStart]]-MOD(WEEKDAY(Games[[#This Row],[SeasonStart]],2)-2,7)))/7)+1)</f>
        <v>6</v>
      </c>
      <c r="S148">
        <f>IF(Games[[#This Row],[Team]]="","",COUNTIFS(Games[Team],Games[[#This Row],[Team]],Games[Season],Games[[#This Row],[Season]],Games[Week],"&lt;="&amp;Games[[#This Row],[Week]]))</f>
        <v>6</v>
      </c>
      <c r="T148">
        <f>IF(Games[[#This Row],[Team]]="","",_xlfn.MAXIFS(Games[Week],Games[Team],Games[[#This Row],[Team]],Games[Season],Games[[#This Row],[Season]],Games[Week],"&lt;"&amp;Games[[#This Row],[Week]]))</f>
        <v>5</v>
      </c>
      <c r="U148">
        <f>IF(Games[[#This Row],[Team]]="","",_xlfn.MAXIFS(Games[Week],Games[Team],Games[[#This Row],[Opponent]],Games[Season],Games[[#This Row],[Season]],Games[Week],"&lt;"&amp;Games[[#This Row],[Week]]))</f>
        <v>5</v>
      </c>
      <c r="V14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4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4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4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1630.0122725109518</v>
      </c>
      <c r="Z14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1465.9371821616894</v>
      </c>
      <c r="AA14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0.62948936872758243</v>
      </c>
      <c r="AB148">
        <f>IF(Games[[#This Row],[Team]]="","",Games[[#This Row],[PointsFor]]-Games[[#This Row],[PointsAgainst]])</f>
        <v>31</v>
      </c>
      <c r="AC148">
        <f>IF(Games[[#This Row],[Team]]="","",IF(Games[[#This Row],[MOV]]&gt;0,1,IF(Games[[#This Row],[MOV]]=0,0.5,0)))</f>
        <v>1</v>
      </c>
      <c r="AD148">
        <f>IF(Games[[#This Row],[Team]]="","",--(OR(AND(Games[[#This Row],[ExpectedWin]]&gt;=0.5,Games[[#This Row],[Result]]=1),AND(Games[[#This Row],[ExpectedWin]]&lt;0.5,Games[[#This Row],[Result]]=0))))</f>
        <v>1</v>
      </c>
      <c r="AE148">
        <f>IF(Games[[#This Row],[Team]]="","",-(Games[[#This Row],[Result]]*LN(Games[[#This Row],[ExpectedWin]])+(1-Games[[#This Row],[Result]])*LN(1-Games[[#This Row],[ExpectedWin]])))</f>
        <v>0.46284631407945304</v>
      </c>
      <c r="AF148">
        <f>IF(Games[[#This Row],[Team]]="","",IF(Games[[#This Row],[Season]]&gt;=2021,17,16))</f>
        <v>16</v>
      </c>
      <c r="AG148">
        <f>IF(Games[[#This Row],[Team]]="","",KMax-(KMax-KFloor)*MIN(Games[[#This Row],[GamesPlayed]],Games[[#This Row],[SeasonLen]])/Games[[#This Row],[SeasonLen]])</f>
        <v>42.325000000000003</v>
      </c>
      <c r="AH148">
        <f>IF(Games[[#This Row],[Team]]="","",((ABS(Games[[#This Row],[MOV]])+3)^0.8)/(7.5+0.006*ABS(Games[[#This Row],[PreGmRate]]-Games[[#This Row],[OppPreGmRate]]))*IF(Games[[#This Row],[OT]]=1,0.7,1))</f>
        <v>1.9795177995893249</v>
      </c>
      <c r="AI14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8">
        <f>IF(Games[[#This Row],[Team]]="","",Games[[#This Row],[K]]*IF(Games[[#This Row],[DivG]]=1,DivMult,1)*IF(Games[[#This Row],[ConfG]]=1,ConfMult,1)*Games[[#This Row],[POMult]])</f>
        <v>47.488650000000007</v>
      </c>
      <c r="AK148">
        <f>IF(Games[[#This Row],[Team]]="","",(Games[[#This Row],[Keff]]*Games[[#This Row],[MOVMult]])*(Games[[#This Row],[Result]]-Games[[#This Row],[ExpectedWin]]))</f>
        <v>34.829714045568032</v>
      </c>
      <c r="AL148">
        <f>IF(Games[[#This Row],[Team]]="","",Games[[#This Row],[PreGmRate]]+Games[[#This Row],[RatingChange]])</f>
        <v>1664.8419865565197</v>
      </c>
      <c r="AM148">
        <f>IF(Games[[#This Row],[Team]]="","",IF(Games[[#This Row],[Type]]="R",IF(Games[[#This Row],[Result]]&gt;0.5,1,0),0))</f>
        <v>1</v>
      </c>
      <c r="AN148">
        <f>IF(Games[[#This Row],[Team]]="","",IF(Games[[#This Row],[Type]]="R",IF(Games[[#This Row],[Result]]&lt;0.5,1,0),0))</f>
        <v>0</v>
      </c>
      <c r="AO148">
        <f>IF(Games[[#This Row],[Team]]="","",IF(Games[[#This Row],[Type]]="R",IF(Games[[#This Row],[Result]]=0.5,1,0),0))</f>
        <v>0</v>
      </c>
    </row>
    <row r="149" spans="1:41" x14ac:dyDescent="0.35">
      <c r="A149" s="8">
        <v>35344</v>
      </c>
      <c r="B149">
        <v>1996</v>
      </c>
      <c r="C149" t="s">
        <v>197</v>
      </c>
      <c r="D149" t="s">
        <v>199</v>
      </c>
      <c r="E149" t="s">
        <v>110</v>
      </c>
      <c r="F149" t="s">
        <v>120</v>
      </c>
      <c r="G149" t="s">
        <v>200</v>
      </c>
      <c r="H149">
        <v>6</v>
      </c>
      <c r="I149">
        <v>37</v>
      </c>
      <c r="J149">
        <v>0</v>
      </c>
      <c r="K14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4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4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4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49">
        <f>IF(Games[[#This Row],[Team]]="","",IF(Games[[#This Row],[Conf]]=Games[[#This Row],[OppConf]],1,0))</f>
        <v>1</v>
      </c>
      <c r="P149">
        <f>IF(Games[[#This Row],[Team]]="","",IF(AND(Games[[#This Row],[Conf]]=Games[[#This Row],[OppConf]],Games[[#This Row],[Div]]=Games[[#This Row],[OppDiv]]),1,0))</f>
        <v>1</v>
      </c>
      <c r="Q149">
        <f>IF(Games[[#This Row],[Team]]="","",_xlfn.MINIFS(Games[Date],Games[Season],Games[[#This Row],[Season]]))</f>
        <v>35309</v>
      </c>
      <c r="R149">
        <f>IF(Games[[#This Row],[Team]]="","",INT((Games[[#This Row],[Date]]-(Games[[#This Row],[SeasonStart]]-MOD(WEEKDAY(Games[[#This Row],[SeasonStart]],2)-2,7)))/7)+1)</f>
        <v>6</v>
      </c>
      <c r="S149">
        <f>IF(Games[[#This Row],[Team]]="","",COUNTIFS(Games[Team],Games[[#This Row],[Team]],Games[Season],Games[[#This Row],[Season]],Games[Week],"&lt;="&amp;Games[[#This Row],[Week]]))</f>
        <v>6</v>
      </c>
      <c r="T149">
        <f>IF(Games[[#This Row],[Team]]="","",_xlfn.MAXIFS(Games[Week],Games[Team],Games[[#This Row],[Team]],Games[Season],Games[[#This Row],[Season]],Games[Week],"&lt;"&amp;Games[[#This Row],[Week]]))</f>
        <v>5</v>
      </c>
      <c r="U149">
        <f>IF(Games[[#This Row],[Team]]="","",_xlfn.MAXIFS(Games[Week],Games[Team],Games[[#This Row],[Opponent]],Games[Season],Games[[#This Row],[Season]],Games[Week],"&lt;"&amp;Games[[#This Row],[Week]]))</f>
        <v>5</v>
      </c>
      <c r="V14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4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4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4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1465.9371821616894</v>
      </c>
      <c r="Z14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1630.0122725109518</v>
      </c>
      <c r="AA14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0.37051063127241751</v>
      </c>
      <c r="AB149">
        <f>IF(Games[[#This Row],[Team]]="","",Games[[#This Row],[PointsFor]]-Games[[#This Row],[PointsAgainst]])</f>
        <v>-31</v>
      </c>
      <c r="AC149">
        <f>IF(Games[[#This Row],[Team]]="","",IF(Games[[#This Row],[MOV]]&gt;0,1,IF(Games[[#This Row],[MOV]]=0,0.5,0)))</f>
        <v>0</v>
      </c>
      <c r="AD149">
        <f>IF(Games[[#This Row],[Team]]="","",--(OR(AND(Games[[#This Row],[ExpectedWin]]&gt;=0.5,Games[[#This Row],[Result]]=1),AND(Games[[#This Row],[ExpectedWin]]&lt;0.5,Games[[#This Row],[Result]]=0))))</f>
        <v>1</v>
      </c>
      <c r="AE149">
        <f>IF(Games[[#This Row],[Team]]="","",-(Games[[#This Row],[Result]]*LN(Games[[#This Row],[ExpectedWin]])+(1-Games[[#This Row],[Result]])*LN(1-Games[[#This Row],[ExpectedWin]])))</f>
        <v>0.46284631407945304</v>
      </c>
      <c r="AF149">
        <f>IF(Games[[#This Row],[Team]]="","",IF(Games[[#This Row],[Season]]&gt;=2021,17,16))</f>
        <v>16</v>
      </c>
      <c r="AG149">
        <f>IF(Games[[#This Row],[Team]]="","",KMax-(KMax-KFloor)*MIN(Games[[#This Row],[GamesPlayed]],Games[[#This Row],[SeasonLen]])/Games[[#This Row],[SeasonLen]])</f>
        <v>42.325000000000003</v>
      </c>
      <c r="AH149">
        <f>IF(Games[[#This Row],[Team]]="","",((ABS(Games[[#This Row],[MOV]])+3)^0.8)/(7.5+0.006*ABS(Games[[#This Row],[PreGmRate]]-Games[[#This Row],[OppPreGmRate]]))*IF(Games[[#This Row],[OT]]=1,0.7,1))</f>
        <v>1.9795177995893249</v>
      </c>
      <c r="AI14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9">
        <f>IF(Games[[#This Row],[Team]]="","",Games[[#This Row],[K]]*IF(Games[[#This Row],[DivG]]=1,DivMult,1)*IF(Games[[#This Row],[ConfG]]=1,ConfMult,1)*Games[[#This Row],[POMult]])</f>
        <v>47.488650000000007</v>
      </c>
      <c r="AK149">
        <f>IF(Games[[#This Row],[Team]]="","",(Games[[#This Row],[Keff]]*Games[[#This Row],[MOVMult]])*(Games[[#This Row],[Result]]-Games[[#This Row],[ExpectedWin]]))</f>
        <v>-34.829714045568025</v>
      </c>
      <c r="AL149">
        <f>IF(Games[[#This Row],[Team]]="","",Games[[#This Row],[PreGmRate]]+Games[[#This Row],[RatingChange]])</f>
        <v>1431.1074681161215</v>
      </c>
      <c r="AM149">
        <f>IF(Games[[#This Row],[Team]]="","",IF(Games[[#This Row],[Type]]="R",IF(Games[[#This Row],[Result]]&gt;0.5,1,0),0))</f>
        <v>0</v>
      </c>
      <c r="AN149">
        <f>IF(Games[[#This Row],[Team]]="","",IF(Games[[#This Row],[Type]]="R",IF(Games[[#This Row],[Result]]&lt;0.5,1,0),0))</f>
        <v>1</v>
      </c>
      <c r="AO149">
        <f>IF(Games[[#This Row],[Team]]="","",IF(Games[[#This Row],[Type]]="R",IF(Games[[#This Row],[Result]]=0.5,1,0),0))</f>
        <v>0</v>
      </c>
    </row>
    <row r="150" spans="1:41" x14ac:dyDescent="0.35">
      <c r="A150" s="8">
        <v>35344</v>
      </c>
      <c r="B150">
        <v>1996</v>
      </c>
      <c r="C150" t="s">
        <v>197</v>
      </c>
      <c r="D150" t="s">
        <v>199</v>
      </c>
      <c r="E150" t="s">
        <v>140</v>
      </c>
      <c r="F150" t="s">
        <v>138</v>
      </c>
      <c r="G150" t="s">
        <v>201</v>
      </c>
      <c r="H150">
        <v>34</v>
      </c>
      <c r="I150">
        <v>13</v>
      </c>
      <c r="J150">
        <v>0</v>
      </c>
      <c r="K15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5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5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5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50">
        <f>IF(Games[[#This Row],[Team]]="","",IF(Games[[#This Row],[Conf]]=Games[[#This Row],[OppConf]],1,0))</f>
        <v>1</v>
      </c>
      <c r="P150">
        <f>IF(Games[[#This Row],[Team]]="","",IF(AND(Games[[#This Row],[Conf]]=Games[[#This Row],[OppConf]],Games[[#This Row],[Div]]=Games[[#This Row],[OppDiv]]),1,0))</f>
        <v>0</v>
      </c>
      <c r="Q150">
        <f>IF(Games[[#This Row],[Team]]="","",_xlfn.MINIFS(Games[Date],Games[Season],Games[[#This Row],[Season]]))</f>
        <v>35309</v>
      </c>
      <c r="R150">
        <f>IF(Games[[#This Row],[Team]]="","",INT((Games[[#This Row],[Date]]-(Games[[#This Row],[SeasonStart]]-MOD(WEEKDAY(Games[[#This Row],[SeasonStart]],2)-2,7)))/7)+1)</f>
        <v>6</v>
      </c>
      <c r="S150">
        <f>IF(Games[[#This Row],[Team]]="","",COUNTIFS(Games[Team],Games[[#This Row],[Team]],Games[Season],Games[[#This Row],[Season]],Games[Week],"&lt;="&amp;Games[[#This Row],[Week]]))</f>
        <v>6</v>
      </c>
      <c r="T150">
        <f>IF(Games[[#This Row],[Team]]="","",_xlfn.MAXIFS(Games[Week],Games[Team],Games[[#This Row],[Team]],Games[Season],Games[[#This Row],[Season]],Games[Week],"&lt;"&amp;Games[[#This Row],[Week]]))</f>
        <v>5</v>
      </c>
      <c r="U150">
        <f>IF(Games[[#This Row],[Team]]="","",_xlfn.MAXIFS(Games[Week],Games[Team],Games[[#This Row],[Opponent]],Games[Season],Games[[#This Row],[Season]],Games[Week],"&lt;"&amp;Games[[#This Row],[Week]]))</f>
        <v>5</v>
      </c>
      <c r="V15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5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5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5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1458.1742755704024</v>
      </c>
      <c r="Z15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1388.7904475081111</v>
      </c>
      <c r="AA15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0.4962350970912468</v>
      </c>
      <c r="AB150">
        <f>IF(Games[[#This Row],[Team]]="","",Games[[#This Row],[PointsFor]]-Games[[#This Row],[PointsAgainst]])</f>
        <v>21</v>
      </c>
      <c r="AC150">
        <f>IF(Games[[#This Row],[Team]]="","",IF(Games[[#This Row],[MOV]]&gt;0,1,IF(Games[[#This Row],[MOV]]=0,0.5,0)))</f>
        <v>1</v>
      </c>
      <c r="AD150">
        <f>IF(Games[[#This Row],[Team]]="","",--(OR(AND(Games[[#This Row],[ExpectedWin]]&gt;=0.5,Games[[#This Row],[Result]]=1),AND(Games[[#This Row],[ExpectedWin]]&lt;0.5,Games[[#This Row],[Result]]=0))))</f>
        <v>0</v>
      </c>
      <c r="AE150">
        <f>IF(Games[[#This Row],[Team]]="","",-(Games[[#This Row],[Result]]*LN(Games[[#This Row],[ExpectedWin]])+(1-Games[[#This Row],[Result]])*LN(1-Games[[#This Row],[ExpectedWin]])))</f>
        <v>0.70070547848206222</v>
      </c>
      <c r="AF150">
        <f>IF(Games[[#This Row],[Team]]="","",IF(Games[[#This Row],[Season]]&gt;=2021,17,16))</f>
        <v>16</v>
      </c>
      <c r="AG150">
        <f>IF(Games[[#This Row],[Team]]="","",KMax-(KMax-KFloor)*MIN(Games[[#This Row],[GamesPlayed]],Games[[#This Row],[SeasonLen]])/Games[[#This Row],[SeasonLen]])</f>
        <v>42.325000000000003</v>
      </c>
      <c r="AH150">
        <f>IF(Games[[#This Row],[Team]]="","",((ABS(Games[[#This Row],[MOV]])+3)^0.8)/(7.5+0.006*ABS(Games[[#This Row],[PreGmRate]]-Games[[#This Row],[OppPreGmRate]]))*IF(Games[[#This Row],[OT]]=1,0.7,1))</f>
        <v>1.6056341127122018</v>
      </c>
      <c r="AI15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0">
        <f>IF(Games[[#This Row],[Team]]="","",Games[[#This Row],[K]]*IF(Games[[#This Row],[DivG]]=1,DivMult,1)*IF(Games[[#This Row],[ConfG]]=1,ConfMult,1)*Games[[#This Row],[POMult]])</f>
        <v>43.171500000000002</v>
      </c>
      <c r="AK150">
        <f>IF(Games[[#This Row],[Team]]="","",(Games[[#This Row],[Keff]]*Games[[#This Row],[MOVMult]])*(Games[[#This Row],[Result]]-Games[[#This Row],[ExpectedWin]]))</f>
        <v>34.919790706952021</v>
      </c>
      <c r="AL150">
        <f>IF(Games[[#This Row],[Team]]="","",Games[[#This Row],[PreGmRate]]+Games[[#This Row],[RatingChange]])</f>
        <v>1493.0940662773544</v>
      </c>
      <c r="AM150">
        <f>IF(Games[[#This Row],[Team]]="","",IF(Games[[#This Row],[Type]]="R",IF(Games[[#This Row],[Result]]&gt;0.5,1,0),0))</f>
        <v>1</v>
      </c>
      <c r="AN150">
        <f>IF(Games[[#This Row],[Team]]="","",IF(Games[[#This Row],[Type]]="R",IF(Games[[#This Row],[Result]]&lt;0.5,1,0),0))</f>
        <v>0</v>
      </c>
      <c r="AO150">
        <f>IF(Games[[#This Row],[Team]]="","",IF(Games[[#This Row],[Type]]="R",IF(Games[[#This Row],[Result]]=0.5,1,0),0))</f>
        <v>0</v>
      </c>
    </row>
    <row r="151" spans="1:41" x14ac:dyDescent="0.35">
      <c r="A151" s="8">
        <v>35344</v>
      </c>
      <c r="B151">
        <v>1996</v>
      </c>
      <c r="C151" t="s">
        <v>197</v>
      </c>
      <c r="D151" t="s">
        <v>199</v>
      </c>
      <c r="E151" t="s">
        <v>138</v>
      </c>
      <c r="F151" t="s">
        <v>140</v>
      </c>
      <c r="G151" t="s">
        <v>200</v>
      </c>
      <c r="H151">
        <v>13</v>
      </c>
      <c r="I151">
        <v>34</v>
      </c>
      <c r="J151">
        <v>0</v>
      </c>
      <c r="K15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5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5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5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51">
        <f>IF(Games[[#This Row],[Team]]="","",IF(Games[[#This Row],[Conf]]=Games[[#This Row],[OppConf]],1,0))</f>
        <v>1</v>
      </c>
      <c r="P151">
        <f>IF(Games[[#This Row],[Team]]="","",IF(AND(Games[[#This Row],[Conf]]=Games[[#This Row],[OppConf]],Games[[#This Row],[Div]]=Games[[#This Row],[OppDiv]]),1,0))</f>
        <v>0</v>
      </c>
      <c r="Q151">
        <f>IF(Games[[#This Row],[Team]]="","",_xlfn.MINIFS(Games[Date],Games[Season],Games[[#This Row],[Season]]))</f>
        <v>35309</v>
      </c>
      <c r="R151">
        <f>IF(Games[[#This Row],[Team]]="","",INT((Games[[#This Row],[Date]]-(Games[[#This Row],[SeasonStart]]-MOD(WEEKDAY(Games[[#This Row],[SeasonStart]],2)-2,7)))/7)+1)</f>
        <v>6</v>
      </c>
      <c r="S151">
        <f>IF(Games[[#This Row],[Team]]="","",COUNTIFS(Games[Team],Games[[#This Row],[Team]],Games[Season],Games[[#This Row],[Season]],Games[Week],"&lt;="&amp;Games[[#This Row],[Week]]))</f>
        <v>6</v>
      </c>
      <c r="T151">
        <f>IF(Games[[#This Row],[Team]]="","",_xlfn.MAXIFS(Games[Week],Games[Team],Games[[#This Row],[Team]],Games[Season],Games[[#This Row],[Season]],Games[Week],"&lt;"&amp;Games[[#This Row],[Week]]))</f>
        <v>5</v>
      </c>
      <c r="U151">
        <f>IF(Games[[#This Row],[Team]]="","",_xlfn.MAXIFS(Games[Week],Games[Team],Games[[#This Row],[Opponent]],Games[Season],Games[[#This Row],[Season]],Games[Week],"&lt;"&amp;Games[[#This Row],[Week]]))</f>
        <v>5</v>
      </c>
      <c r="V15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5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5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5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1388.7904475081111</v>
      </c>
      <c r="Z15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1458.1742755704024</v>
      </c>
      <c r="AA15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0.5037649029087532</v>
      </c>
      <c r="AB151">
        <f>IF(Games[[#This Row],[Team]]="","",Games[[#This Row],[PointsFor]]-Games[[#This Row],[PointsAgainst]])</f>
        <v>-21</v>
      </c>
      <c r="AC151">
        <f>IF(Games[[#This Row],[Team]]="","",IF(Games[[#This Row],[MOV]]&gt;0,1,IF(Games[[#This Row],[MOV]]=0,0.5,0)))</f>
        <v>0</v>
      </c>
      <c r="AD151">
        <f>IF(Games[[#This Row],[Team]]="","",--(OR(AND(Games[[#This Row],[ExpectedWin]]&gt;=0.5,Games[[#This Row],[Result]]=1),AND(Games[[#This Row],[ExpectedWin]]&lt;0.5,Games[[#This Row],[Result]]=0))))</f>
        <v>0</v>
      </c>
      <c r="AE151">
        <f>IF(Games[[#This Row],[Team]]="","",-(Games[[#This Row],[Result]]*LN(Games[[#This Row],[ExpectedWin]])+(1-Games[[#This Row],[Result]])*LN(1-Games[[#This Row],[ExpectedWin]])))</f>
        <v>0.70070547848206222</v>
      </c>
      <c r="AF151">
        <f>IF(Games[[#This Row],[Team]]="","",IF(Games[[#This Row],[Season]]&gt;=2021,17,16))</f>
        <v>16</v>
      </c>
      <c r="AG151">
        <f>IF(Games[[#This Row],[Team]]="","",KMax-(KMax-KFloor)*MIN(Games[[#This Row],[GamesPlayed]],Games[[#This Row],[SeasonLen]])/Games[[#This Row],[SeasonLen]])</f>
        <v>42.325000000000003</v>
      </c>
      <c r="AH151">
        <f>IF(Games[[#This Row],[Team]]="","",((ABS(Games[[#This Row],[MOV]])+3)^0.8)/(7.5+0.006*ABS(Games[[#This Row],[PreGmRate]]-Games[[#This Row],[OppPreGmRate]]))*IF(Games[[#This Row],[OT]]=1,0.7,1))</f>
        <v>1.6056341127122018</v>
      </c>
      <c r="AI15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1">
        <f>IF(Games[[#This Row],[Team]]="","",Games[[#This Row],[K]]*IF(Games[[#This Row],[DivG]]=1,DivMult,1)*IF(Games[[#This Row],[ConfG]]=1,ConfMult,1)*Games[[#This Row],[POMult]])</f>
        <v>43.171500000000002</v>
      </c>
      <c r="AK151">
        <f>IF(Games[[#This Row],[Team]]="","",(Games[[#This Row],[Keff]]*Games[[#This Row],[MOVMult]])*(Games[[#This Row],[Result]]-Games[[#This Row],[ExpectedWin]]))</f>
        <v>-34.919790706952021</v>
      </c>
      <c r="AL151">
        <f>IF(Games[[#This Row],[Team]]="","",Games[[#This Row],[PreGmRate]]+Games[[#This Row],[RatingChange]])</f>
        <v>1353.8706568011592</v>
      </c>
      <c r="AM151">
        <f>IF(Games[[#This Row],[Team]]="","",IF(Games[[#This Row],[Type]]="R",IF(Games[[#This Row],[Result]]&gt;0.5,1,0),0))</f>
        <v>0</v>
      </c>
      <c r="AN151">
        <f>IF(Games[[#This Row],[Team]]="","",IF(Games[[#This Row],[Type]]="R",IF(Games[[#This Row],[Result]]&lt;0.5,1,0),0))</f>
        <v>1</v>
      </c>
      <c r="AO151">
        <f>IF(Games[[#This Row],[Team]]="","",IF(Games[[#This Row],[Type]]="R",IF(Games[[#This Row],[Result]]=0.5,1,0),0))</f>
        <v>0</v>
      </c>
    </row>
    <row r="152" spans="1:41" x14ac:dyDescent="0.35">
      <c r="A152" s="8">
        <v>35344</v>
      </c>
      <c r="B152">
        <v>1996</v>
      </c>
      <c r="C152" t="s">
        <v>197</v>
      </c>
      <c r="D152" t="s">
        <v>199</v>
      </c>
      <c r="E152" t="s">
        <v>106</v>
      </c>
      <c r="F152" t="s">
        <v>122</v>
      </c>
      <c r="G152" t="s">
        <v>200</v>
      </c>
      <c r="H152">
        <v>16</v>
      </c>
      <c r="I152">
        <v>13</v>
      </c>
      <c r="J152">
        <v>1</v>
      </c>
      <c r="K15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5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5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5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52">
        <f>IF(Games[[#This Row],[Team]]="","",IF(Games[[#This Row],[Conf]]=Games[[#This Row],[OppConf]],1,0))</f>
        <v>1</v>
      </c>
      <c r="P152">
        <f>IF(Games[[#This Row],[Team]]="","",IF(AND(Games[[#This Row],[Conf]]=Games[[#This Row],[OppConf]],Games[[#This Row],[Div]]=Games[[#This Row],[OppDiv]]),1,0))</f>
        <v>1</v>
      </c>
      <c r="Q152">
        <f>IF(Games[[#This Row],[Team]]="","",_xlfn.MINIFS(Games[Date],Games[Season],Games[[#This Row],[Season]]))</f>
        <v>35309</v>
      </c>
      <c r="R152">
        <f>IF(Games[[#This Row],[Team]]="","",INT((Games[[#This Row],[Date]]-(Games[[#This Row],[SeasonStart]]-MOD(WEEKDAY(Games[[#This Row],[SeasonStart]],2)-2,7)))/7)+1)</f>
        <v>6</v>
      </c>
      <c r="S152">
        <f>IF(Games[[#This Row],[Team]]="","",COUNTIFS(Games[Team],Games[[#This Row],[Team]],Games[Season],Games[[#This Row],[Season]],Games[Week],"&lt;="&amp;Games[[#This Row],[Week]]))</f>
        <v>5</v>
      </c>
      <c r="T152">
        <f>IF(Games[[#This Row],[Team]]="","",_xlfn.MAXIFS(Games[Week],Games[Team],Games[[#This Row],[Team]],Games[Season],Games[[#This Row],[Season]],Games[Week],"&lt;"&amp;Games[[#This Row],[Week]]))</f>
        <v>4</v>
      </c>
      <c r="U152">
        <f>IF(Games[[#This Row],[Team]]="","",_xlfn.MAXIFS(Games[Week],Games[Team],Games[[#This Row],[Opponent]],Games[Season],Games[[#This Row],[Season]],Games[Week],"&lt;"&amp;Games[[#This Row],[Week]]))</f>
        <v>4</v>
      </c>
      <c r="V15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15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13</v>
      </c>
      <c r="X15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15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1506.1583085513428</v>
      </c>
      <c r="Z15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1571.0663062566655</v>
      </c>
      <c r="AA15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0.51883199336807329</v>
      </c>
      <c r="AB152">
        <f>IF(Games[[#This Row],[Team]]="","",Games[[#This Row],[PointsFor]]-Games[[#This Row],[PointsAgainst]])</f>
        <v>3</v>
      </c>
      <c r="AC152">
        <f>IF(Games[[#This Row],[Team]]="","",IF(Games[[#This Row],[MOV]]&gt;0,1,IF(Games[[#This Row],[MOV]]=0,0.5,0)))</f>
        <v>1</v>
      </c>
      <c r="AD152">
        <f>IF(Games[[#This Row],[Team]]="","",--(OR(AND(Games[[#This Row],[ExpectedWin]]&gt;=0.5,Games[[#This Row],[Result]]=1),AND(Games[[#This Row],[ExpectedWin]]&lt;0.5,Games[[#This Row],[Result]]=0))))</f>
        <v>1</v>
      </c>
      <c r="AE152">
        <f>IF(Games[[#This Row],[Team]]="","",-(Games[[#This Row],[Result]]*LN(Games[[#This Row],[ExpectedWin]])+(1-Games[[#This Row],[Result]])*LN(1-Games[[#This Row],[ExpectedWin]])))</f>
        <v>0.65617516042259683</v>
      </c>
      <c r="AF152">
        <f>IF(Games[[#This Row],[Team]]="","",IF(Games[[#This Row],[Season]]&gt;=2021,17,16))</f>
        <v>16</v>
      </c>
      <c r="AG152">
        <f>IF(Games[[#This Row],[Team]]="","",KMax-(KMax-KFloor)*MIN(Games[[#This Row],[GamesPlayed]],Games[[#This Row],[SeasonLen]])/Games[[#This Row],[SeasonLen]])</f>
        <v>42.9375</v>
      </c>
      <c r="AH152">
        <f>IF(Games[[#This Row],[Team]]="","",((ABS(Games[[#This Row],[MOV]])+3)^0.8)/(7.5+0.006*ABS(Games[[#This Row],[PreGmRate]]-Games[[#This Row],[OppPreGmRate]]))*IF(Games[[#This Row],[OT]]=1,0.7,1))</f>
        <v>0.37202525499410105</v>
      </c>
      <c r="AI15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2">
        <f>IF(Games[[#This Row],[Team]]="","",Games[[#This Row],[K]]*IF(Games[[#This Row],[DivG]]=1,DivMult,1)*IF(Games[[#This Row],[ConfG]]=1,ConfMult,1)*Games[[#This Row],[POMult]])</f>
        <v>48.175875000000005</v>
      </c>
      <c r="AK152">
        <f>IF(Games[[#This Row],[Team]]="","",(Games[[#This Row],[Keff]]*Games[[#This Row],[MOVMult]])*(Games[[#This Row],[Result]]-Games[[#This Row],[ExpectedWin]]))</f>
        <v>8.6238020120202599</v>
      </c>
      <c r="AL152">
        <f>IF(Games[[#This Row],[Team]]="","",Games[[#This Row],[PreGmRate]]+Games[[#This Row],[RatingChange]])</f>
        <v>1514.7821105633629</v>
      </c>
      <c r="AM152">
        <f>IF(Games[[#This Row],[Team]]="","",IF(Games[[#This Row],[Type]]="R",IF(Games[[#This Row],[Result]]&gt;0.5,1,0),0))</f>
        <v>1</v>
      </c>
      <c r="AN152">
        <f>IF(Games[[#This Row],[Team]]="","",IF(Games[[#This Row],[Type]]="R",IF(Games[[#This Row],[Result]]&lt;0.5,1,0),0))</f>
        <v>0</v>
      </c>
      <c r="AO152">
        <f>IF(Games[[#This Row],[Team]]="","",IF(Games[[#This Row],[Type]]="R",IF(Games[[#This Row],[Result]]=0.5,1,0),0))</f>
        <v>0</v>
      </c>
    </row>
    <row r="153" spans="1:41" x14ac:dyDescent="0.35">
      <c r="A153" s="8">
        <v>35344</v>
      </c>
      <c r="B153">
        <v>1996</v>
      </c>
      <c r="C153" t="s">
        <v>197</v>
      </c>
      <c r="D153" t="s">
        <v>199</v>
      </c>
      <c r="E153" t="s">
        <v>122</v>
      </c>
      <c r="F153" t="s">
        <v>106</v>
      </c>
      <c r="G153" t="s">
        <v>201</v>
      </c>
      <c r="H153">
        <v>13</v>
      </c>
      <c r="I153">
        <v>16</v>
      </c>
      <c r="J153">
        <v>1</v>
      </c>
      <c r="K15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5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5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5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53">
        <f>IF(Games[[#This Row],[Team]]="","",IF(Games[[#This Row],[Conf]]=Games[[#This Row],[OppConf]],1,0))</f>
        <v>1</v>
      </c>
      <c r="P153">
        <f>IF(Games[[#This Row],[Team]]="","",IF(AND(Games[[#This Row],[Conf]]=Games[[#This Row],[OppConf]],Games[[#This Row],[Div]]=Games[[#This Row],[OppDiv]]),1,0))</f>
        <v>1</v>
      </c>
      <c r="Q153">
        <f>IF(Games[[#This Row],[Team]]="","",_xlfn.MINIFS(Games[Date],Games[Season],Games[[#This Row],[Season]]))</f>
        <v>35309</v>
      </c>
      <c r="R153">
        <f>IF(Games[[#This Row],[Team]]="","",INT((Games[[#This Row],[Date]]-(Games[[#This Row],[SeasonStart]]-MOD(WEEKDAY(Games[[#This Row],[SeasonStart]],2)-2,7)))/7)+1)</f>
        <v>6</v>
      </c>
      <c r="S153">
        <f>IF(Games[[#This Row],[Team]]="","",COUNTIFS(Games[Team],Games[[#This Row],[Team]],Games[Season],Games[[#This Row],[Season]],Games[Week],"&lt;="&amp;Games[[#This Row],[Week]]))</f>
        <v>5</v>
      </c>
      <c r="T153">
        <f>IF(Games[[#This Row],[Team]]="","",_xlfn.MAXIFS(Games[Week],Games[Team],Games[[#This Row],[Team]],Games[Season],Games[[#This Row],[Season]],Games[Week],"&lt;"&amp;Games[[#This Row],[Week]]))</f>
        <v>4</v>
      </c>
      <c r="U153">
        <f>IF(Games[[#This Row],[Team]]="","",_xlfn.MAXIFS(Games[Week],Games[Team],Games[[#This Row],[Opponent]],Games[Season],Games[[#This Row],[Season]],Games[Week],"&lt;"&amp;Games[[#This Row],[Week]]))</f>
        <v>4</v>
      </c>
      <c r="V15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13</v>
      </c>
      <c r="W15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15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15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1571.0663062566655</v>
      </c>
      <c r="Z15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1506.1583085513428</v>
      </c>
      <c r="AA15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0.48116800663192671</v>
      </c>
      <c r="AB153">
        <f>IF(Games[[#This Row],[Team]]="","",Games[[#This Row],[PointsFor]]-Games[[#This Row],[PointsAgainst]])</f>
        <v>-3</v>
      </c>
      <c r="AC153">
        <f>IF(Games[[#This Row],[Team]]="","",IF(Games[[#This Row],[MOV]]&gt;0,1,IF(Games[[#This Row],[MOV]]=0,0.5,0)))</f>
        <v>0</v>
      </c>
      <c r="AD153">
        <f>IF(Games[[#This Row],[Team]]="","",--(OR(AND(Games[[#This Row],[ExpectedWin]]&gt;=0.5,Games[[#This Row],[Result]]=1),AND(Games[[#This Row],[ExpectedWin]]&lt;0.5,Games[[#This Row],[Result]]=0))))</f>
        <v>1</v>
      </c>
      <c r="AE153">
        <f>IF(Games[[#This Row],[Team]]="","",-(Games[[#This Row],[Result]]*LN(Games[[#This Row],[ExpectedWin]])+(1-Games[[#This Row],[Result]])*LN(1-Games[[#This Row],[ExpectedWin]])))</f>
        <v>0.65617516042259683</v>
      </c>
      <c r="AF153">
        <f>IF(Games[[#This Row],[Team]]="","",IF(Games[[#This Row],[Season]]&gt;=2021,17,16))</f>
        <v>16</v>
      </c>
      <c r="AG153">
        <f>IF(Games[[#This Row],[Team]]="","",KMax-(KMax-KFloor)*MIN(Games[[#This Row],[GamesPlayed]],Games[[#This Row],[SeasonLen]])/Games[[#This Row],[SeasonLen]])</f>
        <v>42.9375</v>
      </c>
      <c r="AH153">
        <f>IF(Games[[#This Row],[Team]]="","",((ABS(Games[[#This Row],[MOV]])+3)^0.8)/(7.5+0.006*ABS(Games[[#This Row],[PreGmRate]]-Games[[#This Row],[OppPreGmRate]]))*IF(Games[[#This Row],[OT]]=1,0.7,1))</f>
        <v>0.37202525499410105</v>
      </c>
      <c r="AI15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3">
        <f>IF(Games[[#This Row],[Team]]="","",Games[[#This Row],[K]]*IF(Games[[#This Row],[DivG]]=1,DivMult,1)*IF(Games[[#This Row],[ConfG]]=1,ConfMult,1)*Games[[#This Row],[POMult]])</f>
        <v>48.175875000000005</v>
      </c>
      <c r="AK153">
        <f>IF(Games[[#This Row],[Team]]="","",(Games[[#This Row],[Keff]]*Games[[#This Row],[MOVMult]])*(Games[[#This Row],[Result]]-Games[[#This Row],[ExpectedWin]]))</f>
        <v>-8.6238020120202599</v>
      </c>
      <c r="AL153">
        <f>IF(Games[[#This Row],[Team]]="","",Games[[#This Row],[PreGmRate]]+Games[[#This Row],[RatingChange]])</f>
        <v>1562.4425042446453</v>
      </c>
      <c r="AM153">
        <f>IF(Games[[#This Row],[Team]]="","",IF(Games[[#This Row],[Type]]="R",IF(Games[[#This Row],[Result]]&gt;0.5,1,0),0))</f>
        <v>0</v>
      </c>
      <c r="AN153">
        <f>IF(Games[[#This Row],[Team]]="","",IF(Games[[#This Row],[Type]]="R",IF(Games[[#This Row],[Result]]&lt;0.5,1,0),0))</f>
        <v>1</v>
      </c>
      <c r="AO153">
        <f>IF(Games[[#This Row],[Team]]="","",IF(Games[[#This Row],[Type]]="R",IF(Games[[#This Row],[Result]]=0.5,1,0),0))</f>
        <v>0</v>
      </c>
    </row>
    <row r="154" spans="1:41" x14ac:dyDescent="0.35">
      <c r="A154" s="8">
        <v>35344</v>
      </c>
      <c r="B154">
        <v>1996</v>
      </c>
      <c r="C154" t="s">
        <v>197</v>
      </c>
      <c r="D154" t="s">
        <v>199</v>
      </c>
      <c r="E154" t="s">
        <v>148</v>
      </c>
      <c r="F154" t="s">
        <v>150</v>
      </c>
      <c r="G154" t="s">
        <v>201</v>
      </c>
      <c r="H154">
        <v>28</v>
      </c>
      <c r="I154">
        <v>11</v>
      </c>
      <c r="J154">
        <v>0</v>
      </c>
      <c r="K15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5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5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5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54">
        <f>IF(Games[[#This Row],[Team]]="","",IF(Games[[#This Row],[Conf]]=Games[[#This Row],[OppConf]],1,0))</f>
        <v>1</v>
      </c>
      <c r="P154">
        <f>IF(Games[[#This Row],[Team]]="","",IF(AND(Games[[#This Row],[Conf]]=Games[[#This Row],[OppConf]],Games[[#This Row],[Div]]=Games[[#This Row],[OppDiv]]),1,0))</f>
        <v>1</v>
      </c>
      <c r="Q154">
        <f>IF(Games[[#This Row],[Team]]="","",_xlfn.MINIFS(Games[Date],Games[Season],Games[[#This Row],[Season]]))</f>
        <v>35309</v>
      </c>
      <c r="R154">
        <f>IF(Games[[#This Row],[Team]]="","",INT((Games[[#This Row],[Date]]-(Games[[#This Row],[SeasonStart]]-MOD(WEEKDAY(Games[[#This Row],[SeasonStart]],2)-2,7)))/7)+1)</f>
        <v>6</v>
      </c>
      <c r="S154">
        <f>IF(Games[[#This Row],[Team]]="","",COUNTIFS(Games[Team],Games[[#This Row],[Team]],Games[Season],Games[[#This Row],[Season]],Games[Week],"&lt;="&amp;Games[[#This Row],[Week]]))</f>
        <v>5</v>
      </c>
      <c r="T154">
        <f>IF(Games[[#This Row],[Team]]="","",_xlfn.MAXIFS(Games[Week],Games[Team],Games[[#This Row],[Team]],Games[Season],Games[[#This Row],[Season]],Games[Week],"&lt;"&amp;Games[[#This Row],[Week]]))</f>
        <v>5</v>
      </c>
      <c r="U154">
        <f>IF(Games[[#This Row],[Team]]="","",_xlfn.MAXIFS(Games[Week],Games[Team],Games[[#This Row],[Opponent]],Games[Season],Games[[#This Row],[Season]],Games[Week],"&lt;"&amp;Games[[#This Row],[Week]]))</f>
        <v>5</v>
      </c>
      <c r="V15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5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5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5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1563.0960500692499</v>
      </c>
      <c r="Z15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1446.2488307662654</v>
      </c>
      <c r="AA15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0.564184256470732</v>
      </c>
      <c r="AB154">
        <f>IF(Games[[#This Row],[Team]]="","",Games[[#This Row],[PointsFor]]-Games[[#This Row],[PointsAgainst]])</f>
        <v>17</v>
      </c>
      <c r="AC154">
        <f>IF(Games[[#This Row],[Team]]="","",IF(Games[[#This Row],[MOV]]&gt;0,1,IF(Games[[#This Row],[MOV]]=0,0.5,0)))</f>
        <v>1</v>
      </c>
      <c r="AD154">
        <f>IF(Games[[#This Row],[Team]]="","",--(OR(AND(Games[[#This Row],[ExpectedWin]]&gt;=0.5,Games[[#This Row],[Result]]=1),AND(Games[[#This Row],[ExpectedWin]]&lt;0.5,Games[[#This Row],[Result]]=0))))</f>
        <v>1</v>
      </c>
      <c r="AE154">
        <f>IF(Games[[#This Row],[Team]]="","",-(Games[[#This Row],[Result]]*LN(Games[[#This Row],[ExpectedWin]])+(1-Games[[#This Row],[Result]])*LN(1-Games[[#This Row],[ExpectedWin]])))</f>
        <v>0.57237438496746185</v>
      </c>
      <c r="AF154">
        <f>IF(Games[[#This Row],[Team]]="","",IF(Games[[#This Row],[Season]]&gt;=2021,17,16))</f>
        <v>16</v>
      </c>
      <c r="AG154">
        <f>IF(Games[[#This Row],[Team]]="","",KMax-(KMax-KFloor)*MIN(Games[[#This Row],[GamesPlayed]],Games[[#This Row],[SeasonLen]])/Games[[#This Row],[SeasonLen]])</f>
        <v>42.9375</v>
      </c>
      <c r="AH154">
        <f>IF(Games[[#This Row],[Team]]="","",((ABS(Games[[#This Row],[MOV]])+3)^0.8)/(7.5+0.006*ABS(Games[[#This Row],[PreGmRate]]-Games[[#This Row],[OppPreGmRate]]))*IF(Games[[#This Row],[OT]]=1,0.7,1))</f>
        <v>1.3395310119423613</v>
      </c>
      <c r="AI15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4">
        <f>IF(Games[[#This Row],[Team]]="","",Games[[#This Row],[K]]*IF(Games[[#This Row],[DivG]]=1,DivMult,1)*IF(Games[[#This Row],[ConfG]]=1,ConfMult,1)*Games[[#This Row],[POMult]])</f>
        <v>48.175875000000005</v>
      </c>
      <c r="AK154">
        <f>IF(Games[[#This Row],[Team]]="","",(Games[[#This Row],[Keff]]*Games[[#This Row],[MOVMult]])*(Games[[#This Row],[Result]]-Games[[#This Row],[ExpectedWin]]))</f>
        <v>28.124531627915545</v>
      </c>
      <c r="AL154">
        <f>IF(Games[[#This Row],[Team]]="","",Games[[#This Row],[PreGmRate]]+Games[[#This Row],[RatingChange]])</f>
        <v>1591.2205816971655</v>
      </c>
      <c r="AM154">
        <f>IF(Games[[#This Row],[Team]]="","",IF(Games[[#This Row],[Type]]="R",IF(Games[[#This Row],[Result]]&gt;0.5,1,0),0))</f>
        <v>1</v>
      </c>
      <c r="AN154">
        <f>IF(Games[[#This Row],[Team]]="","",IF(Games[[#This Row],[Type]]="R",IF(Games[[#This Row],[Result]]&lt;0.5,1,0),0))</f>
        <v>0</v>
      </c>
      <c r="AO154">
        <f>IF(Games[[#This Row],[Team]]="","",IF(Games[[#This Row],[Type]]="R",IF(Games[[#This Row],[Result]]=0.5,1,0),0))</f>
        <v>0</v>
      </c>
    </row>
    <row r="155" spans="1:41" x14ac:dyDescent="0.35">
      <c r="A155" s="8">
        <v>35344</v>
      </c>
      <c r="B155">
        <v>1996</v>
      </c>
      <c r="C155" t="s">
        <v>197</v>
      </c>
      <c r="D155" t="s">
        <v>199</v>
      </c>
      <c r="E155" t="s">
        <v>150</v>
      </c>
      <c r="F155" t="s">
        <v>148</v>
      </c>
      <c r="G155" t="s">
        <v>200</v>
      </c>
      <c r="H155">
        <v>11</v>
      </c>
      <c r="I155">
        <v>28</v>
      </c>
      <c r="J155">
        <v>0</v>
      </c>
      <c r="K15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5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5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5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55">
        <f>IF(Games[[#This Row],[Team]]="","",IF(Games[[#This Row],[Conf]]=Games[[#This Row],[OppConf]],1,0))</f>
        <v>1</v>
      </c>
      <c r="P155">
        <f>IF(Games[[#This Row],[Team]]="","",IF(AND(Games[[#This Row],[Conf]]=Games[[#This Row],[OppConf]],Games[[#This Row],[Div]]=Games[[#This Row],[OppDiv]]),1,0))</f>
        <v>1</v>
      </c>
      <c r="Q155">
        <f>IF(Games[[#This Row],[Team]]="","",_xlfn.MINIFS(Games[Date],Games[Season],Games[[#This Row],[Season]]))</f>
        <v>35309</v>
      </c>
      <c r="R155">
        <f>IF(Games[[#This Row],[Team]]="","",INT((Games[[#This Row],[Date]]-(Games[[#This Row],[SeasonStart]]-MOD(WEEKDAY(Games[[#This Row],[SeasonStart]],2)-2,7)))/7)+1)</f>
        <v>6</v>
      </c>
      <c r="S155">
        <f>IF(Games[[#This Row],[Team]]="","",COUNTIFS(Games[Team],Games[[#This Row],[Team]],Games[Season],Games[[#This Row],[Season]],Games[Week],"&lt;="&amp;Games[[#This Row],[Week]]))</f>
        <v>5</v>
      </c>
      <c r="T155">
        <f>IF(Games[[#This Row],[Team]]="","",_xlfn.MAXIFS(Games[Week],Games[Team],Games[[#This Row],[Team]],Games[Season],Games[[#This Row],[Season]],Games[Week],"&lt;"&amp;Games[[#This Row],[Week]]))</f>
        <v>5</v>
      </c>
      <c r="U155">
        <f>IF(Games[[#This Row],[Team]]="","",_xlfn.MAXIFS(Games[Week],Games[Team],Games[[#This Row],[Opponent]],Games[Season],Games[[#This Row],[Season]],Games[Week],"&lt;"&amp;Games[[#This Row],[Week]]))</f>
        <v>5</v>
      </c>
      <c r="V15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5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5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5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1446.2488307662654</v>
      </c>
      <c r="Z15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1563.0960500692499</v>
      </c>
      <c r="AA15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0.43581574352926811</v>
      </c>
      <c r="AB155">
        <f>IF(Games[[#This Row],[Team]]="","",Games[[#This Row],[PointsFor]]-Games[[#This Row],[PointsAgainst]])</f>
        <v>-17</v>
      </c>
      <c r="AC155">
        <f>IF(Games[[#This Row],[Team]]="","",IF(Games[[#This Row],[MOV]]&gt;0,1,IF(Games[[#This Row],[MOV]]=0,0.5,0)))</f>
        <v>0</v>
      </c>
      <c r="AD155">
        <f>IF(Games[[#This Row],[Team]]="","",--(OR(AND(Games[[#This Row],[ExpectedWin]]&gt;=0.5,Games[[#This Row],[Result]]=1),AND(Games[[#This Row],[ExpectedWin]]&lt;0.5,Games[[#This Row],[Result]]=0))))</f>
        <v>1</v>
      </c>
      <c r="AE155">
        <f>IF(Games[[#This Row],[Team]]="","",-(Games[[#This Row],[Result]]*LN(Games[[#This Row],[ExpectedWin]])+(1-Games[[#This Row],[Result]])*LN(1-Games[[#This Row],[ExpectedWin]])))</f>
        <v>0.57237438496746196</v>
      </c>
      <c r="AF155">
        <f>IF(Games[[#This Row],[Team]]="","",IF(Games[[#This Row],[Season]]&gt;=2021,17,16))</f>
        <v>16</v>
      </c>
      <c r="AG155">
        <f>IF(Games[[#This Row],[Team]]="","",KMax-(KMax-KFloor)*MIN(Games[[#This Row],[GamesPlayed]],Games[[#This Row],[SeasonLen]])/Games[[#This Row],[SeasonLen]])</f>
        <v>42.9375</v>
      </c>
      <c r="AH155">
        <f>IF(Games[[#This Row],[Team]]="","",((ABS(Games[[#This Row],[MOV]])+3)^0.8)/(7.5+0.006*ABS(Games[[#This Row],[PreGmRate]]-Games[[#This Row],[OppPreGmRate]]))*IF(Games[[#This Row],[OT]]=1,0.7,1))</f>
        <v>1.3395310119423613</v>
      </c>
      <c r="AI15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5">
        <f>IF(Games[[#This Row],[Team]]="","",Games[[#This Row],[K]]*IF(Games[[#This Row],[DivG]]=1,DivMult,1)*IF(Games[[#This Row],[ConfG]]=1,ConfMult,1)*Games[[#This Row],[POMult]])</f>
        <v>48.175875000000005</v>
      </c>
      <c r="AK155">
        <f>IF(Games[[#This Row],[Team]]="","",(Games[[#This Row],[Keff]]*Games[[#This Row],[MOVMult]])*(Games[[#This Row],[Result]]-Games[[#This Row],[ExpectedWin]]))</f>
        <v>-28.124531627915552</v>
      </c>
      <c r="AL155">
        <f>IF(Games[[#This Row],[Team]]="","",Games[[#This Row],[PreGmRate]]+Games[[#This Row],[RatingChange]])</f>
        <v>1418.1242991383499</v>
      </c>
      <c r="AM155">
        <f>IF(Games[[#This Row],[Team]]="","",IF(Games[[#This Row],[Type]]="R",IF(Games[[#This Row],[Result]]&gt;0.5,1,0),0))</f>
        <v>0</v>
      </c>
      <c r="AN155">
        <f>IF(Games[[#This Row],[Team]]="","",IF(Games[[#This Row],[Type]]="R",IF(Games[[#This Row],[Result]]&lt;0.5,1,0),0))</f>
        <v>1</v>
      </c>
      <c r="AO155">
        <f>IF(Games[[#This Row],[Team]]="","",IF(Games[[#This Row],[Type]]="R",IF(Games[[#This Row],[Result]]=0.5,1,0),0))</f>
        <v>0</v>
      </c>
    </row>
    <row r="156" spans="1:41" x14ac:dyDescent="0.35">
      <c r="A156" s="8">
        <v>35344</v>
      </c>
      <c r="B156">
        <v>1996</v>
      </c>
      <c r="C156" t="s">
        <v>197</v>
      </c>
      <c r="D156" t="s">
        <v>199</v>
      </c>
      <c r="E156" t="s">
        <v>116</v>
      </c>
      <c r="F156" t="s">
        <v>145</v>
      </c>
      <c r="G156" t="s">
        <v>200</v>
      </c>
      <c r="H156">
        <v>28</v>
      </c>
      <c r="I156">
        <v>17</v>
      </c>
      <c r="J156">
        <v>0</v>
      </c>
      <c r="K15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5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5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5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56">
        <f>IF(Games[[#This Row],[Team]]="","",IF(Games[[#This Row],[Conf]]=Games[[#This Row],[OppConf]],1,0))</f>
        <v>1</v>
      </c>
      <c r="P156">
        <f>IF(Games[[#This Row],[Team]]="","",IF(AND(Games[[#This Row],[Conf]]=Games[[#This Row],[OppConf]],Games[[#This Row],[Div]]=Games[[#This Row],[OppDiv]]),1,0))</f>
        <v>1</v>
      </c>
      <c r="Q156">
        <f>IF(Games[[#This Row],[Team]]="","",_xlfn.MINIFS(Games[Date],Games[Season],Games[[#This Row],[Season]]))</f>
        <v>35309</v>
      </c>
      <c r="R156">
        <f>IF(Games[[#This Row],[Team]]="","",INT((Games[[#This Row],[Date]]-(Games[[#This Row],[SeasonStart]]-MOD(WEEKDAY(Games[[#This Row],[SeasonStart]],2)-2,7)))/7)+1)</f>
        <v>6</v>
      </c>
      <c r="S156">
        <f>IF(Games[[#This Row],[Team]]="","",COUNTIFS(Games[Team],Games[[#This Row],[Team]],Games[Season],Games[[#This Row],[Season]],Games[Week],"&lt;="&amp;Games[[#This Row],[Week]]))</f>
        <v>6</v>
      </c>
      <c r="T156">
        <f>IF(Games[[#This Row],[Team]]="","",_xlfn.MAXIFS(Games[Week],Games[Team],Games[[#This Row],[Team]],Games[Season],Games[[#This Row],[Season]],Games[Week],"&lt;"&amp;Games[[#This Row],[Week]]))</f>
        <v>5</v>
      </c>
      <c r="U156">
        <f>IF(Games[[#This Row],[Team]]="","",_xlfn.MAXIFS(Games[Week],Games[Team],Games[[#This Row],[Opponent]],Games[Season],Games[[#This Row],[Season]],Games[Week],"&lt;"&amp;Games[[#This Row],[Week]]))</f>
        <v>5</v>
      </c>
      <c r="V15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5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5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5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1569.0080844514855</v>
      </c>
      <c r="Z15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1551.4746767556599</v>
      </c>
      <c r="AA15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0.6260705040074348</v>
      </c>
      <c r="AB156">
        <f>IF(Games[[#This Row],[Team]]="","",Games[[#This Row],[PointsFor]]-Games[[#This Row],[PointsAgainst]])</f>
        <v>11</v>
      </c>
      <c r="AC156">
        <f>IF(Games[[#This Row],[Team]]="","",IF(Games[[#This Row],[MOV]]&gt;0,1,IF(Games[[#This Row],[MOV]]=0,0.5,0)))</f>
        <v>1</v>
      </c>
      <c r="AD156">
        <f>IF(Games[[#This Row],[Team]]="","",--(OR(AND(Games[[#This Row],[ExpectedWin]]&gt;=0.5,Games[[#This Row],[Result]]=1),AND(Games[[#This Row],[ExpectedWin]]&lt;0.5,Games[[#This Row],[Result]]=0))))</f>
        <v>1</v>
      </c>
      <c r="AE156">
        <f>IF(Games[[#This Row],[Team]]="","",-(Games[[#This Row],[Result]]*LN(Games[[#This Row],[ExpectedWin]])+(1-Games[[#This Row],[Result]])*LN(1-Games[[#This Row],[ExpectedWin]])))</f>
        <v>0.46829228801393419</v>
      </c>
      <c r="AF156">
        <f>IF(Games[[#This Row],[Team]]="","",IF(Games[[#This Row],[Season]]&gt;=2021,17,16))</f>
        <v>16</v>
      </c>
      <c r="AG156">
        <f>IF(Games[[#This Row],[Team]]="","",KMax-(KMax-KFloor)*MIN(Games[[#This Row],[GamesPlayed]],Games[[#This Row],[SeasonLen]])/Games[[#This Row],[SeasonLen]])</f>
        <v>42.325000000000003</v>
      </c>
      <c r="AH156">
        <f>IF(Games[[#This Row],[Team]]="","",((ABS(Games[[#This Row],[MOV]])+3)^0.8)/(7.5+0.006*ABS(Games[[#This Row],[PreGmRate]]-Games[[#This Row],[OppPreGmRate]]))*IF(Games[[#This Row],[OT]]=1,0.7,1))</f>
        <v>1.0859048267614162</v>
      </c>
      <c r="AI15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6">
        <f>IF(Games[[#This Row],[Team]]="","",Games[[#This Row],[K]]*IF(Games[[#This Row],[DivG]]=1,DivMult,1)*IF(Games[[#This Row],[ConfG]]=1,ConfMult,1)*Games[[#This Row],[POMult]])</f>
        <v>47.488650000000007</v>
      </c>
      <c r="AK156">
        <f>IF(Games[[#This Row],[Team]]="","",(Games[[#This Row],[Keff]]*Games[[#This Row],[MOVMult]])*(Games[[#This Row],[Result]]-Games[[#This Row],[ExpectedWin]]))</f>
        <v>19.282853928486702</v>
      </c>
      <c r="AL156">
        <f>IF(Games[[#This Row],[Team]]="","",Games[[#This Row],[PreGmRate]]+Games[[#This Row],[RatingChange]])</f>
        <v>1588.2909383799722</v>
      </c>
      <c r="AM156">
        <f>IF(Games[[#This Row],[Team]]="","",IF(Games[[#This Row],[Type]]="R",IF(Games[[#This Row],[Result]]&gt;0.5,1,0),0))</f>
        <v>1</v>
      </c>
      <c r="AN156">
        <f>IF(Games[[#This Row],[Team]]="","",IF(Games[[#This Row],[Type]]="R",IF(Games[[#This Row],[Result]]&lt;0.5,1,0),0))</f>
        <v>0</v>
      </c>
      <c r="AO156">
        <f>IF(Games[[#This Row],[Team]]="","",IF(Games[[#This Row],[Type]]="R",IF(Games[[#This Row],[Result]]=0.5,1,0),0))</f>
        <v>0</v>
      </c>
    </row>
    <row r="157" spans="1:41" x14ac:dyDescent="0.35">
      <c r="A157" s="8">
        <v>35344</v>
      </c>
      <c r="B157">
        <v>1996</v>
      </c>
      <c r="C157" t="s">
        <v>197</v>
      </c>
      <c r="D157" t="s">
        <v>199</v>
      </c>
      <c r="E157" t="s">
        <v>145</v>
      </c>
      <c r="F157" t="s">
        <v>116</v>
      </c>
      <c r="G157" t="s">
        <v>201</v>
      </c>
      <c r="H157">
        <v>17</v>
      </c>
      <c r="I157">
        <v>28</v>
      </c>
      <c r="J157">
        <v>0</v>
      </c>
      <c r="K15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5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5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5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57">
        <f>IF(Games[[#This Row],[Team]]="","",IF(Games[[#This Row],[Conf]]=Games[[#This Row],[OppConf]],1,0))</f>
        <v>1</v>
      </c>
      <c r="P157">
        <f>IF(Games[[#This Row],[Team]]="","",IF(AND(Games[[#This Row],[Conf]]=Games[[#This Row],[OppConf]],Games[[#This Row],[Div]]=Games[[#This Row],[OppDiv]]),1,0))</f>
        <v>1</v>
      </c>
      <c r="Q157">
        <f>IF(Games[[#This Row],[Team]]="","",_xlfn.MINIFS(Games[Date],Games[Season],Games[[#This Row],[Season]]))</f>
        <v>35309</v>
      </c>
      <c r="R157">
        <f>IF(Games[[#This Row],[Team]]="","",INT((Games[[#This Row],[Date]]-(Games[[#This Row],[SeasonStart]]-MOD(WEEKDAY(Games[[#This Row],[SeasonStart]],2)-2,7)))/7)+1)</f>
        <v>6</v>
      </c>
      <c r="S157">
        <f>IF(Games[[#This Row],[Team]]="","",COUNTIFS(Games[Team],Games[[#This Row],[Team]],Games[Season],Games[[#This Row],[Season]],Games[Week],"&lt;="&amp;Games[[#This Row],[Week]]))</f>
        <v>6</v>
      </c>
      <c r="T157">
        <f>IF(Games[[#This Row],[Team]]="","",_xlfn.MAXIFS(Games[Week],Games[Team],Games[[#This Row],[Team]],Games[Season],Games[[#This Row],[Season]],Games[Week],"&lt;"&amp;Games[[#This Row],[Week]]))</f>
        <v>5</v>
      </c>
      <c r="U157">
        <f>IF(Games[[#This Row],[Team]]="","",_xlfn.MAXIFS(Games[Week],Games[Team],Games[[#This Row],[Opponent]],Games[Season],Games[[#This Row],[Season]],Games[Week],"&lt;"&amp;Games[[#This Row],[Week]]))</f>
        <v>5</v>
      </c>
      <c r="V15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5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5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5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1551.4746767556599</v>
      </c>
      <c r="Z15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1569.0080844514855</v>
      </c>
      <c r="AA15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0.37392949599256525</v>
      </c>
      <c r="AB157">
        <f>IF(Games[[#This Row],[Team]]="","",Games[[#This Row],[PointsFor]]-Games[[#This Row],[PointsAgainst]])</f>
        <v>-11</v>
      </c>
      <c r="AC157">
        <f>IF(Games[[#This Row],[Team]]="","",IF(Games[[#This Row],[MOV]]&gt;0,1,IF(Games[[#This Row],[MOV]]=0,0.5,0)))</f>
        <v>0</v>
      </c>
      <c r="AD157">
        <f>IF(Games[[#This Row],[Team]]="","",--(OR(AND(Games[[#This Row],[ExpectedWin]]&gt;=0.5,Games[[#This Row],[Result]]=1),AND(Games[[#This Row],[ExpectedWin]]&lt;0.5,Games[[#This Row],[Result]]=0))))</f>
        <v>1</v>
      </c>
      <c r="AE157">
        <f>IF(Games[[#This Row],[Team]]="","",-(Games[[#This Row],[Result]]*LN(Games[[#This Row],[ExpectedWin]])+(1-Games[[#This Row],[Result]])*LN(1-Games[[#This Row],[ExpectedWin]])))</f>
        <v>0.46829228801393419</v>
      </c>
      <c r="AF157">
        <f>IF(Games[[#This Row],[Team]]="","",IF(Games[[#This Row],[Season]]&gt;=2021,17,16))</f>
        <v>16</v>
      </c>
      <c r="AG157">
        <f>IF(Games[[#This Row],[Team]]="","",KMax-(KMax-KFloor)*MIN(Games[[#This Row],[GamesPlayed]],Games[[#This Row],[SeasonLen]])/Games[[#This Row],[SeasonLen]])</f>
        <v>42.325000000000003</v>
      </c>
      <c r="AH157">
        <f>IF(Games[[#This Row],[Team]]="","",((ABS(Games[[#This Row],[MOV]])+3)^0.8)/(7.5+0.006*ABS(Games[[#This Row],[PreGmRate]]-Games[[#This Row],[OppPreGmRate]]))*IF(Games[[#This Row],[OT]]=1,0.7,1))</f>
        <v>1.0859048267614162</v>
      </c>
      <c r="AI15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7">
        <f>IF(Games[[#This Row],[Team]]="","",Games[[#This Row],[K]]*IF(Games[[#This Row],[DivG]]=1,DivMult,1)*IF(Games[[#This Row],[ConfG]]=1,ConfMult,1)*Games[[#This Row],[POMult]])</f>
        <v>47.488650000000007</v>
      </c>
      <c r="AK157">
        <f>IF(Games[[#This Row],[Team]]="","",(Games[[#This Row],[Keff]]*Games[[#This Row],[MOVMult]])*(Games[[#This Row],[Result]]-Games[[#This Row],[ExpectedWin]]))</f>
        <v>-19.282853928486706</v>
      </c>
      <c r="AL157">
        <f>IF(Games[[#This Row],[Team]]="","",Games[[#This Row],[PreGmRate]]+Games[[#This Row],[RatingChange]])</f>
        <v>1532.1918228271732</v>
      </c>
      <c r="AM157">
        <f>IF(Games[[#This Row],[Team]]="","",IF(Games[[#This Row],[Type]]="R",IF(Games[[#This Row],[Result]]&gt;0.5,1,0),0))</f>
        <v>0</v>
      </c>
      <c r="AN157">
        <f>IF(Games[[#This Row],[Team]]="","",IF(Games[[#This Row],[Type]]="R",IF(Games[[#This Row],[Result]]&lt;0.5,1,0),0))</f>
        <v>1</v>
      </c>
      <c r="AO157">
        <f>IF(Games[[#This Row],[Team]]="","",IF(Games[[#This Row],[Type]]="R",IF(Games[[#This Row],[Result]]=0.5,1,0),0))</f>
        <v>0</v>
      </c>
    </row>
    <row r="158" spans="1:41" x14ac:dyDescent="0.35">
      <c r="A158" s="8">
        <v>35344</v>
      </c>
      <c r="B158">
        <v>1996</v>
      </c>
      <c r="C158" t="s">
        <v>197</v>
      </c>
      <c r="D158" t="s">
        <v>199</v>
      </c>
      <c r="E158" t="s">
        <v>134</v>
      </c>
      <c r="F158" t="s">
        <v>124</v>
      </c>
      <c r="G158" t="s">
        <v>200</v>
      </c>
      <c r="H158">
        <v>17</v>
      </c>
      <c r="I158">
        <v>13</v>
      </c>
      <c r="J158">
        <v>0</v>
      </c>
      <c r="K15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5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5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5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58">
        <f>IF(Games[[#This Row],[Team]]="","",IF(Games[[#This Row],[Conf]]=Games[[#This Row],[OppConf]],1,0))</f>
        <v>0</v>
      </c>
      <c r="P158">
        <f>IF(Games[[#This Row],[Team]]="","",IF(AND(Games[[#This Row],[Conf]]=Games[[#This Row],[OppConf]],Games[[#This Row],[Div]]=Games[[#This Row],[OppDiv]]),1,0))</f>
        <v>0</v>
      </c>
      <c r="Q158">
        <f>IF(Games[[#This Row],[Team]]="","",_xlfn.MINIFS(Games[Date],Games[Season],Games[[#This Row],[Season]]))</f>
        <v>35309</v>
      </c>
      <c r="R158">
        <f>IF(Games[[#This Row],[Team]]="","",INT((Games[[#This Row],[Date]]-(Games[[#This Row],[SeasonStart]]-MOD(WEEKDAY(Games[[#This Row],[SeasonStart]],2)-2,7)))/7)+1)</f>
        <v>6</v>
      </c>
      <c r="S158">
        <f>IF(Games[[#This Row],[Team]]="","",COUNTIFS(Games[Team],Games[[#This Row],[Team]],Games[Season],Games[[#This Row],[Season]],Games[Week],"&lt;="&amp;Games[[#This Row],[Week]]))</f>
        <v>6</v>
      </c>
      <c r="T158">
        <f>IF(Games[[#This Row],[Team]]="","",_xlfn.MAXIFS(Games[Week],Games[Team],Games[[#This Row],[Team]],Games[Season],Games[[#This Row],[Season]],Games[Week],"&lt;"&amp;Games[[#This Row],[Week]]))</f>
        <v>5</v>
      </c>
      <c r="U158">
        <f>IF(Games[[#This Row],[Team]]="","",_xlfn.MAXIFS(Games[Week],Games[Team],Games[[#This Row],[Opponent]],Games[Season],Games[[#This Row],[Season]],Games[Week],"&lt;"&amp;Games[[#This Row],[Week]]))</f>
        <v>5</v>
      </c>
      <c r="V15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5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5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5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1390.3824817102293</v>
      </c>
      <c r="Z15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1491.3907744313135</v>
      </c>
      <c r="AA15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0.4583504458849314</v>
      </c>
      <c r="AB158">
        <f>IF(Games[[#This Row],[Team]]="","",Games[[#This Row],[PointsFor]]-Games[[#This Row],[PointsAgainst]])</f>
        <v>4</v>
      </c>
      <c r="AC158">
        <f>IF(Games[[#This Row],[Team]]="","",IF(Games[[#This Row],[MOV]]&gt;0,1,IF(Games[[#This Row],[MOV]]=0,0.5,0)))</f>
        <v>1</v>
      </c>
      <c r="AD158">
        <f>IF(Games[[#This Row],[Team]]="","",--(OR(AND(Games[[#This Row],[ExpectedWin]]&gt;=0.5,Games[[#This Row],[Result]]=1),AND(Games[[#This Row],[ExpectedWin]]&lt;0.5,Games[[#This Row],[Result]]=0))))</f>
        <v>0</v>
      </c>
      <c r="AE158">
        <f>IF(Games[[#This Row],[Team]]="","",-(Games[[#This Row],[Result]]*LN(Games[[#This Row],[ExpectedWin]])+(1-Games[[#This Row],[Result]])*LN(1-Games[[#This Row],[ExpectedWin]])))</f>
        <v>0.78012122177035004</v>
      </c>
      <c r="AF158">
        <f>IF(Games[[#This Row],[Team]]="","",IF(Games[[#This Row],[Season]]&gt;=2021,17,16))</f>
        <v>16</v>
      </c>
      <c r="AG158">
        <f>IF(Games[[#This Row],[Team]]="","",KMax-(KMax-KFloor)*MIN(Games[[#This Row],[GamesPlayed]],Games[[#This Row],[SeasonLen]])/Games[[#This Row],[SeasonLen]])</f>
        <v>42.325000000000003</v>
      </c>
      <c r="AH158">
        <f>IF(Games[[#This Row],[Team]]="","",((ABS(Games[[#This Row],[MOV]])+3)^0.8)/(7.5+0.006*ABS(Games[[#This Row],[PreGmRate]]-Games[[#This Row],[OppPreGmRate]]))*IF(Games[[#This Row],[OT]]=1,0.7,1))</f>
        <v>0.58515263739917156</v>
      </c>
      <c r="AI15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8">
        <f>IF(Games[[#This Row],[Team]]="","",Games[[#This Row],[K]]*IF(Games[[#This Row],[DivG]]=1,DivMult,1)*IF(Games[[#This Row],[ConfG]]=1,ConfMult,1)*Games[[#This Row],[POMult]])</f>
        <v>42.325000000000003</v>
      </c>
      <c r="AK158">
        <f>IF(Games[[#This Row],[Team]]="","",(Games[[#This Row],[Keff]]*Games[[#This Row],[MOVMult]])*(Games[[#This Row],[Result]]-Games[[#This Row],[ExpectedWin]]))</f>
        <v>13.414809926903111</v>
      </c>
      <c r="AL158">
        <f>IF(Games[[#This Row],[Team]]="","",Games[[#This Row],[PreGmRate]]+Games[[#This Row],[RatingChange]])</f>
        <v>1403.7972916371325</v>
      </c>
      <c r="AM158">
        <f>IF(Games[[#This Row],[Team]]="","",IF(Games[[#This Row],[Type]]="R",IF(Games[[#This Row],[Result]]&gt;0.5,1,0),0))</f>
        <v>1</v>
      </c>
      <c r="AN158">
        <f>IF(Games[[#This Row],[Team]]="","",IF(Games[[#This Row],[Type]]="R",IF(Games[[#This Row],[Result]]&lt;0.5,1,0),0))</f>
        <v>0</v>
      </c>
      <c r="AO158">
        <f>IF(Games[[#This Row],[Team]]="","",IF(Games[[#This Row],[Type]]="R",IF(Games[[#This Row],[Result]]=0.5,1,0),0))</f>
        <v>0</v>
      </c>
    </row>
    <row r="159" spans="1:41" x14ac:dyDescent="0.35">
      <c r="A159" s="8">
        <v>35344</v>
      </c>
      <c r="B159">
        <v>1996</v>
      </c>
      <c r="C159" t="s">
        <v>197</v>
      </c>
      <c r="D159" t="s">
        <v>199</v>
      </c>
      <c r="E159" t="s">
        <v>124</v>
      </c>
      <c r="F159" t="s">
        <v>134</v>
      </c>
      <c r="G159" t="s">
        <v>201</v>
      </c>
      <c r="H159">
        <v>13</v>
      </c>
      <c r="I159">
        <v>17</v>
      </c>
      <c r="J159">
        <v>0</v>
      </c>
      <c r="K15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5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5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5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59">
        <f>IF(Games[[#This Row],[Team]]="","",IF(Games[[#This Row],[Conf]]=Games[[#This Row],[OppConf]],1,0))</f>
        <v>0</v>
      </c>
      <c r="P159">
        <f>IF(Games[[#This Row],[Team]]="","",IF(AND(Games[[#This Row],[Conf]]=Games[[#This Row],[OppConf]],Games[[#This Row],[Div]]=Games[[#This Row],[OppDiv]]),1,0))</f>
        <v>0</v>
      </c>
      <c r="Q159">
        <f>IF(Games[[#This Row],[Team]]="","",_xlfn.MINIFS(Games[Date],Games[Season],Games[[#This Row],[Season]]))</f>
        <v>35309</v>
      </c>
      <c r="R159">
        <f>IF(Games[[#This Row],[Team]]="","",INT((Games[[#This Row],[Date]]-(Games[[#This Row],[SeasonStart]]-MOD(WEEKDAY(Games[[#This Row],[SeasonStart]],2)-2,7)))/7)+1)</f>
        <v>6</v>
      </c>
      <c r="S159">
        <f>IF(Games[[#This Row],[Team]]="","",COUNTIFS(Games[Team],Games[[#This Row],[Team]],Games[Season],Games[[#This Row],[Season]],Games[Week],"&lt;="&amp;Games[[#This Row],[Week]]))</f>
        <v>6</v>
      </c>
      <c r="T159">
        <f>IF(Games[[#This Row],[Team]]="","",_xlfn.MAXIFS(Games[Week],Games[Team],Games[[#This Row],[Team]],Games[Season],Games[[#This Row],[Season]],Games[Week],"&lt;"&amp;Games[[#This Row],[Week]]))</f>
        <v>5</v>
      </c>
      <c r="U159">
        <f>IF(Games[[#This Row],[Team]]="","",_xlfn.MAXIFS(Games[Week],Games[Team],Games[[#This Row],[Opponent]],Games[Season],Games[[#This Row],[Season]],Games[Week],"&lt;"&amp;Games[[#This Row],[Week]]))</f>
        <v>5</v>
      </c>
      <c r="V15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5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5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5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1491.3907744313135</v>
      </c>
      <c r="Z15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1390.3824817102293</v>
      </c>
      <c r="AA15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0.54164955411506865</v>
      </c>
      <c r="AB159">
        <f>IF(Games[[#This Row],[Team]]="","",Games[[#This Row],[PointsFor]]-Games[[#This Row],[PointsAgainst]])</f>
        <v>-4</v>
      </c>
      <c r="AC159">
        <f>IF(Games[[#This Row],[Team]]="","",IF(Games[[#This Row],[MOV]]&gt;0,1,IF(Games[[#This Row],[MOV]]=0,0.5,0)))</f>
        <v>0</v>
      </c>
      <c r="AD159">
        <f>IF(Games[[#This Row],[Team]]="","",--(OR(AND(Games[[#This Row],[ExpectedWin]]&gt;=0.5,Games[[#This Row],[Result]]=1),AND(Games[[#This Row],[ExpectedWin]]&lt;0.5,Games[[#This Row],[Result]]=0))))</f>
        <v>0</v>
      </c>
      <c r="AE159">
        <f>IF(Games[[#This Row],[Team]]="","",-(Games[[#This Row],[Result]]*LN(Games[[#This Row],[ExpectedWin]])+(1-Games[[#This Row],[Result]])*LN(1-Games[[#This Row],[ExpectedWin]])))</f>
        <v>0.78012122177035015</v>
      </c>
      <c r="AF159">
        <f>IF(Games[[#This Row],[Team]]="","",IF(Games[[#This Row],[Season]]&gt;=2021,17,16))</f>
        <v>16</v>
      </c>
      <c r="AG159">
        <f>IF(Games[[#This Row],[Team]]="","",KMax-(KMax-KFloor)*MIN(Games[[#This Row],[GamesPlayed]],Games[[#This Row],[SeasonLen]])/Games[[#This Row],[SeasonLen]])</f>
        <v>42.325000000000003</v>
      </c>
      <c r="AH159">
        <f>IF(Games[[#This Row],[Team]]="","",((ABS(Games[[#This Row],[MOV]])+3)^0.8)/(7.5+0.006*ABS(Games[[#This Row],[PreGmRate]]-Games[[#This Row],[OppPreGmRate]]))*IF(Games[[#This Row],[OT]]=1,0.7,1))</f>
        <v>0.58515263739917156</v>
      </c>
      <c r="AI15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9">
        <f>IF(Games[[#This Row],[Team]]="","",Games[[#This Row],[K]]*IF(Games[[#This Row],[DivG]]=1,DivMult,1)*IF(Games[[#This Row],[ConfG]]=1,ConfMult,1)*Games[[#This Row],[POMult]])</f>
        <v>42.325000000000003</v>
      </c>
      <c r="AK159">
        <f>IF(Games[[#This Row],[Team]]="","",(Games[[#This Row],[Keff]]*Games[[#This Row],[MOVMult]])*(Games[[#This Row],[Result]]-Games[[#This Row],[ExpectedWin]]))</f>
        <v>-13.414809926903114</v>
      </c>
      <c r="AL159">
        <f>IF(Games[[#This Row],[Team]]="","",Games[[#This Row],[PreGmRate]]+Games[[#This Row],[RatingChange]])</f>
        <v>1477.9759645044103</v>
      </c>
      <c r="AM159">
        <f>IF(Games[[#This Row],[Team]]="","",IF(Games[[#This Row],[Type]]="R",IF(Games[[#This Row],[Result]]&gt;0.5,1,0),0))</f>
        <v>0</v>
      </c>
      <c r="AN159">
        <f>IF(Games[[#This Row],[Team]]="","",IF(Games[[#This Row],[Type]]="R",IF(Games[[#This Row],[Result]]&lt;0.5,1,0),0))</f>
        <v>1</v>
      </c>
      <c r="AO159">
        <f>IF(Games[[#This Row],[Team]]="","",IF(Games[[#This Row],[Type]]="R",IF(Games[[#This Row],[Result]]=0.5,1,0),0))</f>
        <v>0</v>
      </c>
    </row>
    <row r="160" spans="1:41" x14ac:dyDescent="0.35">
      <c r="A160" s="8">
        <v>35344</v>
      </c>
      <c r="B160">
        <v>1996</v>
      </c>
      <c r="C160" t="s">
        <v>197</v>
      </c>
      <c r="D160" t="s">
        <v>199</v>
      </c>
      <c r="E160" t="s">
        <v>153</v>
      </c>
      <c r="F160" t="s">
        <v>112</v>
      </c>
      <c r="G160" t="s">
        <v>201</v>
      </c>
      <c r="H160">
        <v>30</v>
      </c>
      <c r="I160">
        <v>27</v>
      </c>
      <c r="J160">
        <v>1</v>
      </c>
      <c r="K16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6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6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6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60">
        <f>IF(Games[[#This Row],[Team]]="","",IF(Games[[#This Row],[Conf]]=Games[[#This Row],[OppConf]],1,0))</f>
        <v>1</v>
      </c>
      <c r="P160">
        <f>IF(Games[[#This Row],[Team]]="","",IF(AND(Games[[#This Row],[Conf]]=Games[[#This Row],[OppConf]],Games[[#This Row],[Div]]=Games[[#This Row],[OppDiv]]),1,0))</f>
        <v>1</v>
      </c>
      <c r="Q160">
        <f>IF(Games[[#This Row],[Team]]="","",_xlfn.MINIFS(Games[Date],Games[Season],Games[[#This Row],[Season]]))</f>
        <v>35309</v>
      </c>
      <c r="R160">
        <f>IF(Games[[#This Row],[Team]]="","",INT((Games[[#This Row],[Date]]-(Games[[#This Row],[SeasonStart]]-MOD(WEEKDAY(Games[[#This Row],[SeasonStart]],2)-2,7)))/7)+1)</f>
        <v>6</v>
      </c>
      <c r="S160">
        <f>IF(Games[[#This Row],[Team]]="","",COUNTIFS(Games[Team],Games[[#This Row],[Team]],Games[Season],Games[[#This Row],[Season]],Games[Week],"&lt;="&amp;Games[[#This Row],[Week]]))</f>
        <v>5</v>
      </c>
      <c r="T160">
        <f>IF(Games[[#This Row],[Team]]="","",_xlfn.MAXIFS(Games[Week],Games[Team],Games[[#This Row],[Team]],Games[Season],Games[[#This Row],[Season]],Games[Week],"&lt;"&amp;Games[[#This Row],[Week]]))</f>
        <v>5</v>
      </c>
      <c r="U160">
        <f>IF(Games[[#This Row],[Team]]="","",_xlfn.MAXIFS(Games[Week],Games[Team],Games[[#This Row],[Opponent]],Games[Season],Games[[#This Row],[Season]],Games[Week],"&lt;"&amp;Games[[#This Row],[Week]]))</f>
        <v>5</v>
      </c>
      <c r="V16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6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6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6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1513.5750626330482</v>
      </c>
      <c r="Z16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1472.6256732287793</v>
      </c>
      <c r="AA16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0.4554331701335006</v>
      </c>
      <c r="AB160">
        <f>IF(Games[[#This Row],[Team]]="","",Games[[#This Row],[PointsFor]]-Games[[#This Row],[PointsAgainst]])</f>
        <v>3</v>
      </c>
      <c r="AC160">
        <f>IF(Games[[#This Row],[Team]]="","",IF(Games[[#This Row],[MOV]]&gt;0,1,IF(Games[[#This Row],[MOV]]=0,0.5,0)))</f>
        <v>1</v>
      </c>
      <c r="AD160">
        <f>IF(Games[[#This Row],[Team]]="","",--(OR(AND(Games[[#This Row],[ExpectedWin]]&gt;=0.5,Games[[#This Row],[Result]]=1),AND(Games[[#This Row],[ExpectedWin]]&lt;0.5,Games[[#This Row],[Result]]=0))))</f>
        <v>0</v>
      </c>
      <c r="AE160">
        <f>IF(Games[[#This Row],[Team]]="","",-(Games[[#This Row],[Result]]*LN(Games[[#This Row],[ExpectedWin]])+(1-Games[[#This Row],[Result]])*LN(1-Games[[#This Row],[ExpectedWin]])))</f>
        <v>0.786506290645544</v>
      </c>
      <c r="AF160">
        <f>IF(Games[[#This Row],[Team]]="","",IF(Games[[#This Row],[Season]]&gt;=2021,17,16))</f>
        <v>16</v>
      </c>
      <c r="AG160">
        <f>IF(Games[[#This Row],[Team]]="","",KMax-(KMax-KFloor)*MIN(Games[[#This Row],[GamesPlayed]],Games[[#This Row],[SeasonLen]])/Games[[#This Row],[SeasonLen]])</f>
        <v>42.9375</v>
      </c>
      <c r="AH160">
        <f>IF(Games[[#This Row],[Team]]="","",((ABS(Games[[#This Row],[MOV]])+3)^0.8)/(7.5+0.006*ABS(Games[[#This Row],[PreGmRate]]-Games[[#This Row],[OppPreGmRate]]))*IF(Games[[#This Row],[OT]]=1,0.7,1))</f>
        <v>0.37892963671166507</v>
      </c>
      <c r="AI16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0">
        <f>IF(Games[[#This Row],[Team]]="","",Games[[#This Row],[K]]*IF(Games[[#This Row],[DivG]]=1,DivMult,1)*IF(Games[[#This Row],[ConfG]]=1,ConfMult,1)*Games[[#This Row],[POMult]])</f>
        <v>48.175875000000005</v>
      </c>
      <c r="AK160">
        <f>IF(Games[[#This Row],[Team]]="","",(Games[[#This Row],[Keff]]*Games[[#This Row],[MOVMult]])*(Games[[#This Row],[Result]]-Games[[#This Row],[ExpectedWin]]))</f>
        <v>9.9412127761869904</v>
      </c>
      <c r="AL160">
        <f>IF(Games[[#This Row],[Team]]="","",Games[[#This Row],[PreGmRate]]+Games[[#This Row],[RatingChange]])</f>
        <v>1523.5162754092353</v>
      </c>
      <c r="AM160">
        <f>IF(Games[[#This Row],[Team]]="","",IF(Games[[#This Row],[Type]]="R",IF(Games[[#This Row],[Result]]&gt;0.5,1,0),0))</f>
        <v>1</v>
      </c>
      <c r="AN160">
        <f>IF(Games[[#This Row],[Team]]="","",IF(Games[[#This Row],[Type]]="R",IF(Games[[#This Row],[Result]]&lt;0.5,1,0),0))</f>
        <v>0</v>
      </c>
      <c r="AO160">
        <f>IF(Games[[#This Row],[Team]]="","",IF(Games[[#This Row],[Type]]="R",IF(Games[[#This Row],[Result]]=0.5,1,0),0))</f>
        <v>0</v>
      </c>
    </row>
    <row r="161" spans="1:41" x14ac:dyDescent="0.35">
      <c r="A161" s="8">
        <v>35344</v>
      </c>
      <c r="B161">
        <v>1996</v>
      </c>
      <c r="C161" t="s">
        <v>197</v>
      </c>
      <c r="D161" t="s">
        <v>199</v>
      </c>
      <c r="E161" t="s">
        <v>112</v>
      </c>
      <c r="F161" t="s">
        <v>153</v>
      </c>
      <c r="G161" t="s">
        <v>200</v>
      </c>
      <c r="H161">
        <v>27</v>
      </c>
      <c r="I161">
        <v>30</v>
      </c>
      <c r="J161">
        <v>1</v>
      </c>
      <c r="K16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6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6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6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61">
        <f>IF(Games[[#This Row],[Team]]="","",IF(Games[[#This Row],[Conf]]=Games[[#This Row],[OppConf]],1,0))</f>
        <v>1</v>
      </c>
      <c r="P161">
        <f>IF(Games[[#This Row],[Team]]="","",IF(AND(Games[[#This Row],[Conf]]=Games[[#This Row],[OppConf]],Games[[#This Row],[Div]]=Games[[#This Row],[OppDiv]]),1,0))</f>
        <v>1</v>
      </c>
      <c r="Q161">
        <f>IF(Games[[#This Row],[Team]]="","",_xlfn.MINIFS(Games[Date],Games[Season],Games[[#This Row],[Season]]))</f>
        <v>35309</v>
      </c>
      <c r="R161">
        <f>IF(Games[[#This Row],[Team]]="","",INT((Games[[#This Row],[Date]]-(Games[[#This Row],[SeasonStart]]-MOD(WEEKDAY(Games[[#This Row],[SeasonStart]],2)-2,7)))/7)+1)</f>
        <v>6</v>
      </c>
      <c r="S161">
        <f>IF(Games[[#This Row],[Team]]="","",COUNTIFS(Games[Team],Games[[#This Row],[Team]],Games[Season],Games[[#This Row],[Season]],Games[Week],"&lt;="&amp;Games[[#This Row],[Week]]))</f>
        <v>5</v>
      </c>
      <c r="T161">
        <f>IF(Games[[#This Row],[Team]]="","",_xlfn.MAXIFS(Games[Week],Games[Team],Games[[#This Row],[Team]],Games[Season],Games[[#This Row],[Season]],Games[Week],"&lt;"&amp;Games[[#This Row],[Week]]))</f>
        <v>5</v>
      </c>
      <c r="U161">
        <f>IF(Games[[#This Row],[Team]]="","",_xlfn.MAXIFS(Games[Week],Games[Team],Games[[#This Row],[Opponent]],Games[Season],Games[[#This Row],[Season]],Games[Week],"&lt;"&amp;Games[[#This Row],[Week]]))</f>
        <v>5</v>
      </c>
      <c r="V16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6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6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6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1472.6256732287793</v>
      </c>
      <c r="Z16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1513.5750626330482</v>
      </c>
      <c r="AA16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0.54456682986649951</v>
      </c>
      <c r="AB161">
        <f>IF(Games[[#This Row],[Team]]="","",Games[[#This Row],[PointsFor]]-Games[[#This Row],[PointsAgainst]])</f>
        <v>-3</v>
      </c>
      <c r="AC161">
        <f>IF(Games[[#This Row],[Team]]="","",IF(Games[[#This Row],[MOV]]&gt;0,1,IF(Games[[#This Row],[MOV]]=0,0.5,0)))</f>
        <v>0</v>
      </c>
      <c r="AD161">
        <f>IF(Games[[#This Row],[Team]]="","",--(OR(AND(Games[[#This Row],[ExpectedWin]]&gt;=0.5,Games[[#This Row],[Result]]=1),AND(Games[[#This Row],[ExpectedWin]]&lt;0.5,Games[[#This Row],[Result]]=0))))</f>
        <v>0</v>
      </c>
      <c r="AE161">
        <f>IF(Games[[#This Row],[Team]]="","",-(Games[[#This Row],[Result]]*LN(Games[[#This Row],[ExpectedWin]])+(1-Games[[#This Row],[Result]])*LN(1-Games[[#This Row],[ExpectedWin]])))</f>
        <v>0.78650629064554423</v>
      </c>
      <c r="AF161">
        <f>IF(Games[[#This Row],[Team]]="","",IF(Games[[#This Row],[Season]]&gt;=2021,17,16))</f>
        <v>16</v>
      </c>
      <c r="AG161">
        <f>IF(Games[[#This Row],[Team]]="","",KMax-(KMax-KFloor)*MIN(Games[[#This Row],[GamesPlayed]],Games[[#This Row],[SeasonLen]])/Games[[#This Row],[SeasonLen]])</f>
        <v>42.9375</v>
      </c>
      <c r="AH161">
        <f>IF(Games[[#This Row],[Team]]="","",((ABS(Games[[#This Row],[MOV]])+3)^0.8)/(7.5+0.006*ABS(Games[[#This Row],[PreGmRate]]-Games[[#This Row],[OppPreGmRate]]))*IF(Games[[#This Row],[OT]]=1,0.7,1))</f>
        <v>0.37892963671166507</v>
      </c>
      <c r="AI16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1">
        <f>IF(Games[[#This Row],[Team]]="","",Games[[#This Row],[K]]*IF(Games[[#This Row],[DivG]]=1,DivMult,1)*IF(Games[[#This Row],[ConfG]]=1,ConfMult,1)*Games[[#This Row],[POMult]])</f>
        <v>48.175875000000005</v>
      </c>
      <c r="AK161">
        <f>IF(Games[[#This Row],[Team]]="","",(Games[[#This Row],[Keff]]*Games[[#This Row],[MOVMult]])*(Games[[#This Row],[Result]]-Games[[#This Row],[ExpectedWin]]))</f>
        <v>-9.9412127761869939</v>
      </c>
      <c r="AL161">
        <f>IF(Games[[#This Row],[Team]]="","",Games[[#This Row],[PreGmRate]]+Games[[#This Row],[RatingChange]])</f>
        <v>1462.6844604525922</v>
      </c>
      <c r="AM161">
        <f>IF(Games[[#This Row],[Team]]="","",IF(Games[[#This Row],[Type]]="R",IF(Games[[#This Row],[Result]]&gt;0.5,1,0),0))</f>
        <v>0</v>
      </c>
      <c r="AN161">
        <f>IF(Games[[#This Row],[Team]]="","",IF(Games[[#This Row],[Type]]="R",IF(Games[[#This Row],[Result]]&lt;0.5,1,0),0))</f>
        <v>1</v>
      </c>
      <c r="AO161">
        <f>IF(Games[[#This Row],[Team]]="","",IF(Games[[#This Row],[Type]]="R",IF(Games[[#This Row],[Result]]=0.5,1,0),0))</f>
        <v>0</v>
      </c>
    </row>
    <row r="162" spans="1:41" x14ac:dyDescent="0.35">
      <c r="A162" s="8">
        <v>35345</v>
      </c>
      <c r="B162">
        <v>1996</v>
      </c>
      <c r="C162" t="s">
        <v>197</v>
      </c>
      <c r="D162" t="s">
        <v>199</v>
      </c>
      <c r="E162" t="s">
        <v>143</v>
      </c>
      <c r="F162" t="s">
        <v>126</v>
      </c>
      <c r="G162" t="s">
        <v>201</v>
      </c>
      <c r="H162">
        <v>17</v>
      </c>
      <c r="I162">
        <v>7</v>
      </c>
      <c r="J162">
        <v>0</v>
      </c>
      <c r="K16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6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6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6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62">
        <f>IF(Games[[#This Row],[Team]]="","",IF(Games[[#This Row],[Conf]]=Games[[#This Row],[OppConf]],1,0))</f>
        <v>1</v>
      </c>
      <c r="P162">
        <f>IF(Games[[#This Row],[Team]]="","",IF(AND(Games[[#This Row],[Conf]]=Games[[#This Row],[OppConf]],Games[[#This Row],[Div]]=Games[[#This Row],[OppDiv]]),1,0))</f>
        <v>0</v>
      </c>
      <c r="Q162">
        <f>IF(Games[[#This Row],[Team]]="","",_xlfn.MINIFS(Games[Date],Games[Season],Games[[#This Row],[Season]]))</f>
        <v>35309</v>
      </c>
      <c r="R162">
        <f>IF(Games[[#This Row],[Team]]="","",INT((Games[[#This Row],[Date]]-(Games[[#This Row],[SeasonStart]]-MOD(WEEKDAY(Games[[#This Row],[SeasonStart]],2)-2,7)))/7)+1)</f>
        <v>6</v>
      </c>
      <c r="S162">
        <f>IF(Games[[#This Row],[Team]]="","",COUNTIFS(Games[Team],Games[[#This Row],[Team]],Games[Season],Games[[#This Row],[Season]],Games[Week],"&lt;="&amp;Games[[#This Row],[Week]]))</f>
        <v>5</v>
      </c>
      <c r="T162">
        <f>IF(Games[[#This Row],[Team]]="","",_xlfn.MAXIFS(Games[Week],Games[Team],Games[[#This Row],[Team]],Games[Season],Games[[#This Row],[Season]],Games[Week],"&lt;"&amp;Games[[#This Row],[Week]]))</f>
        <v>5</v>
      </c>
      <c r="U162">
        <f>IF(Games[[#This Row],[Team]]="","",_xlfn.MAXIFS(Games[Week],Games[Team],Games[[#This Row],[Opponent]],Games[Season],Games[[#This Row],[Season]],Games[Week],"&lt;"&amp;Games[[#This Row],[Week]]))</f>
        <v>5</v>
      </c>
      <c r="V16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16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16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6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1556.355274597207</v>
      </c>
      <c r="Z16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1567.928896714639</v>
      </c>
      <c r="AA16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0.38199513866714352</v>
      </c>
      <c r="AB162">
        <f>IF(Games[[#This Row],[Team]]="","",Games[[#This Row],[PointsFor]]-Games[[#This Row],[PointsAgainst]])</f>
        <v>10</v>
      </c>
      <c r="AC162">
        <f>IF(Games[[#This Row],[Team]]="","",IF(Games[[#This Row],[MOV]]&gt;0,1,IF(Games[[#This Row],[MOV]]=0,0.5,0)))</f>
        <v>1</v>
      </c>
      <c r="AD162">
        <f>IF(Games[[#This Row],[Team]]="","",--(OR(AND(Games[[#This Row],[ExpectedWin]]&gt;=0.5,Games[[#This Row],[Result]]=1),AND(Games[[#This Row],[ExpectedWin]]&lt;0.5,Games[[#This Row],[Result]]=0))))</f>
        <v>0</v>
      </c>
      <c r="AE162">
        <f>IF(Games[[#This Row],[Team]]="","",-(Games[[#This Row],[Result]]*LN(Games[[#This Row],[ExpectedWin]])+(1-Games[[#This Row],[Result]])*LN(1-Games[[#This Row],[ExpectedWin]])))</f>
        <v>0.9623473964587802</v>
      </c>
      <c r="AF162">
        <f>IF(Games[[#This Row],[Team]]="","",IF(Games[[#This Row],[Season]]&gt;=2021,17,16))</f>
        <v>16</v>
      </c>
      <c r="AG162">
        <f>IF(Games[[#This Row],[Team]]="","",KMax-(KMax-KFloor)*MIN(Games[[#This Row],[GamesPlayed]],Games[[#This Row],[SeasonLen]])/Games[[#This Row],[SeasonLen]])</f>
        <v>42.9375</v>
      </c>
      <c r="AH162">
        <f>IF(Games[[#This Row],[Team]]="","",((ABS(Games[[#This Row],[MOV]])+3)^0.8)/(7.5+0.006*ABS(Games[[#This Row],[PreGmRate]]-Games[[#This Row],[OppPreGmRate]]))*IF(Games[[#This Row],[OT]]=1,0.7,1))</f>
        <v>1.0282313276039348</v>
      </c>
      <c r="AI16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2">
        <f>IF(Games[[#This Row],[Team]]="","",Games[[#This Row],[K]]*IF(Games[[#This Row],[DivG]]=1,DivMult,1)*IF(Games[[#This Row],[ConfG]]=1,ConfMult,1)*Games[[#This Row],[POMult]])</f>
        <v>43.796250000000001</v>
      </c>
      <c r="AK162">
        <f>IF(Games[[#This Row],[Team]]="","",(Games[[#This Row],[Keff]]*Games[[#This Row],[MOVMult]])*(Games[[#This Row],[Result]]-Games[[#This Row],[ExpectedWin]]))</f>
        <v>27.830412860841449</v>
      </c>
      <c r="AL162">
        <f>IF(Games[[#This Row],[Team]]="","",Games[[#This Row],[PreGmRate]]+Games[[#This Row],[RatingChange]])</f>
        <v>1584.1856874580485</v>
      </c>
      <c r="AM162">
        <f>IF(Games[[#This Row],[Team]]="","",IF(Games[[#This Row],[Type]]="R",IF(Games[[#This Row],[Result]]&gt;0.5,1,0),0))</f>
        <v>1</v>
      </c>
      <c r="AN162">
        <f>IF(Games[[#This Row],[Team]]="","",IF(Games[[#This Row],[Type]]="R",IF(Games[[#This Row],[Result]]&lt;0.5,1,0),0))</f>
        <v>0</v>
      </c>
      <c r="AO162">
        <f>IF(Games[[#This Row],[Team]]="","",IF(Games[[#This Row],[Type]]="R",IF(Games[[#This Row],[Result]]=0.5,1,0),0))</f>
        <v>0</v>
      </c>
    </row>
    <row r="163" spans="1:41" x14ac:dyDescent="0.35">
      <c r="A163" s="8">
        <v>35345</v>
      </c>
      <c r="B163">
        <v>1996</v>
      </c>
      <c r="C163" t="s">
        <v>197</v>
      </c>
      <c r="D163" t="s">
        <v>199</v>
      </c>
      <c r="E163" t="s">
        <v>126</v>
      </c>
      <c r="F163" t="s">
        <v>143</v>
      </c>
      <c r="G163" t="s">
        <v>200</v>
      </c>
      <c r="H163">
        <v>7</v>
      </c>
      <c r="I163">
        <v>17</v>
      </c>
      <c r="J163">
        <v>0</v>
      </c>
      <c r="K16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6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6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6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63">
        <f>IF(Games[[#This Row],[Team]]="","",IF(Games[[#This Row],[Conf]]=Games[[#This Row],[OppConf]],1,0))</f>
        <v>1</v>
      </c>
      <c r="P163">
        <f>IF(Games[[#This Row],[Team]]="","",IF(AND(Games[[#This Row],[Conf]]=Games[[#This Row],[OppConf]],Games[[#This Row],[Div]]=Games[[#This Row],[OppDiv]]),1,0))</f>
        <v>0</v>
      </c>
      <c r="Q163">
        <f>IF(Games[[#This Row],[Team]]="","",_xlfn.MINIFS(Games[Date],Games[Season],Games[[#This Row],[Season]]))</f>
        <v>35309</v>
      </c>
      <c r="R163">
        <f>IF(Games[[#This Row],[Team]]="","",INT((Games[[#This Row],[Date]]-(Games[[#This Row],[SeasonStart]]-MOD(WEEKDAY(Games[[#This Row],[SeasonStart]],2)-2,7)))/7)+1)</f>
        <v>6</v>
      </c>
      <c r="S163">
        <f>IF(Games[[#This Row],[Team]]="","",COUNTIFS(Games[Team],Games[[#This Row],[Team]],Games[Season],Games[[#This Row],[Season]],Games[Week],"&lt;="&amp;Games[[#This Row],[Week]]))</f>
        <v>6</v>
      </c>
      <c r="T163">
        <f>IF(Games[[#This Row],[Team]]="","",_xlfn.MAXIFS(Games[Week],Games[Team],Games[[#This Row],[Team]],Games[Season],Games[[#This Row],[Season]],Games[Week],"&lt;"&amp;Games[[#This Row],[Week]]))</f>
        <v>5</v>
      </c>
      <c r="U163">
        <f>IF(Games[[#This Row],[Team]]="","",_xlfn.MAXIFS(Games[Week],Games[Team],Games[[#This Row],[Opponent]],Games[Season],Games[[#This Row],[Season]],Games[Week],"&lt;"&amp;Games[[#This Row],[Week]]))</f>
        <v>5</v>
      </c>
      <c r="V16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16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16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6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1567.928896714639</v>
      </c>
      <c r="Z16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1556.355274597207</v>
      </c>
      <c r="AA16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0.61800486133285648</v>
      </c>
      <c r="AB163">
        <f>IF(Games[[#This Row],[Team]]="","",Games[[#This Row],[PointsFor]]-Games[[#This Row],[PointsAgainst]])</f>
        <v>-10</v>
      </c>
      <c r="AC163">
        <f>IF(Games[[#This Row],[Team]]="","",IF(Games[[#This Row],[MOV]]&gt;0,1,IF(Games[[#This Row],[MOV]]=0,0.5,0)))</f>
        <v>0</v>
      </c>
      <c r="AD163">
        <f>IF(Games[[#This Row],[Team]]="","",--(OR(AND(Games[[#This Row],[ExpectedWin]]&gt;=0.5,Games[[#This Row],[Result]]=1),AND(Games[[#This Row],[ExpectedWin]]&lt;0.5,Games[[#This Row],[Result]]=0))))</f>
        <v>0</v>
      </c>
      <c r="AE163">
        <f>IF(Games[[#This Row],[Team]]="","",-(Games[[#This Row],[Result]]*LN(Games[[#This Row],[ExpectedWin]])+(1-Games[[#This Row],[Result]])*LN(1-Games[[#This Row],[ExpectedWin]])))</f>
        <v>0.9623473964587802</v>
      </c>
      <c r="AF163">
        <f>IF(Games[[#This Row],[Team]]="","",IF(Games[[#This Row],[Season]]&gt;=2021,17,16))</f>
        <v>16</v>
      </c>
      <c r="AG163">
        <f>IF(Games[[#This Row],[Team]]="","",KMax-(KMax-KFloor)*MIN(Games[[#This Row],[GamesPlayed]],Games[[#This Row],[SeasonLen]])/Games[[#This Row],[SeasonLen]])</f>
        <v>42.325000000000003</v>
      </c>
      <c r="AH163">
        <f>IF(Games[[#This Row],[Team]]="","",((ABS(Games[[#This Row],[MOV]])+3)^0.8)/(7.5+0.006*ABS(Games[[#This Row],[PreGmRate]]-Games[[#This Row],[OppPreGmRate]]))*IF(Games[[#This Row],[OT]]=1,0.7,1))</f>
        <v>1.0282313276039348</v>
      </c>
      <c r="AI16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3">
        <f>IF(Games[[#This Row],[Team]]="","",Games[[#This Row],[K]]*IF(Games[[#This Row],[DivG]]=1,DivMult,1)*IF(Games[[#This Row],[ConfG]]=1,ConfMult,1)*Games[[#This Row],[POMult]])</f>
        <v>43.171500000000002</v>
      </c>
      <c r="AK163">
        <f>IF(Games[[#This Row],[Team]]="","",(Games[[#This Row],[Keff]]*Games[[#This Row],[MOVMult]])*(Games[[#This Row],[Result]]-Games[[#This Row],[ExpectedWin]]))</f>
        <v>-27.433414249434978</v>
      </c>
      <c r="AL163">
        <f>IF(Games[[#This Row],[Team]]="","",Games[[#This Row],[PreGmRate]]+Games[[#This Row],[RatingChange]])</f>
        <v>1540.4954824652041</v>
      </c>
      <c r="AM163">
        <f>IF(Games[[#This Row],[Team]]="","",IF(Games[[#This Row],[Type]]="R",IF(Games[[#This Row],[Result]]&gt;0.5,1,0),0))</f>
        <v>0</v>
      </c>
      <c r="AN163">
        <f>IF(Games[[#This Row],[Team]]="","",IF(Games[[#This Row],[Type]]="R",IF(Games[[#This Row],[Result]]&lt;0.5,1,0),0))</f>
        <v>1</v>
      </c>
      <c r="AO163">
        <f>IF(Games[[#This Row],[Team]]="","",IF(Games[[#This Row],[Type]]="R",IF(Games[[#This Row],[Result]]=0.5,1,0),0))</f>
        <v>0</v>
      </c>
    </row>
    <row r="164" spans="1:41" x14ac:dyDescent="0.35">
      <c r="A164" s="8">
        <v>35351</v>
      </c>
      <c r="B164">
        <v>1996</v>
      </c>
      <c r="C164" t="s">
        <v>197</v>
      </c>
      <c r="D164" t="s">
        <v>199</v>
      </c>
      <c r="E164" t="s">
        <v>153</v>
      </c>
      <c r="F164" t="s">
        <v>98</v>
      </c>
      <c r="G164" t="s">
        <v>201</v>
      </c>
      <c r="H164">
        <v>23</v>
      </c>
      <c r="I164">
        <v>13</v>
      </c>
      <c r="J164">
        <v>0</v>
      </c>
      <c r="K16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6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6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6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64">
        <f>IF(Games[[#This Row],[Team]]="","",IF(Games[[#This Row],[Conf]]=Games[[#This Row],[OppConf]],1,0))</f>
        <v>0</v>
      </c>
      <c r="P164">
        <f>IF(Games[[#This Row],[Team]]="","",IF(AND(Games[[#This Row],[Conf]]=Games[[#This Row],[OppConf]],Games[[#This Row],[Div]]=Games[[#This Row],[OppDiv]]),1,0))</f>
        <v>0</v>
      </c>
      <c r="Q164">
        <f>IF(Games[[#This Row],[Team]]="","",_xlfn.MINIFS(Games[Date],Games[Season],Games[[#This Row],[Season]]))</f>
        <v>35309</v>
      </c>
      <c r="R164">
        <f>IF(Games[[#This Row],[Team]]="","",INT((Games[[#This Row],[Date]]-(Games[[#This Row],[SeasonStart]]-MOD(WEEKDAY(Games[[#This Row],[SeasonStart]],2)-2,7)))/7)+1)</f>
        <v>7</v>
      </c>
      <c r="S164">
        <f>IF(Games[[#This Row],[Team]]="","",COUNTIFS(Games[Team],Games[[#This Row],[Team]],Games[Season],Games[[#This Row],[Season]],Games[Week],"&lt;="&amp;Games[[#This Row],[Week]]))</f>
        <v>6</v>
      </c>
      <c r="T164">
        <f>IF(Games[[#This Row],[Team]]="","",_xlfn.MAXIFS(Games[Week],Games[Team],Games[[#This Row],[Team]],Games[Season],Games[[#This Row],[Season]],Games[Week],"&lt;"&amp;Games[[#This Row],[Week]]))</f>
        <v>6</v>
      </c>
      <c r="U164">
        <f>IF(Games[[#This Row],[Team]]="","",_xlfn.MAXIFS(Games[Week],Games[Team],Games[[#This Row],[Opponent]],Games[Season],Games[[#This Row],[Season]],Games[Week],"&lt;"&amp;Games[[#This Row],[Week]]))</f>
        <v>6</v>
      </c>
      <c r="V16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6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6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6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1523.5162754092353</v>
      </c>
      <c r="Z16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1389.989874391277</v>
      </c>
      <c r="AA16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0.58762950105536371</v>
      </c>
      <c r="AB164">
        <f>IF(Games[[#This Row],[Team]]="","",Games[[#This Row],[PointsFor]]-Games[[#This Row],[PointsAgainst]])</f>
        <v>10</v>
      </c>
      <c r="AC164">
        <f>IF(Games[[#This Row],[Team]]="","",IF(Games[[#This Row],[MOV]]&gt;0,1,IF(Games[[#This Row],[MOV]]=0,0.5,0)))</f>
        <v>1</v>
      </c>
      <c r="AD164">
        <f>IF(Games[[#This Row],[Team]]="","",--(OR(AND(Games[[#This Row],[ExpectedWin]]&gt;=0.5,Games[[#This Row],[Result]]=1),AND(Games[[#This Row],[ExpectedWin]]&lt;0.5,Games[[#This Row],[Result]]=0))))</f>
        <v>1</v>
      </c>
      <c r="AE164">
        <f>IF(Games[[#This Row],[Team]]="","",-(Games[[#This Row],[Result]]*LN(Games[[#This Row],[ExpectedWin]])+(1-Games[[#This Row],[Result]])*LN(1-Games[[#This Row],[ExpectedWin]])))</f>
        <v>0.53165862992607837</v>
      </c>
      <c r="AF164">
        <f>IF(Games[[#This Row],[Team]]="","",IF(Games[[#This Row],[Season]]&gt;=2021,17,16))</f>
        <v>16</v>
      </c>
      <c r="AG164">
        <f>IF(Games[[#This Row],[Team]]="","",KMax-(KMax-KFloor)*MIN(Games[[#This Row],[GamesPlayed]],Games[[#This Row],[SeasonLen]])/Games[[#This Row],[SeasonLen]])</f>
        <v>42.325000000000003</v>
      </c>
      <c r="AH164">
        <f>IF(Games[[#This Row],[Team]]="","",((ABS(Games[[#This Row],[MOV]])+3)^0.8)/(7.5+0.006*ABS(Games[[#This Row],[PreGmRate]]-Games[[#This Row],[OppPreGmRate]]))*IF(Games[[#This Row],[OT]]=1,0.7,1))</f>
        <v>0.93759650656863347</v>
      </c>
      <c r="AI16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4">
        <f>IF(Games[[#This Row],[Team]]="","",Games[[#This Row],[K]]*IF(Games[[#This Row],[DivG]]=1,DivMult,1)*IF(Games[[#This Row],[ConfG]]=1,ConfMult,1)*Games[[#This Row],[POMult]])</f>
        <v>42.325000000000003</v>
      </c>
      <c r="AK164">
        <f>IF(Games[[#This Row],[Team]]="","",(Games[[#This Row],[Keff]]*Games[[#This Row],[MOVMult]])*(Games[[#This Row],[Result]]-Games[[#This Row],[ExpectedWin]]))</f>
        <v>16.364416917590422</v>
      </c>
      <c r="AL164">
        <f>IF(Games[[#This Row],[Team]]="","",Games[[#This Row],[PreGmRate]]+Games[[#This Row],[RatingChange]])</f>
        <v>1539.8806923268257</v>
      </c>
      <c r="AM164">
        <f>IF(Games[[#This Row],[Team]]="","",IF(Games[[#This Row],[Type]]="R",IF(Games[[#This Row],[Result]]&gt;0.5,1,0),0))</f>
        <v>1</v>
      </c>
      <c r="AN164">
        <f>IF(Games[[#This Row],[Team]]="","",IF(Games[[#This Row],[Type]]="R",IF(Games[[#This Row],[Result]]&lt;0.5,1,0),0))</f>
        <v>0</v>
      </c>
      <c r="AO164">
        <f>IF(Games[[#This Row],[Team]]="","",IF(Games[[#This Row],[Type]]="R",IF(Games[[#This Row],[Result]]=0.5,1,0),0))</f>
        <v>0</v>
      </c>
    </row>
    <row r="165" spans="1:41" x14ac:dyDescent="0.35">
      <c r="A165" s="8">
        <v>35351</v>
      </c>
      <c r="B165">
        <v>1996</v>
      </c>
      <c r="C165" t="s">
        <v>197</v>
      </c>
      <c r="D165" t="s">
        <v>199</v>
      </c>
      <c r="E165" t="s">
        <v>98</v>
      </c>
      <c r="F165" t="s">
        <v>153</v>
      </c>
      <c r="G165" t="s">
        <v>200</v>
      </c>
      <c r="H165">
        <v>13</v>
      </c>
      <c r="I165">
        <v>23</v>
      </c>
      <c r="J165">
        <v>0</v>
      </c>
      <c r="K16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6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6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6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65">
        <f>IF(Games[[#This Row],[Team]]="","",IF(Games[[#This Row],[Conf]]=Games[[#This Row],[OppConf]],1,0))</f>
        <v>0</v>
      </c>
      <c r="P165">
        <f>IF(Games[[#This Row],[Team]]="","",IF(AND(Games[[#This Row],[Conf]]=Games[[#This Row],[OppConf]],Games[[#This Row],[Div]]=Games[[#This Row],[OppDiv]]),1,0))</f>
        <v>0</v>
      </c>
      <c r="Q165">
        <f>IF(Games[[#This Row],[Team]]="","",_xlfn.MINIFS(Games[Date],Games[Season],Games[[#This Row],[Season]]))</f>
        <v>35309</v>
      </c>
      <c r="R165">
        <f>IF(Games[[#This Row],[Team]]="","",INT((Games[[#This Row],[Date]]-(Games[[#This Row],[SeasonStart]]-MOD(WEEKDAY(Games[[#This Row],[SeasonStart]],2)-2,7)))/7)+1)</f>
        <v>7</v>
      </c>
      <c r="S165">
        <f>IF(Games[[#This Row],[Team]]="","",COUNTIFS(Games[Team],Games[[#This Row],[Team]],Games[Season],Games[[#This Row],[Season]],Games[Week],"&lt;="&amp;Games[[#This Row],[Week]]))</f>
        <v>6</v>
      </c>
      <c r="T165">
        <f>IF(Games[[#This Row],[Team]]="","",_xlfn.MAXIFS(Games[Week],Games[Team],Games[[#This Row],[Team]],Games[Season],Games[[#This Row],[Season]],Games[Week],"&lt;"&amp;Games[[#This Row],[Week]]))</f>
        <v>6</v>
      </c>
      <c r="U165">
        <f>IF(Games[[#This Row],[Team]]="","",_xlfn.MAXIFS(Games[Week],Games[Team],Games[[#This Row],[Opponent]],Games[Season],Games[[#This Row],[Season]],Games[Week],"&lt;"&amp;Games[[#This Row],[Week]]))</f>
        <v>6</v>
      </c>
      <c r="V16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6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6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6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1389.989874391277</v>
      </c>
      <c r="Z16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1523.5162754092353</v>
      </c>
      <c r="AA16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0.41237049894463629</v>
      </c>
      <c r="AB165">
        <f>IF(Games[[#This Row],[Team]]="","",Games[[#This Row],[PointsFor]]-Games[[#This Row],[PointsAgainst]])</f>
        <v>-10</v>
      </c>
      <c r="AC165">
        <f>IF(Games[[#This Row],[Team]]="","",IF(Games[[#This Row],[MOV]]&gt;0,1,IF(Games[[#This Row],[MOV]]=0,0.5,0)))</f>
        <v>0</v>
      </c>
      <c r="AD165">
        <f>IF(Games[[#This Row],[Team]]="","",--(OR(AND(Games[[#This Row],[ExpectedWin]]&gt;=0.5,Games[[#This Row],[Result]]=1),AND(Games[[#This Row],[ExpectedWin]]&lt;0.5,Games[[#This Row],[Result]]=0))))</f>
        <v>1</v>
      </c>
      <c r="AE165">
        <f>IF(Games[[#This Row],[Team]]="","",-(Games[[#This Row],[Result]]*LN(Games[[#This Row],[ExpectedWin]])+(1-Games[[#This Row],[Result]])*LN(1-Games[[#This Row],[ExpectedWin]])))</f>
        <v>0.53165862992607837</v>
      </c>
      <c r="AF165">
        <f>IF(Games[[#This Row],[Team]]="","",IF(Games[[#This Row],[Season]]&gt;=2021,17,16))</f>
        <v>16</v>
      </c>
      <c r="AG165">
        <f>IF(Games[[#This Row],[Team]]="","",KMax-(KMax-KFloor)*MIN(Games[[#This Row],[GamesPlayed]],Games[[#This Row],[SeasonLen]])/Games[[#This Row],[SeasonLen]])</f>
        <v>42.325000000000003</v>
      </c>
      <c r="AH165">
        <f>IF(Games[[#This Row],[Team]]="","",((ABS(Games[[#This Row],[MOV]])+3)^0.8)/(7.5+0.006*ABS(Games[[#This Row],[PreGmRate]]-Games[[#This Row],[OppPreGmRate]]))*IF(Games[[#This Row],[OT]]=1,0.7,1))</f>
        <v>0.93759650656863347</v>
      </c>
      <c r="AI16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5">
        <f>IF(Games[[#This Row],[Team]]="","",Games[[#This Row],[K]]*IF(Games[[#This Row],[DivG]]=1,DivMult,1)*IF(Games[[#This Row],[ConfG]]=1,ConfMult,1)*Games[[#This Row],[POMult]])</f>
        <v>42.325000000000003</v>
      </c>
      <c r="AK165">
        <f>IF(Games[[#This Row],[Team]]="","",(Games[[#This Row],[Keff]]*Games[[#This Row],[MOVMult]])*(Games[[#This Row],[Result]]-Games[[#This Row],[ExpectedWin]]))</f>
        <v>-16.364416917590422</v>
      </c>
      <c r="AL165">
        <f>IF(Games[[#This Row],[Team]]="","",Games[[#This Row],[PreGmRate]]+Games[[#This Row],[RatingChange]])</f>
        <v>1373.6254574736865</v>
      </c>
      <c r="AM165">
        <f>IF(Games[[#This Row],[Team]]="","",IF(Games[[#This Row],[Type]]="R",IF(Games[[#This Row],[Result]]&gt;0.5,1,0),0))</f>
        <v>0</v>
      </c>
      <c r="AN165">
        <f>IF(Games[[#This Row],[Team]]="","",IF(Games[[#This Row],[Type]]="R",IF(Games[[#This Row],[Result]]&lt;0.5,1,0),0))</f>
        <v>1</v>
      </c>
      <c r="AO165">
        <f>IF(Games[[#This Row],[Team]]="","",IF(Games[[#This Row],[Type]]="R",IF(Games[[#This Row],[Result]]=0.5,1,0),0))</f>
        <v>0</v>
      </c>
    </row>
    <row r="166" spans="1:41" x14ac:dyDescent="0.35">
      <c r="A166" s="8">
        <v>35351</v>
      </c>
      <c r="B166">
        <v>1996</v>
      </c>
      <c r="C166" t="s">
        <v>197</v>
      </c>
      <c r="D166" t="s">
        <v>199</v>
      </c>
      <c r="E166" t="s">
        <v>128</v>
      </c>
      <c r="F166" t="s">
        <v>106</v>
      </c>
      <c r="G166" t="s">
        <v>201</v>
      </c>
      <c r="H166">
        <v>21</v>
      </c>
      <c r="I166">
        <v>7</v>
      </c>
      <c r="J166">
        <v>0</v>
      </c>
      <c r="K16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6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6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6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66">
        <f>IF(Games[[#This Row],[Team]]="","",IF(Games[[#This Row],[Conf]]=Games[[#This Row],[OppConf]],1,0))</f>
        <v>1</v>
      </c>
      <c r="P166">
        <f>IF(Games[[#This Row],[Team]]="","",IF(AND(Games[[#This Row],[Conf]]=Games[[#This Row],[OppConf]],Games[[#This Row],[Div]]=Games[[#This Row],[OppDiv]]),1,0))</f>
        <v>1</v>
      </c>
      <c r="Q166">
        <f>IF(Games[[#This Row],[Team]]="","",_xlfn.MINIFS(Games[Date],Games[Season],Games[[#This Row],[Season]]))</f>
        <v>35309</v>
      </c>
      <c r="R166">
        <f>IF(Games[[#This Row],[Team]]="","",INT((Games[[#This Row],[Date]]-(Games[[#This Row],[SeasonStart]]-MOD(WEEKDAY(Games[[#This Row],[SeasonStart]],2)-2,7)))/7)+1)</f>
        <v>7</v>
      </c>
      <c r="S166">
        <f>IF(Games[[#This Row],[Team]]="","",COUNTIFS(Games[Team],Games[[#This Row],[Team]],Games[Season],Games[[#This Row],[Season]],Games[Week],"&lt;="&amp;Games[[#This Row],[Week]]))</f>
        <v>6</v>
      </c>
      <c r="T166">
        <f>IF(Games[[#This Row],[Team]]="","",_xlfn.MAXIFS(Games[Week],Games[Team],Games[[#This Row],[Team]],Games[Season],Games[[#This Row],[Season]],Games[Week],"&lt;"&amp;Games[[#This Row],[Week]]))</f>
        <v>6</v>
      </c>
      <c r="U166">
        <f>IF(Games[[#This Row],[Team]]="","",_xlfn.MAXIFS(Games[Week],Games[Team],Games[[#This Row],[Opponent]],Games[Season],Games[[#This Row],[Season]],Games[Week],"&lt;"&amp;Games[[#This Row],[Week]]))</f>
        <v>6</v>
      </c>
      <c r="V16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6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6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6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1544.9847120765635</v>
      </c>
      <c r="Z16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1514.7821105633629</v>
      </c>
      <c r="AA16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0.44013722230531155</v>
      </c>
      <c r="AB166">
        <f>IF(Games[[#This Row],[Team]]="","",Games[[#This Row],[PointsFor]]-Games[[#This Row],[PointsAgainst]])</f>
        <v>14</v>
      </c>
      <c r="AC166">
        <f>IF(Games[[#This Row],[Team]]="","",IF(Games[[#This Row],[MOV]]&gt;0,1,IF(Games[[#This Row],[MOV]]=0,0.5,0)))</f>
        <v>1</v>
      </c>
      <c r="AD166">
        <f>IF(Games[[#This Row],[Team]]="","",--(OR(AND(Games[[#This Row],[ExpectedWin]]&gt;=0.5,Games[[#This Row],[Result]]=1),AND(Games[[#This Row],[ExpectedWin]]&lt;0.5,Games[[#This Row],[Result]]=0))))</f>
        <v>0</v>
      </c>
      <c r="AE166">
        <f>IF(Games[[#This Row],[Team]]="","",-(Games[[#This Row],[Result]]*LN(Games[[#This Row],[ExpectedWin]])+(1-Games[[#This Row],[Result]])*LN(1-Games[[#This Row],[ExpectedWin]])))</f>
        <v>0.82066873181511135</v>
      </c>
      <c r="AF166">
        <f>IF(Games[[#This Row],[Team]]="","",IF(Games[[#This Row],[Season]]&gt;=2021,17,16))</f>
        <v>16</v>
      </c>
      <c r="AG166">
        <f>IF(Games[[#This Row],[Team]]="","",KMax-(KMax-KFloor)*MIN(Games[[#This Row],[GamesPlayed]],Games[[#This Row],[SeasonLen]])/Games[[#This Row],[SeasonLen]])</f>
        <v>42.325000000000003</v>
      </c>
      <c r="AH166">
        <f>IF(Games[[#This Row],[Team]]="","",((ABS(Games[[#This Row],[MOV]])+3)^0.8)/(7.5+0.006*ABS(Games[[#This Row],[PreGmRate]]-Games[[#This Row],[OppPreGmRate]]))*IF(Games[[#This Row],[OT]]=1,0.7,1))</f>
        <v>1.2558251645761607</v>
      </c>
      <c r="AI16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6">
        <f>IF(Games[[#This Row],[Team]]="","",Games[[#This Row],[K]]*IF(Games[[#This Row],[DivG]]=1,DivMult,1)*IF(Games[[#This Row],[ConfG]]=1,ConfMult,1)*Games[[#This Row],[POMult]])</f>
        <v>47.488650000000007</v>
      </c>
      <c r="AK166">
        <f>IF(Games[[#This Row],[Team]]="","",(Games[[#This Row],[Keff]]*Games[[#This Row],[MOVMult]])*(Games[[#This Row],[Result]]-Games[[#This Row],[ExpectedWin]]))</f>
        <v>33.388783765746638</v>
      </c>
      <c r="AL166">
        <f>IF(Games[[#This Row],[Team]]="","",Games[[#This Row],[PreGmRate]]+Games[[#This Row],[RatingChange]])</f>
        <v>1578.3734958423101</v>
      </c>
      <c r="AM166">
        <f>IF(Games[[#This Row],[Team]]="","",IF(Games[[#This Row],[Type]]="R",IF(Games[[#This Row],[Result]]&gt;0.5,1,0),0))</f>
        <v>1</v>
      </c>
      <c r="AN166">
        <f>IF(Games[[#This Row],[Team]]="","",IF(Games[[#This Row],[Type]]="R",IF(Games[[#This Row],[Result]]&lt;0.5,1,0),0))</f>
        <v>0</v>
      </c>
      <c r="AO166">
        <f>IF(Games[[#This Row],[Team]]="","",IF(Games[[#This Row],[Type]]="R",IF(Games[[#This Row],[Result]]=0.5,1,0),0))</f>
        <v>0</v>
      </c>
    </row>
    <row r="167" spans="1:41" x14ac:dyDescent="0.35">
      <c r="A167" s="8">
        <v>35351</v>
      </c>
      <c r="B167">
        <v>1996</v>
      </c>
      <c r="C167" t="s">
        <v>197</v>
      </c>
      <c r="D167" t="s">
        <v>199</v>
      </c>
      <c r="E167" t="s">
        <v>106</v>
      </c>
      <c r="F167" t="s">
        <v>128</v>
      </c>
      <c r="G167" t="s">
        <v>200</v>
      </c>
      <c r="H167">
        <v>7</v>
      </c>
      <c r="I167">
        <v>21</v>
      </c>
      <c r="J167">
        <v>0</v>
      </c>
      <c r="K16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6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6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6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67">
        <f>IF(Games[[#This Row],[Team]]="","",IF(Games[[#This Row],[Conf]]=Games[[#This Row],[OppConf]],1,0))</f>
        <v>1</v>
      </c>
      <c r="P167">
        <f>IF(Games[[#This Row],[Team]]="","",IF(AND(Games[[#This Row],[Conf]]=Games[[#This Row],[OppConf]],Games[[#This Row],[Div]]=Games[[#This Row],[OppDiv]]),1,0))</f>
        <v>1</v>
      </c>
      <c r="Q167">
        <f>IF(Games[[#This Row],[Team]]="","",_xlfn.MINIFS(Games[Date],Games[Season],Games[[#This Row],[Season]]))</f>
        <v>35309</v>
      </c>
      <c r="R167">
        <f>IF(Games[[#This Row],[Team]]="","",INT((Games[[#This Row],[Date]]-(Games[[#This Row],[SeasonStart]]-MOD(WEEKDAY(Games[[#This Row],[SeasonStart]],2)-2,7)))/7)+1)</f>
        <v>7</v>
      </c>
      <c r="S167">
        <f>IF(Games[[#This Row],[Team]]="","",COUNTIFS(Games[Team],Games[[#This Row],[Team]],Games[Season],Games[[#This Row],[Season]],Games[Week],"&lt;="&amp;Games[[#This Row],[Week]]))</f>
        <v>6</v>
      </c>
      <c r="T167">
        <f>IF(Games[[#This Row],[Team]]="","",_xlfn.MAXIFS(Games[Week],Games[Team],Games[[#This Row],[Team]],Games[Season],Games[[#This Row],[Season]],Games[Week],"&lt;"&amp;Games[[#This Row],[Week]]))</f>
        <v>6</v>
      </c>
      <c r="U167">
        <f>IF(Games[[#This Row],[Team]]="","",_xlfn.MAXIFS(Games[Week],Games[Team],Games[[#This Row],[Opponent]],Games[Season],Games[[#This Row],[Season]],Games[Week],"&lt;"&amp;Games[[#This Row],[Week]]))</f>
        <v>6</v>
      </c>
      <c r="V16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6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6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6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1514.7821105633629</v>
      </c>
      <c r="Z16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1544.9847120765635</v>
      </c>
      <c r="AA16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0.5598627776946884</v>
      </c>
      <c r="AB167">
        <f>IF(Games[[#This Row],[Team]]="","",Games[[#This Row],[PointsFor]]-Games[[#This Row],[PointsAgainst]])</f>
        <v>-14</v>
      </c>
      <c r="AC167">
        <f>IF(Games[[#This Row],[Team]]="","",IF(Games[[#This Row],[MOV]]&gt;0,1,IF(Games[[#This Row],[MOV]]=0,0.5,0)))</f>
        <v>0</v>
      </c>
      <c r="AD167">
        <f>IF(Games[[#This Row],[Team]]="","",--(OR(AND(Games[[#This Row],[ExpectedWin]]&gt;=0.5,Games[[#This Row],[Result]]=1),AND(Games[[#This Row],[ExpectedWin]]&lt;0.5,Games[[#This Row],[Result]]=0))))</f>
        <v>0</v>
      </c>
      <c r="AE167">
        <f>IF(Games[[#This Row],[Team]]="","",-(Games[[#This Row],[Result]]*LN(Games[[#This Row],[ExpectedWin]])+(1-Games[[#This Row],[Result]])*LN(1-Games[[#This Row],[ExpectedWin]])))</f>
        <v>0.82066873181511113</v>
      </c>
      <c r="AF167">
        <f>IF(Games[[#This Row],[Team]]="","",IF(Games[[#This Row],[Season]]&gt;=2021,17,16))</f>
        <v>16</v>
      </c>
      <c r="AG167">
        <f>IF(Games[[#This Row],[Team]]="","",KMax-(KMax-KFloor)*MIN(Games[[#This Row],[GamesPlayed]],Games[[#This Row],[SeasonLen]])/Games[[#This Row],[SeasonLen]])</f>
        <v>42.325000000000003</v>
      </c>
      <c r="AH167">
        <f>IF(Games[[#This Row],[Team]]="","",((ABS(Games[[#This Row],[MOV]])+3)^0.8)/(7.5+0.006*ABS(Games[[#This Row],[PreGmRate]]-Games[[#This Row],[OppPreGmRate]]))*IF(Games[[#This Row],[OT]]=1,0.7,1))</f>
        <v>1.2558251645761607</v>
      </c>
      <c r="AI16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7">
        <f>IF(Games[[#This Row],[Team]]="","",Games[[#This Row],[K]]*IF(Games[[#This Row],[DivG]]=1,DivMult,1)*IF(Games[[#This Row],[ConfG]]=1,ConfMult,1)*Games[[#This Row],[POMult]])</f>
        <v>47.488650000000007</v>
      </c>
      <c r="AK167">
        <f>IF(Games[[#This Row],[Team]]="","",(Games[[#This Row],[Keff]]*Games[[#This Row],[MOVMult]])*(Games[[#This Row],[Result]]-Games[[#This Row],[ExpectedWin]]))</f>
        <v>-33.388783765746631</v>
      </c>
      <c r="AL167">
        <f>IF(Games[[#This Row],[Team]]="","",Games[[#This Row],[PreGmRate]]+Games[[#This Row],[RatingChange]])</f>
        <v>1481.3933267976163</v>
      </c>
      <c r="AM167">
        <f>IF(Games[[#This Row],[Team]]="","",IF(Games[[#This Row],[Type]]="R",IF(Games[[#This Row],[Result]]&gt;0.5,1,0),0))</f>
        <v>0</v>
      </c>
      <c r="AN167">
        <f>IF(Games[[#This Row],[Team]]="","",IF(Games[[#This Row],[Type]]="R",IF(Games[[#This Row],[Result]]&lt;0.5,1,0),0))</f>
        <v>1</v>
      </c>
      <c r="AO167">
        <f>IF(Games[[#This Row],[Team]]="","",IF(Games[[#This Row],[Type]]="R",IF(Games[[#This Row],[Result]]=0.5,1,0),0))</f>
        <v>0</v>
      </c>
    </row>
    <row r="168" spans="1:41" x14ac:dyDescent="0.35">
      <c r="A168" s="8">
        <v>35351</v>
      </c>
      <c r="B168">
        <v>1996</v>
      </c>
      <c r="C168" t="s">
        <v>197</v>
      </c>
      <c r="D168" t="s">
        <v>199</v>
      </c>
      <c r="E168" t="s">
        <v>108</v>
      </c>
      <c r="F168" t="s">
        <v>150</v>
      </c>
      <c r="G168" t="s">
        <v>200</v>
      </c>
      <c r="H168">
        <v>45</v>
      </c>
      <c r="I168">
        <v>13</v>
      </c>
      <c r="J168">
        <v>0</v>
      </c>
      <c r="K16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6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6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6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68">
        <f>IF(Games[[#This Row],[Team]]="","",IF(Games[[#This Row],[Conf]]=Games[[#This Row],[OppConf]],1,0))</f>
        <v>1</v>
      </c>
      <c r="P168">
        <f>IF(Games[[#This Row],[Team]]="","",IF(AND(Games[[#This Row],[Conf]]=Games[[#This Row],[OppConf]],Games[[#This Row],[Div]]=Games[[#This Row],[OppDiv]]),1,0))</f>
        <v>1</v>
      </c>
      <c r="Q168">
        <f>IF(Games[[#This Row],[Team]]="","",_xlfn.MINIFS(Games[Date],Games[Season],Games[[#This Row],[Season]]))</f>
        <v>35309</v>
      </c>
      <c r="R168">
        <f>IF(Games[[#This Row],[Team]]="","",INT((Games[[#This Row],[Date]]-(Games[[#This Row],[SeasonStart]]-MOD(WEEKDAY(Games[[#This Row],[SeasonStart]],2)-2,7)))/7)+1)</f>
        <v>7</v>
      </c>
      <c r="S168">
        <f>IF(Games[[#This Row],[Team]]="","",COUNTIFS(Games[Team],Games[[#This Row],[Team]],Games[Season],Games[[#This Row],[Season]],Games[Week],"&lt;="&amp;Games[[#This Row],[Week]]))</f>
        <v>6</v>
      </c>
      <c r="T168">
        <f>IF(Games[[#This Row],[Team]]="","",_xlfn.MAXIFS(Games[Week],Games[Team],Games[[#This Row],[Team]],Games[Season],Games[[#This Row],[Season]],Games[Week],"&lt;"&amp;Games[[#This Row],[Week]]))</f>
        <v>6</v>
      </c>
      <c r="U168">
        <f>IF(Games[[#This Row],[Team]]="","",_xlfn.MAXIFS(Games[Week],Games[Team],Games[[#This Row],[Opponent]],Games[Season],Games[[#This Row],[Season]],Games[Week],"&lt;"&amp;Games[[#This Row],[Week]]))</f>
        <v>6</v>
      </c>
      <c r="V16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6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6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6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1546.7070671644351</v>
      </c>
      <c r="Z16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1418.1242991383499</v>
      </c>
      <c r="AA16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0.76035872829877171</v>
      </c>
      <c r="AB168">
        <f>IF(Games[[#This Row],[Team]]="","",Games[[#This Row],[PointsFor]]-Games[[#This Row],[PointsAgainst]])</f>
        <v>32</v>
      </c>
      <c r="AC168">
        <f>IF(Games[[#This Row],[Team]]="","",IF(Games[[#This Row],[MOV]]&gt;0,1,IF(Games[[#This Row],[MOV]]=0,0.5,0)))</f>
        <v>1</v>
      </c>
      <c r="AD168">
        <f>IF(Games[[#This Row],[Team]]="","",--(OR(AND(Games[[#This Row],[ExpectedWin]]&gt;=0.5,Games[[#This Row],[Result]]=1),AND(Games[[#This Row],[ExpectedWin]]&lt;0.5,Games[[#This Row],[Result]]=0))))</f>
        <v>1</v>
      </c>
      <c r="AE168">
        <f>IF(Games[[#This Row],[Team]]="","",-(Games[[#This Row],[Result]]*LN(Games[[#This Row],[ExpectedWin]])+(1-Games[[#This Row],[Result]])*LN(1-Games[[#This Row],[ExpectedWin]])))</f>
        <v>0.27396494614443651</v>
      </c>
      <c r="AF168">
        <f>IF(Games[[#This Row],[Team]]="","",IF(Games[[#This Row],[Season]]&gt;=2021,17,16))</f>
        <v>16</v>
      </c>
      <c r="AG168">
        <f>IF(Games[[#This Row],[Team]]="","",KMax-(KMax-KFloor)*MIN(Games[[#This Row],[GamesPlayed]],Games[[#This Row],[SeasonLen]])/Games[[#This Row],[SeasonLen]])</f>
        <v>42.325000000000003</v>
      </c>
      <c r="AH168">
        <f>IF(Games[[#This Row],[Team]]="","",((ABS(Games[[#This Row],[MOV]])+3)^0.8)/(7.5+0.006*ABS(Games[[#This Row],[PreGmRate]]-Games[[#This Row],[OppPreGmRate]]))*IF(Games[[#This Row],[OT]]=1,0.7,1))</f>
        <v>2.0781186478642315</v>
      </c>
      <c r="AI16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8">
        <f>IF(Games[[#This Row],[Team]]="","",Games[[#This Row],[K]]*IF(Games[[#This Row],[DivG]]=1,DivMult,1)*IF(Games[[#This Row],[ConfG]]=1,ConfMult,1)*Games[[#This Row],[POMult]])</f>
        <v>47.488650000000007</v>
      </c>
      <c r="AK168">
        <f>IF(Games[[#This Row],[Team]]="","",(Games[[#This Row],[Keff]]*Games[[#This Row],[MOVMult]])*(Games[[#This Row],[Result]]-Games[[#This Row],[ExpectedWin]]))</f>
        <v>23.649489953211368</v>
      </c>
      <c r="AL168">
        <f>IF(Games[[#This Row],[Team]]="","",Games[[#This Row],[PreGmRate]]+Games[[#This Row],[RatingChange]])</f>
        <v>1570.3565571176464</v>
      </c>
      <c r="AM168">
        <f>IF(Games[[#This Row],[Team]]="","",IF(Games[[#This Row],[Type]]="R",IF(Games[[#This Row],[Result]]&gt;0.5,1,0),0))</f>
        <v>1</v>
      </c>
      <c r="AN168">
        <f>IF(Games[[#This Row],[Team]]="","",IF(Games[[#This Row],[Type]]="R",IF(Games[[#This Row],[Result]]&lt;0.5,1,0),0))</f>
        <v>0</v>
      </c>
      <c r="AO168">
        <f>IF(Games[[#This Row],[Team]]="","",IF(Games[[#This Row],[Type]]="R",IF(Games[[#This Row],[Result]]=0.5,1,0),0))</f>
        <v>0</v>
      </c>
    </row>
    <row r="169" spans="1:41" x14ac:dyDescent="0.35">
      <c r="A169" s="8">
        <v>35351</v>
      </c>
      <c r="B169">
        <v>1996</v>
      </c>
      <c r="C169" t="s">
        <v>197</v>
      </c>
      <c r="D169" t="s">
        <v>199</v>
      </c>
      <c r="E169" t="s">
        <v>150</v>
      </c>
      <c r="F169" t="s">
        <v>108</v>
      </c>
      <c r="G169" t="s">
        <v>201</v>
      </c>
      <c r="H169">
        <v>13</v>
      </c>
      <c r="I169">
        <v>45</v>
      </c>
      <c r="J169">
        <v>0</v>
      </c>
      <c r="K16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6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6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6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69">
        <f>IF(Games[[#This Row],[Team]]="","",IF(Games[[#This Row],[Conf]]=Games[[#This Row],[OppConf]],1,0))</f>
        <v>1</v>
      </c>
      <c r="P169">
        <f>IF(Games[[#This Row],[Team]]="","",IF(AND(Games[[#This Row],[Conf]]=Games[[#This Row],[OppConf]],Games[[#This Row],[Div]]=Games[[#This Row],[OppDiv]]),1,0))</f>
        <v>1</v>
      </c>
      <c r="Q169">
        <f>IF(Games[[#This Row],[Team]]="","",_xlfn.MINIFS(Games[Date],Games[Season],Games[[#This Row],[Season]]))</f>
        <v>35309</v>
      </c>
      <c r="R169">
        <f>IF(Games[[#This Row],[Team]]="","",INT((Games[[#This Row],[Date]]-(Games[[#This Row],[SeasonStart]]-MOD(WEEKDAY(Games[[#This Row],[SeasonStart]],2)-2,7)))/7)+1)</f>
        <v>7</v>
      </c>
      <c r="S169">
        <f>IF(Games[[#This Row],[Team]]="","",COUNTIFS(Games[Team],Games[[#This Row],[Team]],Games[Season],Games[[#This Row],[Season]],Games[Week],"&lt;="&amp;Games[[#This Row],[Week]]))</f>
        <v>6</v>
      </c>
      <c r="T169">
        <f>IF(Games[[#This Row],[Team]]="","",_xlfn.MAXIFS(Games[Week],Games[Team],Games[[#This Row],[Team]],Games[Season],Games[[#This Row],[Season]],Games[Week],"&lt;"&amp;Games[[#This Row],[Week]]))</f>
        <v>6</v>
      </c>
      <c r="U169">
        <f>IF(Games[[#This Row],[Team]]="","",_xlfn.MAXIFS(Games[Week],Games[Team],Games[[#This Row],[Opponent]],Games[Season],Games[[#This Row],[Season]],Games[Week],"&lt;"&amp;Games[[#This Row],[Week]]))</f>
        <v>6</v>
      </c>
      <c r="V16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6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6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6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1418.1242991383499</v>
      </c>
      <c r="Z16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1546.7070671644351</v>
      </c>
      <c r="AA16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0.23964127170122826</v>
      </c>
      <c r="AB169">
        <f>IF(Games[[#This Row],[Team]]="","",Games[[#This Row],[PointsFor]]-Games[[#This Row],[PointsAgainst]])</f>
        <v>-32</v>
      </c>
      <c r="AC169">
        <f>IF(Games[[#This Row],[Team]]="","",IF(Games[[#This Row],[MOV]]&gt;0,1,IF(Games[[#This Row],[MOV]]=0,0.5,0)))</f>
        <v>0</v>
      </c>
      <c r="AD169">
        <f>IF(Games[[#This Row],[Team]]="","",--(OR(AND(Games[[#This Row],[ExpectedWin]]&gt;=0.5,Games[[#This Row],[Result]]=1),AND(Games[[#This Row],[ExpectedWin]]&lt;0.5,Games[[#This Row],[Result]]=0))))</f>
        <v>1</v>
      </c>
      <c r="AE169">
        <f>IF(Games[[#This Row],[Team]]="","",-(Games[[#This Row],[Result]]*LN(Games[[#This Row],[ExpectedWin]])+(1-Games[[#This Row],[Result]])*LN(1-Games[[#This Row],[ExpectedWin]])))</f>
        <v>0.27396494614443651</v>
      </c>
      <c r="AF169">
        <f>IF(Games[[#This Row],[Team]]="","",IF(Games[[#This Row],[Season]]&gt;=2021,17,16))</f>
        <v>16</v>
      </c>
      <c r="AG169">
        <f>IF(Games[[#This Row],[Team]]="","",KMax-(KMax-KFloor)*MIN(Games[[#This Row],[GamesPlayed]],Games[[#This Row],[SeasonLen]])/Games[[#This Row],[SeasonLen]])</f>
        <v>42.325000000000003</v>
      </c>
      <c r="AH169">
        <f>IF(Games[[#This Row],[Team]]="","",((ABS(Games[[#This Row],[MOV]])+3)^0.8)/(7.5+0.006*ABS(Games[[#This Row],[PreGmRate]]-Games[[#This Row],[OppPreGmRate]]))*IF(Games[[#This Row],[OT]]=1,0.7,1))</f>
        <v>2.0781186478642315</v>
      </c>
      <c r="AI16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9">
        <f>IF(Games[[#This Row],[Team]]="","",Games[[#This Row],[K]]*IF(Games[[#This Row],[DivG]]=1,DivMult,1)*IF(Games[[#This Row],[ConfG]]=1,ConfMult,1)*Games[[#This Row],[POMult]])</f>
        <v>47.488650000000007</v>
      </c>
      <c r="AK169">
        <f>IF(Games[[#This Row],[Team]]="","",(Games[[#This Row],[Keff]]*Games[[#This Row],[MOVMult]])*(Games[[#This Row],[Result]]-Games[[#This Row],[ExpectedWin]]))</f>
        <v>-23.649489953211365</v>
      </c>
      <c r="AL169">
        <f>IF(Games[[#This Row],[Team]]="","",Games[[#This Row],[PreGmRate]]+Games[[#This Row],[RatingChange]])</f>
        <v>1394.4748091851386</v>
      </c>
      <c r="AM169">
        <f>IF(Games[[#This Row],[Team]]="","",IF(Games[[#This Row],[Type]]="R",IF(Games[[#This Row],[Result]]&gt;0.5,1,0),0))</f>
        <v>0</v>
      </c>
      <c r="AN169">
        <f>IF(Games[[#This Row],[Team]]="","",IF(Games[[#This Row],[Type]]="R",IF(Games[[#This Row],[Result]]&lt;0.5,1,0),0))</f>
        <v>1</v>
      </c>
      <c r="AO169">
        <f>IF(Games[[#This Row],[Team]]="","",IF(Games[[#This Row],[Type]]="R",IF(Games[[#This Row],[Result]]=0.5,1,0),0))</f>
        <v>0</v>
      </c>
    </row>
    <row r="170" spans="1:41" x14ac:dyDescent="0.35">
      <c r="A170" s="8">
        <v>35351</v>
      </c>
      <c r="B170">
        <v>1996</v>
      </c>
      <c r="C170" t="s">
        <v>197</v>
      </c>
      <c r="D170" t="s">
        <v>199</v>
      </c>
      <c r="E170" t="s">
        <v>143</v>
      </c>
      <c r="F170" t="s">
        <v>112</v>
      </c>
      <c r="G170" t="s">
        <v>200</v>
      </c>
      <c r="H170">
        <v>20</v>
      </c>
      <c r="I170">
        <v>10</v>
      </c>
      <c r="J170">
        <v>0</v>
      </c>
      <c r="K17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7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7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7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70">
        <f>IF(Games[[#This Row],[Team]]="","",IF(Games[[#This Row],[Conf]]=Games[[#This Row],[OppConf]],1,0))</f>
        <v>1</v>
      </c>
      <c r="P170">
        <f>IF(Games[[#This Row],[Team]]="","",IF(AND(Games[[#This Row],[Conf]]=Games[[#This Row],[OppConf]],Games[[#This Row],[Div]]=Games[[#This Row],[OppDiv]]),1,0))</f>
        <v>1</v>
      </c>
      <c r="Q170">
        <f>IF(Games[[#This Row],[Team]]="","",_xlfn.MINIFS(Games[Date],Games[Season],Games[[#This Row],[Season]]))</f>
        <v>35309</v>
      </c>
      <c r="R170">
        <f>IF(Games[[#This Row],[Team]]="","",INT((Games[[#This Row],[Date]]-(Games[[#This Row],[SeasonStart]]-MOD(WEEKDAY(Games[[#This Row],[SeasonStart]],2)-2,7)))/7)+1)</f>
        <v>7</v>
      </c>
      <c r="S170">
        <f>IF(Games[[#This Row],[Team]]="","",COUNTIFS(Games[Team],Games[[#This Row],[Team]],Games[Season],Games[[#This Row],[Season]],Games[Week],"&lt;="&amp;Games[[#This Row],[Week]]))</f>
        <v>6</v>
      </c>
      <c r="T170">
        <f>IF(Games[[#This Row],[Team]]="","",_xlfn.MAXIFS(Games[Week],Games[Team],Games[[#This Row],[Team]],Games[Season],Games[[#This Row],[Season]],Games[Week],"&lt;"&amp;Games[[#This Row],[Week]]))</f>
        <v>6</v>
      </c>
      <c r="U170">
        <f>IF(Games[[#This Row],[Team]]="","",_xlfn.MAXIFS(Games[Week],Games[Team],Games[[#This Row],[Opponent]],Games[Season],Games[[#This Row],[Season]],Games[Week],"&lt;"&amp;Games[[#This Row],[Week]]))</f>
        <v>6</v>
      </c>
      <c r="V17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17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7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17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1584.1856874580485</v>
      </c>
      <c r="Z17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1462.6844604525922</v>
      </c>
      <c r="AA17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0.74636978833198797</v>
      </c>
      <c r="AB170">
        <f>IF(Games[[#This Row],[Team]]="","",Games[[#This Row],[PointsFor]]-Games[[#This Row],[PointsAgainst]])</f>
        <v>10</v>
      </c>
      <c r="AC170">
        <f>IF(Games[[#This Row],[Team]]="","",IF(Games[[#This Row],[MOV]]&gt;0,1,IF(Games[[#This Row],[MOV]]=0,0.5,0)))</f>
        <v>1</v>
      </c>
      <c r="AD170">
        <f>IF(Games[[#This Row],[Team]]="","",--(OR(AND(Games[[#This Row],[ExpectedWin]]&gt;=0.5,Games[[#This Row],[Result]]=1),AND(Games[[#This Row],[ExpectedWin]]&lt;0.5,Games[[#This Row],[Result]]=0))))</f>
        <v>1</v>
      </c>
      <c r="AE170">
        <f>IF(Games[[#This Row],[Team]]="","",-(Games[[#This Row],[Result]]*LN(Games[[#This Row],[ExpectedWin]])+(1-Games[[#This Row],[Result]])*LN(1-Games[[#This Row],[ExpectedWin]])))</f>
        <v>0.29253410677946923</v>
      </c>
      <c r="AF170">
        <f>IF(Games[[#This Row],[Team]]="","",IF(Games[[#This Row],[Season]]&gt;=2021,17,16))</f>
        <v>16</v>
      </c>
      <c r="AG170">
        <f>IF(Games[[#This Row],[Team]]="","",KMax-(KMax-KFloor)*MIN(Games[[#This Row],[GamesPlayed]],Games[[#This Row],[SeasonLen]])/Games[[#This Row],[SeasonLen]])</f>
        <v>42.325000000000003</v>
      </c>
      <c r="AH170">
        <f>IF(Games[[#This Row],[Team]]="","",((ABS(Games[[#This Row],[MOV]])+3)^0.8)/(7.5+0.006*ABS(Games[[#This Row],[PreGmRate]]-Games[[#This Row],[OppPreGmRate]]))*IF(Games[[#This Row],[OT]]=1,0.7,1))</f>
        <v>0.94581725105139203</v>
      </c>
      <c r="AI17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0">
        <f>IF(Games[[#This Row],[Team]]="","",Games[[#This Row],[K]]*IF(Games[[#This Row],[DivG]]=1,DivMult,1)*IF(Games[[#This Row],[ConfG]]=1,ConfMult,1)*Games[[#This Row],[POMult]])</f>
        <v>47.488650000000007</v>
      </c>
      <c r="AK170">
        <f>IF(Games[[#This Row],[Team]]="","",(Games[[#This Row],[Keff]]*Games[[#This Row],[MOVMult]])*(Games[[#This Row],[Result]]-Games[[#This Row],[ExpectedWin]]))</f>
        <v>11.391949178346767</v>
      </c>
      <c r="AL170">
        <f>IF(Games[[#This Row],[Team]]="","",Games[[#This Row],[PreGmRate]]+Games[[#This Row],[RatingChange]])</f>
        <v>1595.5776366363953</v>
      </c>
      <c r="AM170">
        <f>IF(Games[[#This Row],[Team]]="","",IF(Games[[#This Row],[Type]]="R",IF(Games[[#This Row],[Result]]&gt;0.5,1,0),0))</f>
        <v>1</v>
      </c>
      <c r="AN170">
        <f>IF(Games[[#This Row],[Team]]="","",IF(Games[[#This Row],[Type]]="R",IF(Games[[#This Row],[Result]]&lt;0.5,1,0),0))</f>
        <v>0</v>
      </c>
      <c r="AO170">
        <f>IF(Games[[#This Row],[Team]]="","",IF(Games[[#This Row],[Type]]="R",IF(Games[[#This Row],[Result]]=0.5,1,0),0))</f>
        <v>0</v>
      </c>
    </row>
    <row r="171" spans="1:41" x14ac:dyDescent="0.35">
      <c r="A171" s="8">
        <v>35351</v>
      </c>
      <c r="B171">
        <v>1996</v>
      </c>
      <c r="C171" t="s">
        <v>197</v>
      </c>
      <c r="D171" t="s">
        <v>199</v>
      </c>
      <c r="E171" t="s">
        <v>112</v>
      </c>
      <c r="F171" t="s">
        <v>143</v>
      </c>
      <c r="G171" t="s">
        <v>201</v>
      </c>
      <c r="H171">
        <v>10</v>
      </c>
      <c r="I171">
        <v>20</v>
      </c>
      <c r="J171">
        <v>0</v>
      </c>
      <c r="K17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7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7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7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71">
        <f>IF(Games[[#This Row],[Team]]="","",IF(Games[[#This Row],[Conf]]=Games[[#This Row],[OppConf]],1,0))</f>
        <v>1</v>
      </c>
      <c r="P171">
        <f>IF(Games[[#This Row],[Team]]="","",IF(AND(Games[[#This Row],[Conf]]=Games[[#This Row],[OppConf]],Games[[#This Row],[Div]]=Games[[#This Row],[OppDiv]]),1,0))</f>
        <v>1</v>
      </c>
      <c r="Q171">
        <f>IF(Games[[#This Row],[Team]]="","",_xlfn.MINIFS(Games[Date],Games[Season],Games[[#This Row],[Season]]))</f>
        <v>35309</v>
      </c>
      <c r="R171">
        <f>IF(Games[[#This Row],[Team]]="","",INT((Games[[#This Row],[Date]]-(Games[[#This Row],[SeasonStart]]-MOD(WEEKDAY(Games[[#This Row],[SeasonStart]],2)-2,7)))/7)+1)</f>
        <v>7</v>
      </c>
      <c r="S171">
        <f>IF(Games[[#This Row],[Team]]="","",COUNTIFS(Games[Team],Games[[#This Row],[Team]],Games[Season],Games[[#This Row],[Season]],Games[Week],"&lt;="&amp;Games[[#This Row],[Week]]))</f>
        <v>6</v>
      </c>
      <c r="T171">
        <f>IF(Games[[#This Row],[Team]]="","",_xlfn.MAXIFS(Games[Week],Games[Team],Games[[#This Row],[Team]],Games[Season],Games[[#This Row],[Season]],Games[Week],"&lt;"&amp;Games[[#This Row],[Week]]))</f>
        <v>6</v>
      </c>
      <c r="U171">
        <f>IF(Games[[#This Row],[Team]]="","",_xlfn.MAXIFS(Games[Week],Games[Team],Games[[#This Row],[Opponent]],Games[Season],Games[[#This Row],[Season]],Games[Week],"&lt;"&amp;Games[[#This Row],[Week]]))</f>
        <v>6</v>
      </c>
      <c r="V17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7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17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17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1462.6844604525922</v>
      </c>
      <c r="Z17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1584.1856874580485</v>
      </c>
      <c r="AA17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0.25363021166801192</v>
      </c>
      <c r="AB171">
        <f>IF(Games[[#This Row],[Team]]="","",Games[[#This Row],[PointsFor]]-Games[[#This Row],[PointsAgainst]])</f>
        <v>-10</v>
      </c>
      <c r="AC171">
        <f>IF(Games[[#This Row],[Team]]="","",IF(Games[[#This Row],[MOV]]&gt;0,1,IF(Games[[#This Row],[MOV]]=0,0.5,0)))</f>
        <v>0</v>
      </c>
      <c r="AD171">
        <f>IF(Games[[#This Row],[Team]]="","",--(OR(AND(Games[[#This Row],[ExpectedWin]]&gt;=0.5,Games[[#This Row],[Result]]=1),AND(Games[[#This Row],[ExpectedWin]]&lt;0.5,Games[[#This Row],[Result]]=0))))</f>
        <v>1</v>
      </c>
      <c r="AE171">
        <f>IF(Games[[#This Row],[Team]]="","",-(Games[[#This Row],[Result]]*LN(Games[[#This Row],[ExpectedWin]])+(1-Games[[#This Row],[Result]])*LN(1-Games[[#This Row],[ExpectedWin]])))</f>
        <v>0.29253410677946906</v>
      </c>
      <c r="AF171">
        <f>IF(Games[[#This Row],[Team]]="","",IF(Games[[#This Row],[Season]]&gt;=2021,17,16))</f>
        <v>16</v>
      </c>
      <c r="AG171">
        <f>IF(Games[[#This Row],[Team]]="","",KMax-(KMax-KFloor)*MIN(Games[[#This Row],[GamesPlayed]],Games[[#This Row],[SeasonLen]])/Games[[#This Row],[SeasonLen]])</f>
        <v>42.325000000000003</v>
      </c>
      <c r="AH171">
        <f>IF(Games[[#This Row],[Team]]="","",((ABS(Games[[#This Row],[MOV]])+3)^0.8)/(7.5+0.006*ABS(Games[[#This Row],[PreGmRate]]-Games[[#This Row],[OppPreGmRate]]))*IF(Games[[#This Row],[OT]]=1,0.7,1))</f>
        <v>0.94581725105139203</v>
      </c>
      <c r="AI17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1">
        <f>IF(Games[[#This Row],[Team]]="","",Games[[#This Row],[K]]*IF(Games[[#This Row],[DivG]]=1,DivMult,1)*IF(Games[[#This Row],[ConfG]]=1,ConfMult,1)*Games[[#This Row],[POMult]])</f>
        <v>47.488650000000007</v>
      </c>
      <c r="AK171">
        <f>IF(Games[[#This Row],[Team]]="","",(Games[[#This Row],[Keff]]*Games[[#This Row],[MOVMult]])*(Games[[#This Row],[Result]]-Games[[#This Row],[ExpectedWin]]))</f>
        <v>-11.391949178346762</v>
      </c>
      <c r="AL171">
        <f>IF(Games[[#This Row],[Team]]="","",Games[[#This Row],[PreGmRate]]+Games[[#This Row],[RatingChange]])</f>
        <v>1451.2925112742455</v>
      </c>
      <c r="AM171">
        <f>IF(Games[[#This Row],[Team]]="","",IF(Games[[#This Row],[Type]]="R",IF(Games[[#This Row],[Result]]&gt;0.5,1,0),0))</f>
        <v>0</v>
      </c>
      <c r="AN171">
        <f>IF(Games[[#This Row],[Team]]="","",IF(Games[[#This Row],[Type]]="R",IF(Games[[#This Row],[Result]]&lt;0.5,1,0),0))</f>
        <v>1</v>
      </c>
      <c r="AO171">
        <f>IF(Games[[#This Row],[Team]]="","",IF(Games[[#This Row],[Type]]="R",IF(Games[[#This Row],[Result]]=0.5,1,0),0))</f>
        <v>0</v>
      </c>
    </row>
    <row r="172" spans="1:41" x14ac:dyDescent="0.35">
      <c r="A172" s="8">
        <v>35351</v>
      </c>
      <c r="B172">
        <v>1996</v>
      </c>
      <c r="C172" t="s">
        <v>197</v>
      </c>
      <c r="D172" t="s">
        <v>199</v>
      </c>
      <c r="E172" t="s">
        <v>114</v>
      </c>
      <c r="F172" t="s">
        <v>93</v>
      </c>
      <c r="G172" t="s">
        <v>200</v>
      </c>
      <c r="H172">
        <v>17</v>
      </c>
      <c r="I172">
        <v>3</v>
      </c>
      <c r="J172">
        <v>0</v>
      </c>
      <c r="K17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7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7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7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72">
        <f>IF(Games[[#This Row],[Team]]="","",IF(Games[[#This Row],[Conf]]=Games[[#This Row],[OppConf]],1,0))</f>
        <v>1</v>
      </c>
      <c r="P172">
        <f>IF(Games[[#This Row],[Team]]="","",IF(AND(Games[[#This Row],[Conf]]=Games[[#This Row],[OppConf]],Games[[#This Row],[Div]]=Games[[#This Row],[OppDiv]]),1,0))</f>
        <v>1</v>
      </c>
      <c r="Q172">
        <f>IF(Games[[#This Row],[Team]]="","",_xlfn.MINIFS(Games[Date],Games[Season],Games[[#This Row],[Season]]))</f>
        <v>35309</v>
      </c>
      <c r="R172">
        <f>IF(Games[[#This Row],[Team]]="","",INT((Games[[#This Row],[Date]]-(Games[[#This Row],[SeasonStart]]-MOD(WEEKDAY(Games[[#This Row],[SeasonStart]],2)-2,7)))/7)+1)</f>
        <v>7</v>
      </c>
      <c r="S172">
        <f>IF(Games[[#This Row],[Team]]="","",COUNTIFS(Games[Team],Games[[#This Row],[Team]],Games[Season],Games[[#This Row],[Season]],Games[Week],"&lt;="&amp;Games[[#This Row],[Week]]))</f>
        <v>6</v>
      </c>
      <c r="T172">
        <f>IF(Games[[#This Row],[Team]]="","",_xlfn.MAXIFS(Games[Week],Games[Team],Games[[#This Row],[Team]],Games[Season],Games[[#This Row],[Season]],Games[Week],"&lt;"&amp;Games[[#This Row],[Week]]))</f>
        <v>5</v>
      </c>
      <c r="U172">
        <f>IF(Games[[#This Row],[Team]]="","",_xlfn.MAXIFS(Games[Week],Games[Team],Games[[#This Row],[Opponent]],Games[Season],Games[[#This Row],[Season]],Games[Week],"&lt;"&amp;Games[[#This Row],[Week]]))</f>
        <v>5</v>
      </c>
      <c r="V17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13</v>
      </c>
      <c r="W17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17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17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1516.5165019602671</v>
      </c>
      <c r="Z17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1443.5626551607454</v>
      </c>
      <c r="AA17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0.6899493762621749</v>
      </c>
      <c r="AB172">
        <f>IF(Games[[#This Row],[Team]]="","",Games[[#This Row],[PointsFor]]-Games[[#This Row],[PointsAgainst]])</f>
        <v>14</v>
      </c>
      <c r="AC172">
        <f>IF(Games[[#This Row],[Team]]="","",IF(Games[[#This Row],[MOV]]&gt;0,1,IF(Games[[#This Row],[MOV]]=0,0.5,0)))</f>
        <v>1</v>
      </c>
      <c r="AD172">
        <f>IF(Games[[#This Row],[Team]]="","",--(OR(AND(Games[[#This Row],[ExpectedWin]]&gt;=0.5,Games[[#This Row],[Result]]=1),AND(Games[[#This Row],[ExpectedWin]]&lt;0.5,Games[[#This Row],[Result]]=0))))</f>
        <v>1</v>
      </c>
      <c r="AE172">
        <f>IF(Games[[#This Row],[Team]]="","",-(Games[[#This Row],[Result]]*LN(Games[[#This Row],[ExpectedWin]])+(1-Games[[#This Row],[Result]])*LN(1-Games[[#This Row],[ExpectedWin]])))</f>
        <v>0.37113705181835438</v>
      </c>
      <c r="AF172">
        <f>IF(Games[[#This Row],[Team]]="","",IF(Games[[#This Row],[Season]]&gt;=2021,17,16))</f>
        <v>16</v>
      </c>
      <c r="AG172">
        <f>IF(Games[[#This Row],[Team]]="","",KMax-(KMax-KFloor)*MIN(Games[[#This Row],[GamesPlayed]],Games[[#This Row],[SeasonLen]])/Games[[#This Row],[SeasonLen]])</f>
        <v>42.325000000000003</v>
      </c>
      <c r="AH172">
        <f>IF(Games[[#This Row],[Team]]="","",((ABS(Games[[#This Row],[MOV]])+3)^0.8)/(7.5+0.006*ABS(Games[[#This Row],[PreGmRate]]-Games[[#This Row],[OppPreGmRate]]))*IF(Games[[#This Row],[OT]]=1,0.7,1))</f>
        <v>1.2152431822361025</v>
      </c>
      <c r="AI17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2">
        <f>IF(Games[[#This Row],[Team]]="","",Games[[#This Row],[K]]*IF(Games[[#This Row],[DivG]]=1,DivMult,1)*IF(Games[[#This Row],[ConfG]]=1,ConfMult,1)*Games[[#This Row],[POMult]])</f>
        <v>47.488650000000007</v>
      </c>
      <c r="AK172">
        <f>IF(Games[[#This Row],[Team]]="","",(Games[[#This Row],[Keff]]*Games[[#This Row],[MOVMult]])*(Games[[#This Row],[Result]]-Games[[#This Row],[ExpectedWin]]))</f>
        <v>17.893101534268123</v>
      </c>
      <c r="AL172">
        <f>IF(Games[[#This Row],[Team]]="","",Games[[#This Row],[PreGmRate]]+Games[[#This Row],[RatingChange]])</f>
        <v>1534.4096034945353</v>
      </c>
      <c r="AM172">
        <f>IF(Games[[#This Row],[Team]]="","",IF(Games[[#This Row],[Type]]="R",IF(Games[[#This Row],[Result]]&gt;0.5,1,0),0))</f>
        <v>1</v>
      </c>
      <c r="AN172">
        <f>IF(Games[[#This Row],[Team]]="","",IF(Games[[#This Row],[Type]]="R",IF(Games[[#This Row],[Result]]&lt;0.5,1,0),0))</f>
        <v>0</v>
      </c>
      <c r="AO172">
        <f>IF(Games[[#This Row],[Team]]="","",IF(Games[[#This Row],[Type]]="R",IF(Games[[#This Row],[Result]]=0.5,1,0),0))</f>
        <v>0</v>
      </c>
    </row>
    <row r="173" spans="1:41" x14ac:dyDescent="0.35">
      <c r="A173" s="8">
        <v>35351</v>
      </c>
      <c r="B173">
        <v>1996</v>
      </c>
      <c r="C173" t="s">
        <v>197</v>
      </c>
      <c r="D173" t="s">
        <v>199</v>
      </c>
      <c r="E173" t="s">
        <v>93</v>
      </c>
      <c r="F173" t="s">
        <v>114</v>
      </c>
      <c r="G173" t="s">
        <v>201</v>
      </c>
      <c r="H173">
        <v>3</v>
      </c>
      <c r="I173">
        <v>17</v>
      </c>
      <c r="J173">
        <v>0</v>
      </c>
      <c r="K17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7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7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7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73">
        <f>IF(Games[[#This Row],[Team]]="","",IF(Games[[#This Row],[Conf]]=Games[[#This Row],[OppConf]],1,0))</f>
        <v>1</v>
      </c>
      <c r="P173">
        <f>IF(Games[[#This Row],[Team]]="","",IF(AND(Games[[#This Row],[Conf]]=Games[[#This Row],[OppConf]],Games[[#This Row],[Div]]=Games[[#This Row],[OppDiv]]),1,0))</f>
        <v>1</v>
      </c>
      <c r="Q173">
        <f>IF(Games[[#This Row],[Team]]="","",_xlfn.MINIFS(Games[Date],Games[Season],Games[[#This Row],[Season]]))</f>
        <v>35309</v>
      </c>
      <c r="R173">
        <f>IF(Games[[#This Row],[Team]]="","",INT((Games[[#This Row],[Date]]-(Games[[#This Row],[SeasonStart]]-MOD(WEEKDAY(Games[[#This Row],[SeasonStart]],2)-2,7)))/7)+1)</f>
        <v>7</v>
      </c>
      <c r="S173">
        <f>IF(Games[[#This Row],[Team]]="","",COUNTIFS(Games[Team],Games[[#This Row],[Team]],Games[Season],Games[[#This Row],[Season]],Games[Week],"&lt;="&amp;Games[[#This Row],[Week]]))</f>
        <v>6</v>
      </c>
      <c r="T173">
        <f>IF(Games[[#This Row],[Team]]="","",_xlfn.MAXIFS(Games[Week],Games[Team],Games[[#This Row],[Team]],Games[Season],Games[[#This Row],[Season]],Games[Week],"&lt;"&amp;Games[[#This Row],[Week]]))</f>
        <v>5</v>
      </c>
      <c r="U173">
        <f>IF(Games[[#This Row],[Team]]="","",_xlfn.MAXIFS(Games[Week],Games[Team],Games[[#This Row],[Opponent]],Games[Season],Games[[#This Row],[Season]],Games[Week],"&lt;"&amp;Games[[#This Row],[Week]]))</f>
        <v>5</v>
      </c>
      <c r="V17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17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13</v>
      </c>
      <c r="X17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17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1443.5626551607454</v>
      </c>
      <c r="Z17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1516.5165019602671</v>
      </c>
      <c r="AA17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0.31005062373782499</v>
      </c>
      <c r="AB173">
        <f>IF(Games[[#This Row],[Team]]="","",Games[[#This Row],[PointsFor]]-Games[[#This Row],[PointsAgainst]])</f>
        <v>-14</v>
      </c>
      <c r="AC173">
        <f>IF(Games[[#This Row],[Team]]="","",IF(Games[[#This Row],[MOV]]&gt;0,1,IF(Games[[#This Row],[MOV]]=0,0.5,0)))</f>
        <v>0</v>
      </c>
      <c r="AD173">
        <f>IF(Games[[#This Row],[Team]]="","",--(OR(AND(Games[[#This Row],[ExpectedWin]]&gt;=0.5,Games[[#This Row],[Result]]=1),AND(Games[[#This Row],[ExpectedWin]]&lt;0.5,Games[[#This Row],[Result]]=0))))</f>
        <v>1</v>
      </c>
      <c r="AE173">
        <f>IF(Games[[#This Row],[Team]]="","",-(Games[[#This Row],[Result]]*LN(Games[[#This Row],[ExpectedWin]])+(1-Games[[#This Row],[Result]])*LN(1-Games[[#This Row],[ExpectedWin]])))</f>
        <v>0.37113705181835421</v>
      </c>
      <c r="AF173">
        <f>IF(Games[[#This Row],[Team]]="","",IF(Games[[#This Row],[Season]]&gt;=2021,17,16))</f>
        <v>16</v>
      </c>
      <c r="AG173">
        <f>IF(Games[[#This Row],[Team]]="","",KMax-(KMax-KFloor)*MIN(Games[[#This Row],[GamesPlayed]],Games[[#This Row],[SeasonLen]])/Games[[#This Row],[SeasonLen]])</f>
        <v>42.325000000000003</v>
      </c>
      <c r="AH173">
        <f>IF(Games[[#This Row],[Team]]="","",((ABS(Games[[#This Row],[MOV]])+3)^0.8)/(7.5+0.006*ABS(Games[[#This Row],[PreGmRate]]-Games[[#This Row],[OppPreGmRate]]))*IF(Games[[#This Row],[OT]]=1,0.7,1))</f>
        <v>1.2152431822361025</v>
      </c>
      <c r="AI17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3">
        <f>IF(Games[[#This Row],[Team]]="","",Games[[#This Row],[K]]*IF(Games[[#This Row],[DivG]]=1,DivMult,1)*IF(Games[[#This Row],[ConfG]]=1,ConfMult,1)*Games[[#This Row],[POMult]])</f>
        <v>47.488650000000007</v>
      </c>
      <c r="AK173">
        <f>IF(Games[[#This Row],[Team]]="","",(Games[[#This Row],[Keff]]*Games[[#This Row],[MOVMult]])*(Games[[#This Row],[Result]]-Games[[#This Row],[ExpectedWin]]))</f>
        <v>-17.893101534268116</v>
      </c>
      <c r="AL173">
        <f>IF(Games[[#This Row],[Team]]="","",Games[[#This Row],[PreGmRate]]+Games[[#This Row],[RatingChange]])</f>
        <v>1425.6695536264772</v>
      </c>
      <c r="AM173">
        <f>IF(Games[[#This Row],[Team]]="","",IF(Games[[#This Row],[Type]]="R",IF(Games[[#This Row],[Result]]&gt;0.5,1,0),0))</f>
        <v>0</v>
      </c>
      <c r="AN173">
        <f>IF(Games[[#This Row],[Team]]="","",IF(Games[[#This Row],[Type]]="R",IF(Games[[#This Row],[Result]]&lt;0.5,1,0),0))</f>
        <v>1</v>
      </c>
      <c r="AO173">
        <f>IF(Games[[#This Row],[Team]]="","",IF(Games[[#This Row],[Type]]="R",IF(Games[[#This Row],[Result]]=0.5,1,0),0))</f>
        <v>0</v>
      </c>
    </row>
    <row r="174" spans="1:41" x14ac:dyDescent="0.35">
      <c r="A174" s="8">
        <v>35351</v>
      </c>
      <c r="B174">
        <v>1996</v>
      </c>
      <c r="C174" t="s">
        <v>197</v>
      </c>
      <c r="D174" t="s">
        <v>199</v>
      </c>
      <c r="E174" t="s">
        <v>154</v>
      </c>
      <c r="F174" t="s">
        <v>132</v>
      </c>
      <c r="G174" t="s">
        <v>201</v>
      </c>
      <c r="H174">
        <v>27</v>
      </c>
      <c r="I174">
        <v>22</v>
      </c>
      <c r="J174">
        <v>0</v>
      </c>
      <c r="K17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7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7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7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74">
        <f>IF(Games[[#This Row],[Team]]="","",IF(Games[[#This Row],[Conf]]=Games[[#This Row],[OppConf]],1,0))</f>
        <v>0</v>
      </c>
      <c r="P174">
        <f>IF(Games[[#This Row],[Team]]="","",IF(AND(Games[[#This Row],[Conf]]=Games[[#This Row],[OppConf]],Games[[#This Row],[Div]]=Games[[#This Row],[OppDiv]]),1,0))</f>
        <v>0</v>
      </c>
      <c r="Q174">
        <f>IF(Games[[#This Row],[Team]]="","",_xlfn.MINIFS(Games[Date],Games[Season],Games[[#This Row],[Season]]))</f>
        <v>35309</v>
      </c>
      <c r="R174">
        <f>IF(Games[[#This Row],[Team]]="","",INT((Games[[#This Row],[Date]]-(Games[[#This Row],[SeasonStart]]-MOD(WEEKDAY(Games[[#This Row],[SeasonStart]],2)-2,7)))/7)+1)</f>
        <v>7</v>
      </c>
      <c r="S174">
        <f>IF(Games[[#This Row],[Team]]="","",COUNTIFS(Games[Team],Games[[#This Row],[Team]],Games[Season],Games[[#This Row],[Season]],Games[Week],"&lt;="&amp;Games[[#This Row],[Week]]))</f>
        <v>6</v>
      </c>
      <c r="T174">
        <f>IF(Games[[#This Row],[Team]]="","",_xlfn.MAXIFS(Games[Week],Games[Team],Games[[#This Row],[Team]],Games[Season],Games[[#This Row],[Season]],Games[Week],"&lt;"&amp;Games[[#This Row],[Week]]))</f>
        <v>5</v>
      </c>
      <c r="U174">
        <f>IF(Games[[#This Row],[Team]]="","",_xlfn.MAXIFS(Games[Week],Games[Team],Games[[#This Row],[Opponent]],Games[Season],Games[[#This Row],[Season]],Games[Week],"&lt;"&amp;Games[[#This Row],[Week]]))</f>
        <v>6</v>
      </c>
      <c r="V17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17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7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17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1571.6554693063931</v>
      </c>
      <c r="Z17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1521.7875233910777</v>
      </c>
      <c r="AA17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0.50268816436112018</v>
      </c>
      <c r="AB174">
        <f>IF(Games[[#This Row],[Team]]="","",Games[[#This Row],[PointsFor]]-Games[[#This Row],[PointsAgainst]])</f>
        <v>5</v>
      </c>
      <c r="AC174">
        <f>IF(Games[[#This Row],[Team]]="","",IF(Games[[#This Row],[MOV]]&gt;0,1,IF(Games[[#This Row],[MOV]]=0,0.5,0)))</f>
        <v>1</v>
      </c>
      <c r="AD174">
        <f>IF(Games[[#This Row],[Team]]="","",--(OR(AND(Games[[#This Row],[ExpectedWin]]&gt;=0.5,Games[[#This Row],[Result]]=1),AND(Games[[#This Row],[ExpectedWin]]&lt;0.5,Games[[#This Row],[Result]]=0))))</f>
        <v>1</v>
      </c>
      <c r="AE174">
        <f>IF(Games[[#This Row],[Team]]="","",-(Games[[#This Row],[Result]]*LN(Games[[#This Row],[ExpectedWin]])+(1-Games[[#This Row],[Result]])*LN(1-Games[[#This Row],[ExpectedWin]])))</f>
        <v>0.68778525270018198</v>
      </c>
      <c r="AF174">
        <f>IF(Games[[#This Row],[Team]]="","",IF(Games[[#This Row],[Season]]&gt;=2021,17,16))</f>
        <v>16</v>
      </c>
      <c r="AG174">
        <f>IF(Games[[#This Row],[Team]]="","",KMax-(KMax-KFloor)*MIN(Games[[#This Row],[GamesPlayed]],Games[[#This Row],[SeasonLen]])/Games[[#This Row],[SeasonLen]])</f>
        <v>42.325000000000003</v>
      </c>
      <c r="AH174">
        <f>IF(Games[[#This Row],[Team]]="","",((ABS(Games[[#This Row],[MOV]])+3)^0.8)/(7.5+0.006*ABS(Games[[#This Row],[PreGmRate]]-Games[[#This Row],[OppPreGmRate]]))*IF(Games[[#This Row],[OT]]=1,0.7,1))</f>
        <v>0.67673946671239182</v>
      </c>
      <c r="AI17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4">
        <f>IF(Games[[#This Row],[Team]]="","",Games[[#This Row],[K]]*IF(Games[[#This Row],[DivG]]=1,DivMult,1)*IF(Games[[#This Row],[ConfG]]=1,ConfMult,1)*Games[[#This Row],[POMult]])</f>
        <v>42.325000000000003</v>
      </c>
      <c r="AK174">
        <f>IF(Games[[#This Row],[Team]]="","",(Games[[#This Row],[Keff]]*Games[[#This Row],[MOVMult]])*(Games[[#This Row],[Result]]-Games[[#This Row],[ExpectedWin]]))</f>
        <v>14.244501878073686</v>
      </c>
      <c r="AL174">
        <f>IF(Games[[#This Row],[Team]]="","",Games[[#This Row],[PreGmRate]]+Games[[#This Row],[RatingChange]])</f>
        <v>1585.8999711844667</v>
      </c>
      <c r="AM174">
        <f>IF(Games[[#This Row],[Team]]="","",IF(Games[[#This Row],[Type]]="R",IF(Games[[#This Row],[Result]]&gt;0.5,1,0),0))</f>
        <v>1</v>
      </c>
      <c r="AN174">
        <f>IF(Games[[#This Row],[Team]]="","",IF(Games[[#This Row],[Type]]="R",IF(Games[[#This Row],[Result]]&lt;0.5,1,0),0))</f>
        <v>0</v>
      </c>
      <c r="AO174">
        <f>IF(Games[[#This Row],[Team]]="","",IF(Games[[#This Row],[Type]]="R",IF(Games[[#This Row],[Result]]=0.5,1,0),0))</f>
        <v>0</v>
      </c>
    </row>
    <row r="175" spans="1:41" x14ac:dyDescent="0.35">
      <c r="A175" s="8">
        <v>35351</v>
      </c>
      <c r="B175">
        <v>1996</v>
      </c>
      <c r="C175" t="s">
        <v>197</v>
      </c>
      <c r="D175" t="s">
        <v>199</v>
      </c>
      <c r="E175" t="s">
        <v>132</v>
      </c>
      <c r="F175" t="s">
        <v>154</v>
      </c>
      <c r="G175" t="s">
        <v>200</v>
      </c>
      <c r="H175">
        <v>22</v>
      </c>
      <c r="I175">
        <v>27</v>
      </c>
      <c r="J175">
        <v>0</v>
      </c>
      <c r="K17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7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7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7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75">
        <f>IF(Games[[#This Row],[Team]]="","",IF(Games[[#This Row],[Conf]]=Games[[#This Row],[OppConf]],1,0))</f>
        <v>0</v>
      </c>
      <c r="P175">
        <f>IF(Games[[#This Row],[Team]]="","",IF(AND(Games[[#This Row],[Conf]]=Games[[#This Row],[OppConf]],Games[[#This Row],[Div]]=Games[[#This Row],[OppDiv]]),1,0))</f>
        <v>0</v>
      </c>
      <c r="Q175">
        <f>IF(Games[[#This Row],[Team]]="","",_xlfn.MINIFS(Games[Date],Games[Season],Games[[#This Row],[Season]]))</f>
        <v>35309</v>
      </c>
      <c r="R175">
        <f>IF(Games[[#This Row],[Team]]="","",INT((Games[[#This Row],[Date]]-(Games[[#This Row],[SeasonStart]]-MOD(WEEKDAY(Games[[#This Row],[SeasonStart]],2)-2,7)))/7)+1)</f>
        <v>7</v>
      </c>
      <c r="S175">
        <f>IF(Games[[#This Row],[Team]]="","",COUNTIFS(Games[Team],Games[[#This Row],[Team]],Games[Season],Games[[#This Row],[Season]],Games[Week],"&lt;="&amp;Games[[#This Row],[Week]]))</f>
        <v>6</v>
      </c>
      <c r="T175">
        <f>IF(Games[[#This Row],[Team]]="","",_xlfn.MAXIFS(Games[Week],Games[Team],Games[[#This Row],[Team]],Games[Season],Games[[#This Row],[Season]],Games[Week],"&lt;"&amp;Games[[#This Row],[Week]]))</f>
        <v>6</v>
      </c>
      <c r="U175">
        <f>IF(Games[[#This Row],[Team]]="","",_xlfn.MAXIFS(Games[Week],Games[Team],Games[[#This Row],[Opponent]],Games[Season],Games[[#This Row],[Season]],Games[Week],"&lt;"&amp;Games[[#This Row],[Week]]))</f>
        <v>5</v>
      </c>
      <c r="V17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7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17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17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1521.7875233910777</v>
      </c>
      <c r="Z17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1571.6554693063931</v>
      </c>
      <c r="AA17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0.49731183563887987</v>
      </c>
      <c r="AB175">
        <f>IF(Games[[#This Row],[Team]]="","",Games[[#This Row],[PointsFor]]-Games[[#This Row],[PointsAgainst]])</f>
        <v>-5</v>
      </c>
      <c r="AC175">
        <f>IF(Games[[#This Row],[Team]]="","",IF(Games[[#This Row],[MOV]]&gt;0,1,IF(Games[[#This Row],[MOV]]=0,0.5,0)))</f>
        <v>0</v>
      </c>
      <c r="AD175">
        <f>IF(Games[[#This Row],[Team]]="","",--(OR(AND(Games[[#This Row],[ExpectedWin]]&gt;=0.5,Games[[#This Row],[Result]]=1),AND(Games[[#This Row],[ExpectedWin]]&lt;0.5,Games[[#This Row],[Result]]=0))))</f>
        <v>1</v>
      </c>
      <c r="AE175">
        <f>IF(Games[[#This Row],[Team]]="","",-(Games[[#This Row],[Result]]*LN(Games[[#This Row],[ExpectedWin]])+(1-Games[[#This Row],[Result]])*LN(1-Games[[#This Row],[ExpectedWin]])))</f>
        <v>0.6877852527001822</v>
      </c>
      <c r="AF175">
        <f>IF(Games[[#This Row],[Team]]="","",IF(Games[[#This Row],[Season]]&gt;=2021,17,16))</f>
        <v>16</v>
      </c>
      <c r="AG175">
        <f>IF(Games[[#This Row],[Team]]="","",KMax-(KMax-KFloor)*MIN(Games[[#This Row],[GamesPlayed]],Games[[#This Row],[SeasonLen]])/Games[[#This Row],[SeasonLen]])</f>
        <v>42.325000000000003</v>
      </c>
      <c r="AH175">
        <f>IF(Games[[#This Row],[Team]]="","",((ABS(Games[[#This Row],[MOV]])+3)^0.8)/(7.5+0.006*ABS(Games[[#This Row],[PreGmRate]]-Games[[#This Row],[OppPreGmRate]]))*IF(Games[[#This Row],[OT]]=1,0.7,1))</f>
        <v>0.67673946671239182</v>
      </c>
      <c r="AI17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5">
        <f>IF(Games[[#This Row],[Team]]="","",Games[[#This Row],[K]]*IF(Games[[#This Row],[DivG]]=1,DivMult,1)*IF(Games[[#This Row],[ConfG]]=1,ConfMult,1)*Games[[#This Row],[POMult]])</f>
        <v>42.325000000000003</v>
      </c>
      <c r="AK175">
        <f>IF(Games[[#This Row],[Team]]="","",(Games[[#This Row],[Keff]]*Games[[#This Row],[MOVMult]])*(Games[[#This Row],[Result]]-Games[[#This Row],[ExpectedWin]]))</f>
        <v>-14.244501878073688</v>
      </c>
      <c r="AL175">
        <f>IF(Games[[#This Row],[Team]]="","",Games[[#This Row],[PreGmRate]]+Games[[#This Row],[RatingChange]])</f>
        <v>1507.5430215130041</v>
      </c>
      <c r="AM175">
        <f>IF(Games[[#This Row],[Team]]="","",IF(Games[[#This Row],[Type]]="R",IF(Games[[#This Row],[Result]]&gt;0.5,1,0),0))</f>
        <v>0</v>
      </c>
      <c r="AN175">
        <f>IF(Games[[#This Row],[Team]]="","",IF(Games[[#This Row],[Type]]="R",IF(Games[[#This Row],[Result]]&lt;0.5,1,0),0))</f>
        <v>1</v>
      </c>
      <c r="AO175">
        <f>IF(Games[[#This Row],[Team]]="","",IF(Games[[#This Row],[Type]]="R",IF(Games[[#This Row],[Result]]=0.5,1,0),0))</f>
        <v>0</v>
      </c>
    </row>
    <row r="176" spans="1:41" x14ac:dyDescent="0.35">
      <c r="A176" s="8">
        <v>35351</v>
      </c>
      <c r="B176">
        <v>1996</v>
      </c>
      <c r="C176" t="s">
        <v>197</v>
      </c>
      <c r="D176" t="s">
        <v>199</v>
      </c>
      <c r="E176" t="s">
        <v>134</v>
      </c>
      <c r="F176" t="s">
        <v>110</v>
      </c>
      <c r="G176" t="s">
        <v>200</v>
      </c>
      <c r="H176">
        <v>27</v>
      </c>
      <c r="I176">
        <v>24</v>
      </c>
      <c r="J176">
        <v>0</v>
      </c>
      <c r="K17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7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7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7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76">
        <f>IF(Games[[#This Row],[Team]]="","",IF(Games[[#This Row],[Conf]]=Games[[#This Row],[OppConf]],1,0))</f>
        <v>1</v>
      </c>
      <c r="P176">
        <f>IF(Games[[#This Row],[Team]]="","",IF(AND(Games[[#This Row],[Conf]]=Games[[#This Row],[OppConf]],Games[[#This Row],[Div]]=Games[[#This Row],[OppDiv]]),1,0))</f>
        <v>0</v>
      </c>
      <c r="Q176">
        <f>IF(Games[[#This Row],[Team]]="","",_xlfn.MINIFS(Games[Date],Games[Season],Games[[#This Row],[Season]]))</f>
        <v>35309</v>
      </c>
      <c r="R176">
        <f>IF(Games[[#This Row],[Team]]="","",INT((Games[[#This Row],[Date]]-(Games[[#This Row],[SeasonStart]]-MOD(WEEKDAY(Games[[#This Row],[SeasonStart]],2)-2,7)))/7)+1)</f>
        <v>7</v>
      </c>
      <c r="S176">
        <f>IF(Games[[#This Row],[Team]]="","",COUNTIFS(Games[Team],Games[[#This Row],[Team]],Games[Season],Games[[#This Row],[Season]],Games[Week],"&lt;="&amp;Games[[#This Row],[Week]]))</f>
        <v>7</v>
      </c>
      <c r="T176">
        <f>IF(Games[[#This Row],[Team]]="","",_xlfn.MAXIFS(Games[Week],Games[Team],Games[[#This Row],[Team]],Games[Season],Games[[#This Row],[Season]],Games[Week],"&lt;"&amp;Games[[#This Row],[Week]]))</f>
        <v>6</v>
      </c>
      <c r="U176">
        <f>IF(Games[[#This Row],[Team]]="","",_xlfn.MAXIFS(Games[Week],Games[Team],Games[[#This Row],[Opponent]],Games[Season],Games[[#This Row],[Season]],Games[Week],"&lt;"&amp;Games[[#This Row],[Week]]))</f>
        <v>6</v>
      </c>
      <c r="V17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7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7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7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1403.7972916371325</v>
      </c>
      <c r="Z17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1431.1074681161215</v>
      </c>
      <c r="AA17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0.56396146534311509</v>
      </c>
      <c r="AB176">
        <f>IF(Games[[#This Row],[Team]]="","",Games[[#This Row],[PointsFor]]-Games[[#This Row],[PointsAgainst]])</f>
        <v>3</v>
      </c>
      <c r="AC176">
        <f>IF(Games[[#This Row],[Team]]="","",IF(Games[[#This Row],[MOV]]&gt;0,1,IF(Games[[#This Row],[MOV]]=0,0.5,0)))</f>
        <v>1</v>
      </c>
      <c r="AD176">
        <f>IF(Games[[#This Row],[Team]]="","",--(OR(AND(Games[[#This Row],[ExpectedWin]]&gt;=0.5,Games[[#This Row],[Result]]=1),AND(Games[[#This Row],[ExpectedWin]]&lt;0.5,Games[[#This Row],[Result]]=0))))</f>
        <v>1</v>
      </c>
      <c r="AE176">
        <f>IF(Games[[#This Row],[Team]]="","",-(Games[[#This Row],[Result]]*LN(Games[[#This Row],[ExpectedWin]])+(1-Games[[#This Row],[Result]])*LN(1-Games[[#This Row],[ExpectedWin]])))</f>
        <v>0.57276935367798443</v>
      </c>
      <c r="AF176">
        <f>IF(Games[[#This Row],[Team]]="","",IF(Games[[#This Row],[Season]]&gt;=2021,17,16))</f>
        <v>16</v>
      </c>
      <c r="AG176">
        <f>IF(Games[[#This Row],[Team]]="","",KMax-(KMax-KFloor)*MIN(Games[[#This Row],[GamesPlayed]],Games[[#This Row],[SeasonLen]])/Games[[#This Row],[SeasonLen]])</f>
        <v>41.712499999999999</v>
      </c>
      <c r="AH176">
        <f>IF(Games[[#This Row],[Team]]="","",((ABS(Games[[#This Row],[MOV]])+3)^0.8)/(7.5+0.006*ABS(Games[[#This Row],[PreGmRate]]-Games[[#This Row],[OppPreGmRate]]))*IF(Games[[#This Row],[OT]]=1,0.7,1))</f>
        <v>0.54710839359156593</v>
      </c>
      <c r="AI17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6">
        <f>IF(Games[[#This Row],[Team]]="","",Games[[#This Row],[K]]*IF(Games[[#This Row],[DivG]]=1,DivMult,1)*IF(Games[[#This Row],[ConfG]]=1,ConfMult,1)*Games[[#This Row],[POMult]])</f>
        <v>42.546749999999996</v>
      </c>
      <c r="AK176">
        <f>IF(Games[[#This Row],[Team]]="","",(Games[[#This Row],[Keff]]*Games[[#This Row],[MOVMult]])*(Games[[#This Row],[Result]]-Games[[#This Row],[ExpectedWin]]))</f>
        <v>10.149967241206044</v>
      </c>
      <c r="AL176">
        <f>IF(Games[[#This Row],[Team]]="","",Games[[#This Row],[PreGmRate]]+Games[[#This Row],[RatingChange]])</f>
        <v>1413.9472588783385</v>
      </c>
      <c r="AM176">
        <f>IF(Games[[#This Row],[Team]]="","",IF(Games[[#This Row],[Type]]="R",IF(Games[[#This Row],[Result]]&gt;0.5,1,0),0))</f>
        <v>1</v>
      </c>
      <c r="AN176">
        <f>IF(Games[[#This Row],[Team]]="","",IF(Games[[#This Row],[Type]]="R",IF(Games[[#This Row],[Result]]&lt;0.5,1,0),0))</f>
        <v>0</v>
      </c>
      <c r="AO176">
        <f>IF(Games[[#This Row],[Team]]="","",IF(Games[[#This Row],[Type]]="R",IF(Games[[#This Row],[Result]]=0.5,1,0),0))</f>
        <v>0</v>
      </c>
    </row>
    <row r="177" spans="1:41" x14ac:dyDescent="0.35">
      <c r="A177" s="8">
        <v>35351</v>
      </c>
      <c r="B177">
        <v>1996</v>
      </c>
      <c r="C177" t="s">
        <v>197</v>
      </c>
      <c r="D177" t="s">
        <v>199</v>
      </c>
      <c r="E177" t="s">
        <v>110</v>
      </c>
      <c r="F177" t="s">
        <v>134</v>
      </c>
      <c r="G177" t="s">
        <v>201</v>
      </c>
      <c r="H177">
        <v>24</v>
      </c>
      <c r="I177">
        <v>27</v>
      </c>
      <c r="J177">
        <v>0</v>
      </c>
      <c r="K17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7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7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7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77">
        <f>IF(Games[[#This Row],[Team]]="","",IF(Games[[#This Row],[Conf]]=Games[[#This Row],[OppConf]],1,0))</f>
        <v>1</v>
      </c>
      <c r="P177">
        <f>IF(Games[[#This Row],[Team]]="","",IF(AND(Games[[#This Row],[Conf]]=Games[[#This Row],[OppConf]],Games[[#This Row],[Div]]=Games[[#This Row],[OppDiv]]),1,0))</f>
        <v>0</v>
      </c>
      <c r="Q177">
        <f>IF(Games[[#This Row],[Team]]="","",_xlfn.MINIFS(Games[Date],Games[Season],Games[[#This Row],[Season]]))</f>
        <v>35309</v>
      </c>
      <c r="R177">
        <f>IF(Games[[#This Row],[Team]]="","",INT((Games[[#This Row],[Date]]-(Games[[#This Row],[SeasonStart]]-MOD(WEEKDAY(Games[[#This Row],[SeasonStart]],2)-2,7)))/7)+1)</f>
        <v>7</v>
      </c>
      <c r="S177">
        <f>IF(Games[[#This Row],[Team]]="","",COUNTIFS(Games[Team],Games[[#This Row],[Team]],Games[Season],Games[[#This Row],[Season]],Games[Week],"&lt;="&amp;Games[[#This Row],[Week]]))</f>
        <v>7</v>
      </c>
      <c r="T177">
        <f>IF(Games[[#This Row],[Team]]="","",_xlfn.MAXIFS(Games[Week],Games[Team],Games[[#This Row],[Team]],Games[Season],Games[[#This Row],[Season]],Games[Week],"&lt;"&amp;Games[[#This Row],[Week]]))</f>
        <v>6</v>
      </c>
      <c r="U177">
        <f>IF(Games[[#This Row],[Team]]="","",_xlfn.MAXIFS(Games[Week],Games[Team],Games[[#This Row],[Opponent]],Games[Season],Games[[#This Row],[Season]],Games[Week],"&lt;"&amp;Games[[#This Row],[Week]]))</f>
        <v>6</v>
      </c>
      <c r="V17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7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7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7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1431.1074681161215</v>
      </c>
      <c r="Z17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1403.7972916371325</v>
      </c>
      <c r="AA17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0.43603853465688491</v>
      </c>
      <c r="AB177">
        <f>IF(Games[[#This Row],[Team]]="","",Games[[#This Row],[PointsFor]]-Games[[#This Row],[PointsAgainst]])</f>
        <v>-3</v>
      </c>
      <c r="AC177">
        <f>IF(Games[[#This Row],[Team]]="","",IF(Games[[#This Row],[MOV]]&gt;0,1,IF(Games[[#This Row],[MOV]]=0,0.5,0)))</f>
        <v>0</v>
      </c>
      <c r="AD177">
        <f>IF(Games[[#This Row],[Team]]="","",--(OR(AND(Games[[#This Row],[ExpectedWin]]&gt;=0.5,Games[[#This Row],[Result]]=1),AND(Games[[#This Row],[ExpectedWin]]&lt;0.5,Games[[#This Row],[Result]]=0))))</f>
        <v>1</v>
      </c>
      <c r="AE177">
        <f>IF(Games[[#This Row],[Team]]="","",-(Games[[#This Row],[Result]]*LN(Games[[#This Row],[ExpectedWin]])+(1-Games[[#This Row],[Result]])*LN(1-Games[[#This Row],[ExpectedWin]])))</f>
        <v>0.57276935367798443</v>
      </c>
      <c r="AF177">
        <f>IF(Games[[#This Row],[Team]]="","",IF(Games[[#This Row],[Season]]&gt;=2021,17,16))</f>
        <v>16</v>
      </c>
      <c r="AG177">
        <f>IF(Games[[#This Row],[Team]]="","",KMax-(KMax-KFloor)*MIN(Games[[#This Row],[GamesPlayed]],Games[[#This Row],[SeasonLen]])/Games[[#This Row],[SeasonLen]])</f>
        <v>41.712499999999999</v>
      </c>
      <c r="AH177">
        <f>IF(Games[[#This Row],[Team]]="","",((ABS(Games[[#This Row],[MOV]])+3)^0.8)/(7.5+0.006*ABS(Games[[#This Row],[PreGmRate]]-Games[[#This Row],[OppPreGmRate]]))*IF(Games[[#This Row],[OT]]=1,0.7,1))</f>
        <v>0.54710839359156593</v>
      </c>
      <c r="AI17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7">
        <f>IF(Games[[#This Row],[Team]]="","",Games[[#This Row],[K]]*IF(Games[[#This Row],[DivG]]=1,DivMult,1)*IF(Games[[#This Row],[ConfG]]=1,ConfMult,1)*Games[[#This Row],[POMult]])</f>
        <v>42.546749999999996</v>
      </c>
      <c r="AK177">
        <f>IF(Games[[#This Row],[Team]]="","",(Games[[#This Row],[Keff]]*Games[[#This Row],[MOVMult]])*(Games[[#This Row],[Result]]-Games[[#This Row],[ExpectedWin]]))</f>
        <v>-10.149967241206044</v>
      </c>
      <c r="AL177">
        <f>IF(Games[[#This Row],[Team]]="","",Games[[#This Row],[PreGmRate]]+Games[[#This Row],[RatingChange]])</f>
        <v>1420.9575008749155</v>
      </c>
      <c r="AM177">
        <f>IF(Games[[#This Row],[Team]]="","",IF(Games[[#This Row],[Type]]="R",IF(Games[[#This Row],[Result]]&gt;0.5,1,0),0))</f>
        <v>0</v>
      </c>
      <c r="AN177">
        <f>IF(Games[[#This Row],[Team]]="","",IF(Games[[#This Row],[Type]]="R",IF(Games[[#This Row],[Result]]&lt;0.5,1,0),0))</f>
        <v>1</v>
      </c>
      <c r="AO177">
        <f>IF(Games[[#This Row],[Team]]="","",IF(Games[[#This Row],[Type]]="R",IF(Games[[#This Row],[Result]]=0.5,1,0),0))</f>
        <v>0</v>
      </c>
    </row>
    <row r="178" spans="1:41" x14ac:dyDescent="0.35">
      <c r="A178" s="8">
        <v>35351</v>
      </c>
      <c r="B178">
        <v>1996</v>
      </c>
      <c r="C178" t="s">
        <v>197</v>
      </c>
      <c r="D178" t="s">
        <v>199</v>
      </c>
      <c r="E178" t="s">
        <v>124</v>
      </c>
      <c r="F178" t="s">
        <v>138</v>
      </c>
      <c r="G178" t="s">
        <v>200</v>
      </c>
      <c r="H178">
        <v>21</v>
      </c>
      <c r="I178">
        <v>17</v>
      </c>
      <c r="J178">
        <v>0</v>
      </c>
      <c r="K17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7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7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7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78">
        <f>IF(Games[[#This Row],[Team]]="","",IF(Games[[#This Row],[Conf]]=Games[[#This Row],[OppConf]],1,0))</f>
        <v>1</v>
      </c>
      <c r="P178">
        <f>IF(Games[[#This Row],[Team]]="","",IF(AND(Games[[#This Row],[Conf]]=Games[[#This Row],[OppConf]],Games[[#This Row],[Div]]=Games[[#This Row],[OppDiv]]),1,0))</f>
        <v>0</v>
      </c>
      <c r="Q178">
        <f>IF(Games[[#This Row],[Team]]="","",_xlfn.MINIFS(Games[Date],Games[Season],Games[[#This Row],[Season]]))</f>
        <v>35309</v>
      </c>
      <c r="R178">
        <f>IF(Games[[#This Row],[Team]]="","",INT((Games[[#This Row],[Date]]-(Games[[#This Row],[SeasonStart]]-MOD(WEEKDAY(Games[[#This Row],[SeasonStart]],2)-2,7)))/7)+1)</f>
        <v>7</v>
      </c>
      <c r="S178">
        <f>IF(Games[[#This Row],[Team]]="","",COUNTIFS(Games[Team],Games[[#This Row],[Team]],Games[Season],Games[[#This Row],[Season]],Games[Week],"&lt;="&amp;Games[[#This Row],[Week]]))</f>
        <v>7</v>
      </c>
      <c r="T178">
        <f>IF(Games[[#This Row],[Team]]="","",_xlfn.MAXIFS(Games[Week],Games[Team],Games[[#This Row],[Team]],Games[Season],Games[[#This Row],[Season]],Games[Week],"&lt;"&amp;Games[[#This Row],[Week]]))</f>
        <v>6</v>
      </c>
      <c r="U178">
        <f>IF(Games[[#This Row],[Team]]="","",_xlfn.MAXIFS(Games[Week],Games[Team],Games[[#This Row],[Opponent]],Games[Season],Games[[#This Row],[Season]],Games[Week],"&lt;"&amp;Games[[#This Row],[Week]]))</f>
        <v>6</v>
      </c>
      <c r="V17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7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7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7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1477.9759645044103</v>
      </c>
      <c r="Z17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1353.8706568011592</v>
      </c>
      <c r="AA17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0.75563083596562286</v>
      </c>
      <c r="AB178">
        <f>IF(Games[[#This Row],[Team]]="","",Games[[#This Row],[PointsFor]]-Games[[#This Row],[PointsAgainst]])</f>
        <v>4</v>
      </c>
      <c r="AC178">
        <f>IF(Games[[#This Row],[Team]]="","",IF(Games[[#This Row],[MOV]]&gt;0,1,IF(Games[[#This Row],[MOV]]=0,0.5,0)))</f>
        <v>1</v>
      </c>
      <c r="AD178">
        <f>IF(Games[[#This Row],[Team]]="","",--(OR(AND(Games[[#This Row],[ExpectedWin]]&gt;=0.5,Games[[#This Row],[Result]]=1),AND(Games[[#This Row],[ExpectedWin]]&lt;0.5,Games[[#This Row],[Result]]=0))))</f>
        <v>1</v>
      </c>
      <c r="AE178">
        <f>IF(Games[[#This Row],[Team]]="","",-(Games[[#This Row],[Result]]*LN(Games[[#This Row],[ExpectedWin]])+(1-Games[[#This Row],[Result]])*LN(1-Games[[#This Row],[ExpectedWin]])))</f>
        <v>0.28020233428062491</v>
      </c>
      <c r="AF178">
        <f>IF(Games[[#This Row],[Team]]="","",IF(Games[[#This Row],[Season]]&gt;=2021,17,16))</f>
        <v>16</v>
      </c>
      <c r="AG178">
        <f>IF(Games[[#This Row],[Team]]="","",KMax-(KMax-KFloor)*MIN(Games[[#This Row],[GamesPlayed]],Games[[#This Row],[SeasonLen]])/Games[[#This Row],[SeasonLen]])</f>
        <v>41.712499999999999</v>
      </c>
      <c r="AH178">
        <f>IF(Games[[#This Row],[Team]]="","",((ABS(Games[[#This Row],[MOV]])+3)^0.8)/(7.5+0.006*ABS(Games[[#This Row],[PreGmRate]]-Games[[#This Row],[OppPreGmRate]]))*IF(Games[[#This Row],[OT]]=1,0.7,1))</f>
        <v>0.57531694347011364</v>
      </c>
      <c r="AI17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8">
        <f>IF(Games[[#This Row],[Team]]="","",Games[[#This Row],[K]]*IF(Games[[#This Row],[DivG]]=1,DivMult,1)*IF(Games[[#This Row],[ConfG]]=1,ConfMult,1)*Games[[#This Row],[POMult]])</f>
        <v>42.546749999999996</v>
      </c>
      <c r="AK178">
        <f>IF(Games[[#This Row],[Team]]="","",(Games[[#This Row],[Keff]]*Games[[#This Row],[MOVMult]])*(Games[[#This Row],[Result]]-Games[[#This Row],[ExpectedWin]]))</f>
        <v>5.9816356919855043</v>
      </c>
      <c r="AL178">
        <f>IF(Games[[#This Row],[Team]]="","",Games[[#This Row],[PreGmRate]]+Games[[#This Row],[RatingChange]])</f>
        <v>1483.9576001963958</v>
      </c>
      <c r="AM178">
        <f>IF(Games[[#This Row],[Team]]="","",IF(Games[[#This Row],[Type]]="R",IF(Games[[#This Row],[Result]]&gt;0.5,1,0),0))</f>
        <v>1</v>
      </c>
      <c r="AN178">
        <f>IF(Games[[#This Row],[Team]]="","",IF(Games[[#This Row],[Type]]="R",IF(Games[[#This Row],[Result]]&lt;0.5,1,0),0))</f>
        <v>0</v>
      </c>
      <c r="AO178">
        <f>IF(Games[[#This Row],[Team]]="","",IF(Games[[#This Row],[Type]]="R",IF(Games[[#This Row],[Result]]=0.5,1,0),0))</f>
        <v>0</v>
      </c>
    </row>
    <row r="179" spans="1:41" x14ac:dyDescent="0.35">
      <c r="A179" s="8">
        <v>35351</v>
      </c>
      <c r="B179">
        <v>1996</v>
      </c>
      <c r="C179" t="s">
        <v>197</v>
      </c>
      <c r="D179" t="s">
        <v>199</v>
      </c>
      <c r="E179" t="s">
        <v>138</v>
      </c>
      <c r="F179" t="s">
        <v>124</v>
      </c>
      <c r="G179" t="s">
        <v>201</v>
      </c>
      <c r="H179">
        <v>17</v>
      </c>
      <c r="I179">
        <v>21</v>
      </c>
      <c r="J179">
        <v>0</v>
      </c>
      <c r="K17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7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7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7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79">
        <f>IF(Games[[#This Row],[Team]]="","",IF(Games[[#This Row],[Conf]]=Games[[#This Row],[OppConf]],1,0))</f>
        <v>1</v>
      </c>
      <c r="P179">
        <f>IF(Games[[#This Row],[Team]]="","",IF(AND(Games[[#This Row],[Conf]]=Games[[#This Row],[OppConf]],Games[[#This Row],[Div]]=Games[[#This Row],[OppDiv]]),1,0))</f>
        <v>0</v>
      </c>
      <c r="Q179">
        <f>IF(Games[[#This Row],[Team]]="","",_xlfn.MINIFS(Games[Date],Games[Season],Games[[#This Row],[Season]]))</f>
        <v>35309</v>
      </c>
      <c r="R179">
        <f>IF(Games[[#This Row],[Team]]="","",INT((Games[[#This Row],[Date]]-(Games[[#This Row],[SeasonStart]]-MOD(WEEKDAY(Games[[#This Row],[SeasonStart]],2)-2,7)))/7)+1)</f>
        <v>7</v>
      </c>
      <c r="S179">
        <f>IF(Games[[#This Row],[Team]]="","",COUNTIFS(Games[Team],Games[[#This Row],[Team]],Games[Season],Games[[#This Row],[Season]],Games[Week],"&lt;="&amp;Games[[#This Row],[Week]]))</f>
        <v>7</v>
      </c>
      <c r="T179">
        <f>IF(Games[[#This Row],[Team]]="","",_xlfn.MAXIFS(Games[Week],Games[Team],Games[[#This Row],[Team]],Games[Season],Games[[#This Row],[Season]],Games[Week],"&lt;"&amp;Games[[#This Row],[Week]]))</f>
        <v>6</v>
      </c>
      <c r="U179">
        <f>IF(Games[[#This Row],[Team]]="","",_xlfn.MAXIFS(Games[Week],Games[Team],Games[[#This Row],[Opponent]],Games[Season],Games[[#This Row],[Season]],Games[Week],"&lt;"&amp;Games[[#This Row],[Week]]))</f>
        <v>6</v>
      </c>
      <c r="V17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7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7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7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1353.8706568011592</v>
      </c>
      <c r="Z17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1477.9759645044103</v>
      </c>
      <c r="AA17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0.2443691640343772</v>
      </c>
      <c r="AB179">
        <f>IF(Games[[#This Row],[Team]]="","",Games[[#This Row],[PointsFor]]-Games[[#This Row],[PointsAgainst]])</f>
        <v>-4</v>
      </c>
      <c r="AC179">
        <f>IF(Games[[#This Row],[Team]]="","",IF(Games[[#This Row],[MOV]]&gt;0,1,IF(Games[[#This Row],[MOV]]=0,0.5,0)))</f>
        <v>0</v>
      </c>
      <c r="AD179">
        <f>IF(Games[[#This Row],[Team]]="","",--(OR(AND(Games[[#This Row],[ExpectedWin]]&gt;=0.5,Games[[#This Row],[Result]]=1),AND(Games[[#This Row],[ExpectedWin]]&lt;0.5,Games[[#This Row],[Result]]=0))))</f>
        <v>1</v>
      </c>
      <c r="AE179">
        <f>IF(Games[[#This Row],[Team]]="","",-(Games[[#This Row],[Result]]*LN(Games[[#This Row],[ExpectedWin]])+(1-Games[[#This Row],[Result]])*LN(1-Games[[#This Row],[ExpectedWin]])))</f>
        <v>0.28020233428062502</v>
      </c>
      <c r="AF179">
        <f>IF(Games[[#This Row],[Team]]="","",IF(Games[[#This Row],[Season]]&gt;=2021,17,16))</f>
        <v>16</v>
      </c>
      <c r="AG179">
        <f>IF(Games[[#This Row],[Team]]="","",KMax-(KMax-KFloor)*MIN(Games[[#This Row],[GamesPlayed]],Games[[#This Row],[SeasonLen]])/Games[[#This Row],[SeasonLen]])</f>
        <v>41.712499999999999</v>
      </c>
      <c r="AH179">
        <f>IF(Games[[#This Row],[Team]]="","",((ABS(Games[[#This Row],[MOV]])+3)^0.8)/(7.5+0.006*ABS(Games[[#This Row],[PreGmRate]]-Games[[#This Row],[OppPreGmRate]]))*IF(Games[[#This Row],[OT]]=1,0.7,1))</f>
        <v>0.57531694347011364</v>
      </c>
      <c r="AI17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9">
        <f>IF(Games[[#This Row],[Team]]="","",Games[[#This Row],[K]]*IF(Games[[#This Row],[DivG]]=1,DivMult,1)*IF(Games[[#This Row],[ConfG]]=1,ConfMult,1)*Games[[#This Row],[POMult]])</f>
        <v>42.546749999999996</v>
      </c>
      <c r="AK179">
        <f>IF(Games[[#This Row],[Team]]="","",(Games[[#This Row],[Keff]]*Games[[#This Row],[MOVMult]])*(Games[[#This Row],[Result]]-Games[[#This Row],[ExpectedWin]]))</f>
        <v>-5.9816356919855052</v>
      </c>
      <c r="AL179">
        <f>IF(Games[[#This Row],[Team]]="","",Games[[#This Row],[PreGmRate]]+Games[[#This Row],[RatingChange]])</f>
        <v>1347.8890211091737</v>
      </c>
      <c r="AM179">
        <f>IF(Games[[#This Row],[Team]]="","",IF(Games[[#This Row],[Type]]="R",IF(Games[[#This Row],[Result]]&gt;0.5,1,0),0))</f>
        <v>0</v>
      </c>
      <c r="AN179">
        <f>IF(Games[[#This Row],[Team]]="","",IF(Games[[#This Row],[Type]]="R",IF(Games[[#This Row],[Result]]&lt;0.5,1,0),0))</f>
        <v>1</v>
      </c>
      <c r="AO179">
        <f>IF(Games[[#This Row],[Team]]="","",IF(Games[[#This Row],[Type]]="R",IF(Games[[#This Row],[Result]]=0.5,1,0),0))</f>
        <v>0</v>
      </c>
    </row>
    <row r="180" spans="1:41" x14ac:dyDescent="0.35">
      <c r="A180" s="8">
        <v>35351</v>
      </c>
      <c r="B180">
        <v>1996</v>
      </c>
      <c r="C180" t="s">
        <v>197</v>
      </c>
      <c r="D180" t="s">
        <v>199</v>
      </c>
      <c r="E180" t="s">
        <v>151</v>
      </c>
      <c r="F180" t="s">
        <v>130</v>
      </c>
      <c r="G180" t="s">
        <v>200</v>
      </c>
      <c r="H180">
        <v>24</v>
      </c>
      <c r="I180">
        <v>13</v>
      </c>
      <c r="J180">
        <v>0</v>
      </c>
      <c r="K18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8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8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8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80">
        <f>IF(Games[[#This Row],[Team]]="","",IF(Games[[#This Row],[Conf]]=Games[[#This Row],[OppConf]],1,0))</f>
        <v>1</v>
      </c>
      <c r="P180">
        <f>IF(Games[[#This Row],[Team]]="","",IF(AND(Games[[#This Row],[Conf]]=Games[[#This Row],[OppConf]],Games[[#This Row],[Div]]=Games[[#This Row],[OppDiv]]),1,0))</f>
        <v>1</v>
      </c>
      <c r="Q180">
        <f>IF(Games[[#This Row],[Team]]="","",_xlfn.MINIFS(Games[Date],Games[Season],Games[[#This Row],[Season]]))</f>
        <v>35309</v>
      </c>
      <c r="R180">
        <f>IF(Games[[#This Row],[Team]]="","",INT((Games[[#This Row],[Date]]-(Games[[#This Row],[SeasonStart]]-MOD(WEEKDAY(Games[[#This Row],[SeasonStart]],2)-2,7)))/7)+1)</f>
        <v>7</v>
      </c>
      <c r="S180">
        <f>IF(Games[[#This Row],[Team]]="","",COUNTIFS(Games[Team],Games[[#This Row],[Team]],Games[Season],Games[[#This Row],[Season]],Games[Week],"&lt;="&amp;Games[[#This Row],[Week]]))</f>
        <v>6</v>
      </c>
      <c r="T180">
        <f>IF(Games[[#This Row],[Team]]="","",_xlfn.MAXIFS(Games[Week],Games[Team],Games[[#This Row],[Team]],Games[Season],Games[[#This Row],[Season]],Games[Week],"&lt;"&amp;Games[[#This Row],[Week]]))</f>
        <v>5</v>
      </c>
      <c r="U180">
        <f>IF(Games[[#This Row],[Team]]="","",_xlfn.MAXIFS(Games[Week],Games[Team],Games[[#This Row],[Opponent]],Games[Season],Games[[#This Row],[Season]],Games[Week],"&lt;"&amp;Games[[#This Row],[Week]]))</f>
        <v>6</v>
      </c>
      <c r="V18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18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8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18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1352.1137787926918</v>
      </c>
      <c r="Z18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1566.6500368065635</v>
      </c>
      <c r="AA18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0.33573710890387154</v>
      </c>
      <c r="AB180">
        <f>IF(Games[[#This Row],[Team]]="","",Games[[#This Row],[PointsFor]]-Games[[#This Row],[PointsAgainst]])</f>
        <v>11</v>
      </c>
      <c r="AC180">
        <f>IF(Games[[#This Row],[Team]]="","",IF(Games[[#This Row],[MOV]]&gt;0,1,IF(Games[[#This Row],[MOV]]=0,0.5,0)))</f>
        <v>1</v>
      </c>
      <c r="AD180">
        <f>IF(Games[[#This Row],[Team]]="","",--(OR(AND(Games[[#This Row],[ExpectedWin]]&gt;=0.5,Games[[#This Row],[Result]]=1),AND(Games[[#This Row],[ExpectedWin]]&lt;0.5,Games[[#This Row],[Result]]=0))))</f>
        <v>0</v>
      </c>
      <c r="AE180">
        <f>IF(Games[[#This Row],[Team]]="","",-(Games[[#This Row],[Result]]*LN(Games[[#This Row],[ExpectedWin]])+(1-Games[[#This Row],[Result]])*LN(1-Games[[#This Row],[ExpectedWin]])))</f>
        <v>1.091426839241072</v>
      </c>
      <c r="AF180">
        <f>IF(Games[[#This Row],[Team]]="","",IF(Games[[#This Row],[Season]]&gt;=2021,17,16))</f>
        <v>16</v>
      </c>
      <c r="AG180">
        <f>IF(Games[[#This Row],[Team]]="","",KMax-(KMax-KFloor)*MIN(Games[[#This Row],[GamesPlayed]],Games[[#This Row],[SeasonLen]])/Games[[#This Row],[SeasonLen]])</f>
        <v>42.325000000000003</v>
      </c>
      <c r="AH180">
        <f>IF(Games[[#This Row],[Team]]="","",((ABS(Games[[#This Row],[MOV]])+3)^0.8)/(7.5+0.006*ABS(Games[[#This Row],[PreGmRate]]-Games[[#This Row],[OppPreGmRate]]))*IF(Games[[#This Row],[OT]]=1,0.7,1))</f>
        <v>0.93983377875865881</v>
      </c>
      <c r="AI18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0">
        <f>IF(Games[[#This Row],[Team]]="","",Games[[#This Row],[K]]*IF(Games[[#This Row],[DivG]]=1,DivMult,1)*IF(Games[[#This Row],[ConfG]]=1,ConfMult,1)*Games[[#This Row],[POMult]])</f>
        <v>47.488650000000007</v>
      </c>
      <c r="AK180">
        <f>IF(Games[[#This Row],[Team]]="","",(Games[[#This Row],[Keff]]*Games[[#This Row],[MOVMult]])*(Games[[#This Row],[Result]]-Games[[#This Row],[ExpectedWin]]))</f>
        <v>29.647007626251863</v>
      </c>
      <c r="AL180">
        <f>IF(Games[[#This Row],[Team]]="","",Games[[#This Row],[PreGmRate]]+Games[[#This Row],[RatingChange]])</f>
        <v>1381.7607864189438</v>
      </c>
      <c r="AM180">
        <f>IF(Games[[#This Row],[Team]]="","",IF(Games[[#This Row],[Type]]="R",IF(Games[[#This Row],[Result]]&gt;0.5,1,0),0))</f>
        <v>1</v>
      </c>
      <c r="AN180">
        <f>IF(Games[[#This Row],[Team]]="","",IF(Games[[#This Row],[Type]]="R",IF(Games[[#This Row],[Result]]&lt;0.5,1,0),0))</f>
        <v>0</v>
      </c>
      <c r="AO180">
        <f>IF(Games[[#This Row],[Team]]="","",IF(Games[[#This Row],[Type]]="R",IF(Games[[#This Row],[Result]]=0.5,1,0),0))</f>
        <v>0</v>
      </c>
    </row>
    <row r="181" spans="1:41" x14ac:dyDescent="0.35">
      <c r="A181" s="8">
        <v>35351</v>
      </c>
      <c r="B181">
        <v>1996</v>
      </c>
      <c r="C181" t="s">
        <v>197</v>
      </c>
      <c r="D181" t="s">
        <v>199</v>
      </c>
      <c r="E181" t="s">
        <v>130</v>
      </c>
      <c r="F181" t="s">
        <v>151</v>
      </c>
      <c r="G181" t="s">
        <v>201</v>
      </c>
      <c r="H181">
        <v>13</v>
      </c>
      <c r="I181">
        <v>24</v>
      </c>
      <c r="J181">
        <v>0</v>
      </c>
      <c r="K18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8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8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8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81">
        <f>IF(Games[[#This Row],[Team]]="","",IF(Games[[#This Row],[Conf]]=Games[[#This Row],[OppConf]],1,0))</f>
        <v>1</v>
      </c>
      <c r="P181">
        <f>IF(Games[[#This Row],[Team]]="","",IF(AND(Games[[#This Row],[Conf]]=Games[[#This Row],[OppConf]],Games[[#This Row],[Div]]=Games[[#This Row],[OppDiv]]),1,0))</f>
        <v>1</v>
      </c>
      <c r="Q181">
        <f>IF(Games[[#This Row],[Team]]="","",_xlfn.MINIFS(Games[Date],Games[Season],Games[[#This Row],[Season]]))</f>
        <v>35309</v>
      </c>
      <c r="R181">
        <f>IF(Games[[#This Row],[Team]]="","",INT((Games[[#This Row],[Date]]-(Games[[#This Row],[SeasonStart]]-MOD(WEEKDAY(Games[[#This Row],[SeasonStart]],2)-2,7)))/7)+1)</f>
        <v>7</v>
      </c>
      <c r="S181">
        <f>IF(Games[[#This Row],[Team]]="","",COUNTIFS(Games[Team],Games[[#This Row],[Team]],Games[Season],Games[[#This Row],[Season]],Games[Week],"&lt;="&amp;Games[[#This Row],[Week]]))</f>
        <v>7</v>
      </c>
      <c r="T181">
        <f>IF(Games[[#This Row],[Team]]="","",_xlfn.MAXIFS(Games[Week],Games[Team],Games[[#This Row],[Team]],Games[Season],Games[[#This Row],[Season]],Games[Week],"&lt;"&amp;Games[[#This Row],[Week]]))</f>
        <v>6</v>
      </c>
      <c r="U181">
        <f>IF(Games[[#This Row],[Team]]="","",_xlfn.MAXIFS(Games[Week],Games[Team],Games[[#This Row],[Opponent]],Games[Season],Games[[#This Row],[Season]],Games[Week],"&lt;"&amp;Games[[#This Row],[Week]]))</f>
        <v>5</v>
      </c>
      <c r="V18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8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18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18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1566.6500368065635</v>
      </c>
      <c r="Z18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1352.1137787926918</v>
      </c>
      <c r="AA18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0.66426289109612857</v>
      </c>
      <c r="AB181">
        <f>IF(Games[[#This Row],[Team]]="","",Games[[#This Row],[PointsFor]]-Games[[#This Row],[PointsAgainst]])</f>
        <v>-11</v>
      </c>
      <c r="AC181">
        <f>IF(Games[[#This Row],[Team]]="","",IF(Games[[#This Row],[MOV]]&gt;0,1,IF(Games[[#This Row],[MOV]]=0,0.5,0)))</f>
        <v>0</v>
      </c>
      <c r="AD181">
        <f>IF(Games[[#This Row],[Team]]="","",--(OR(AND(Games[[#This Row],[ExpectedWin]]&gt;=0.5,Games[[#This Row],[Result]]=1),AND(Games[[#This Row],[ExpectedWin]]&lt;0.5,Games[[#This Row],[Result]]=0))))</f>
        <v>0</v>
      </c>
      <c r="AE181">
        <f>IF(Games[[#This Row],[Team]]="","",-(Games[[#This Row],[Result]]*LN(Games[[#This Row],[ExpectedWin]])+(1-Games[[#This Row],[Result]])*LN(1-Games[[#This Row],[ExpectedWin]])))</f>
        <v>1.0914268392410722</v>
      </c>
      <c r="AF181">
        <f>IF(Games[[#This Row],[Team]]="","",IF(Games[[#This Row],[Season]]&gt;=2021,17,16))</f>
        <v>16</v>
      </c>
      <c r="AG181">
        <f>IF(Games[[#This Row],[Team]]="","",KMax-(KMax-KFloor)*MIN(Games[[#This Row],[GamesPlayed]],Games[[#This Row],[SeasonLen]])/Games[[#This Row],[SeasonLen]])</f>
        <v>41.712499999999999</v>
      </c>
      <c r="AH181">
        <f>IF(Games[[#This Row],[Team]]="","",((ABS(Games[[#This Row],[MOV]])+3)^0.8)/(7.5+0.006*ABS(Games[[#This Row],[PreGmRate]]-Games[[#This Row],[OppPreGmRate]]))*IF(Games[[#This Row],[OT]]=1,0.7,1))</f>
        <v>0.93983377875865881</v>
      </c>
      <c r="AI18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1">
        <f>IF(Games[[#This Row],[Team]]="","",Games[[#This Row],[K]]*IF(Games[[#This Row],[DivG]]=1,DivMult,1)*IF(Games[[#This Row],[ConfG]]=1,ConfMult,1)*Games[[#This Row],[POMult]])</f>
        <v>46.801425000000002</v>
      </c>
      <c r="AK181">
        <f>IF(Games[[#This Row],[Team]]="","",(Games[[#This Row],[Keff]]*Games[[#This Row],[MOVMult]])*(Games[[#This Row],[Result]]-Games[[#This Row],[ExpectedWin]]))</f>
        <v>-29.217975324513432</v>
      </c>
      <c r="AL181">
        <f>IF(Games[[#This Row],[Team]]="","",Games[[#This Row],[PreGmRate]]+Games[[#This Row],[RatingChange]])</f>
        <v>1537.4320614820501</v>
      </c>
      <c r="AM181">
        <f>IF(Games[[#This Row],[Team]]="","",IF(Games[[#This Row],[Type]]="R",IF(Games[[#This Row],[Result]]&gt;0.5,1,0),0))</f>
        <v>0</v>
      </c>
      <c r="AN181">
        <f>IF(Games[[#This Row],[Team]]="","",IF(Games[[#This Row],[Type]]="R",IF(Games[[#This Row],[Result]]&lt;0.5,1,0),0))</f>
        <v>1</v>
      </c>
      <c r="AO181">
        <f>IF(Games[[#This Row],[Team]]="","",IF(Games[[#This Row],[Type]]="R",IF(Games[[#This Row],[Result]]=0.5,1,0),0))</f>
        <v>0</v>
      </c>
    </row>
    <row r="182" spans="1:41" x14ac:dyDescent="0.35">
      <c r="A182" s="8">
        <v>35351</v>
      </c>
      <c r="B182">
        <v>1996</v>
      </c>
      <c r="C182" t="s">
        <v>197</v>
      </c>
      <c r="D182" t="s">
        <v>199</v>
      </c>
      <c r="E182" t="s">
        <v>141</v>
      </c>
      <c r="F182" t="s">
        <v>136</v>
      </c>
      <c r="G182" t="s">
        <v>201</v>
      </c>
      <c r="H182">
        <v>19</v>
      </c>
      <c r="I182">
        <v>10</v>
      </c>
      <c r="J182">
        <v>0</v>
      </c>
      <c r="K18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8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8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8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82">
        <f>IF(Games[[#This Row],[Team]]="","",IF(Games[[#This Row],[Conf]]=Games[[#This Row],[OppConf]],1,0))</f>
        <v>1</v>
      </c>
      <c r="P182">
        <f>IF(Games[[#This Row],[Team]]="","",IF(AND(Games[[#This Row],[Conf]]=Games[[#This Row],[OppConf]],Games[[#This Row],[Div]]=Games[[#This Row],[OppDiv]]),1,0))</f>
        <v>1</v>
      </c>
      <c r="Q182">
        <f>IF(Games[[#This Row],[Team]]="","",_xlfn.MINIFS(Games[Date],Games[Season],Games[[#This Row],[Season]]))</f>
        <v>35309</v>
      </c>
      <c r="R182">
        <f>IF(Games[[#This Row],[Team]]="","",INT((Games[[#This Row],[Date]]-(Games[[#This Row],[SeasonStart]]-MOD(WEEKDAY(Games[[#This Row],[SeasonStart]],2)-2,7)))/7)+1)</f>
        <v>7</v>
      </c>
      <c r="S182">
        <f>IF(Games[[#This Row],[Team]]="","",COUNTIFS(Games[Team],Games[[#This Row],[Team]],Games[Season],Games[[#This Row],[Season]],Games[Week],"&lt;="&amp;Games[[#This Row],[Week]]))</f>
        <v>6</v>
      </c>
      <c r="T182">
        <f>IF(Games[[#This Row],[Team]]="","",_xlfn.MAXIFS(Games[Week],Games[Team],Games[[#This Row],[Team]],Games[Season],Games[[#This Row],[Season]],Games[Week],"&lt;"&amp;Games[[#This Row],[Week]]))</f>
        <v>5</v>
      </c>
      <c r="U182">
        <f>IF(Games[[#This Row],[Team]]="","",_xlfn.MAXIFS(Games[Week],Games[Team],Games[[#This Row],[Opponent]],Games[Season],Games[[#This Row],[Season]],Games[Week],"&lt;"&amp;Games[[#This Row],[Week]]))</f>
        <v>5</v>
      </c>
      <c r="V18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13</v>
      </c>
      <c r="W18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18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18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1517.018671472955</v>
      </c>
      <c r="Z18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1443.2835649386002</v>
      </c>
      <c r="AA18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0.49386263319176449</v>
      </c>
      <c r="AB182">
        <f>IF(Games[[#This Row],[Team]]="","",Games[[#This Row],[PointsFor]]-Games[[#This Row],[PointsAgainst]])</f>
        <v>9</v>
      </c>
      <c r="AC182">
        <f>IF(Games[[#This Row],[Team]]="","",IF(Games[[#This Row],[MOV]]&gt;0,1,IF(Games[[#This Row],[MOV]]=0,0.5,0)))</f>
        <v>1</v>
      </c>
      <c r="AD182">
        <f>IF(Games[[#This Row],[Team]]="","",--(OR(AND(Games[[#This Row],[ExpectedWin]]&gt;=0.5,Games[[#This Row],[Result]]=1),AND(Games[[#This Row],[ExpectedWin]]&lt;0.5,Games[[#This Row],[Result]]=0))))</f>
        <v>0</v>
      </c>
      <c r="AE182">
        <f>IF(Games[[#This Row],[Team]]="","",-(Games[[#This Row],[Result]]*LN(Games[[#This Row],[ExpectedWin]])+(1-Games[[#This Row],[Result]])*LN(1-Games[[#This Row],[ExpectedWin]])))</f>
        <v>0.70549787092498928</v>
      </c>
      <c r="AF182">
        <f>IF(Games[[#This Row],[Team]]="","",IF(Games[[#This Row],[Season]]&gt;=2021,17,16))</f>
        <v>16</v>
      </c>
      <c r="AG182">
        <f>IF(Games[[#This Row],[Team]]="","",KMax-(KMax-KFloor)*MIN(Games[[#This Row],[GamesPlayed]],Games[[#This Row],[SeasonLen]])/Games[[#This Row],[SeasonLen]])</f>
        <v>42.325000000000003</v>
      </c>
      <c r="AH182">
        <f>IF(Games[[#This Row],[Team]]="","",((ABS(Games[[#This Row],[MOV]])+3)^0.8)/(7.5+0.006*ABS(Games[[#This Row],[PreGmRate]]-Games[[#This Row],[OppPreGmRate]]))*IF(Games[[#This Row],[OT]]=1,0.7,1))</f>
        <v>0.9191632659587804</v>
      </c>
      <c r="AI18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2">
        <f>IF(Games[[#This Row],[Team]]="","",Games[[#This Row],[K]]*IF(Games[[#This Row],[DivG]]=1,DivMult,1)*IF(Games[[#This Row],[ConfG]]=1,ConfMult,1)*Games[[#This Row],[POMult]])</f>
        <v>47.488650000000007</v>
      </c>
      <c r="AK182">
        <f>IF(Games[[#This Row],[Team]]="","",(Games[[#This Row],[Keff]]*Games[[#This Row],[MOVMult]])*(Games[[#This Row],[Result]]-Games[[#This Row],[ExpectedWin]]))</f>
        <v>22.092806287581286</v>
      </c>
      <c r="AL182">
        <f>IF(Games[[#This Row],[Team]]="","",Games[[#This Row],[PreGmRate]]+Games[[#This Row],[RatingChange]])</f>
        <v>1539.1114777605362</v>
      </c>
      <c r="AM182">
        <f>IF(Games[[#This Row],[Team]]="","",IF(Games[[#This Row],[Type]]="R",IF(Games[[#This Row],[Result]]&gt;0.5,1,0),0))</f>
        <v>1</v>
      </c>
      <c r="AN182">
        <f>IF(Games[[#This Row],[Team]]="","",IF(Games[[#This Row],[Type]]="R",IF(Games[[#This Row],[Result]]&lt;0.5,1,0),0))</f>
        <v>0</v>
      </c>
      <c r="AO182">
        <f>IF(Games[[#This Row],[Team]]="","",IF(Games[[#This Row],[Type]]="R",IF(Games[[#This Row],[Result]]=0.5,1,0),0))</f>
        <v>0</v>
      </c>
    </row>
    <row r="183" spans="1:41" x14ac:dyDescent="0.35">
      <c r="A183" s="8">
        <v>35351</v>
      </c>
      <c r="B183">
        <v>1996</v>
      </c>
      <c r="C183" t="s">
        <v>197</v>
      </c>
      <c r="D183" t="s">
        <v>199</v>
      </c>
      <c r="E183" t="s">
        <v>136</v>
      </c>
      <c r="F183" t="s">
        <v>141</v>
      </c>
      <c r="G183" t="s">
        <v>200</v>
      </c>
      <c r="H183">
        <v>10</v>
      </c>
      <c r="I183">
        <v>19</v>
      </c>
      <c r="J183">
        <v>0</v>
      </c>
      <c r="K18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8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8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8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83">
        <f>IF(Games[[#This Row],[Team]]="","",IF(Games[[#This Row],[Conf]]=Games[[#This Row],[OppConf]],1,0))</f>
        <v>1</v>
      </c>
      <c r="P183">
        <f>IF(Games[[#This Row],[Team]]="","",IF(AND(Games[[#This Row],[Conf]]=Games[[#This Row],[OppConf]],Games[[#This Row],[Div]]=Games[[#This Row],[OppDiv]]),1,0))</f>
        <v>1</v>
      </c>
      <c r="Q183">
        <f>IF(Games[[#This Row],[Team]]="","",_xlfn.MINIFS(Games[Date],Games[Season],Games[[#This Row],[Season]]))</f>
        <v>35309</v>
      </c>
      <c r="R183">
        <f>IF(Games[[#This Row],[Team]]="","",INT((Games[[#This Row],[Date]]-(Games[[#This Row],[SeasonStart]]-MOD(WEEKDAY(Games[[#This Row],[SeasonStart]],2)-2,7)))/7)+1)</f>
        <v>7</v>
      </c>
      <c r="S183">
        <f>IF(Games[[#This Row],[Team]]="","",COUNTIFS(Games[Team],Games[[#This Row],[Team]],Games[Season],Games[[#This Row],[Season]],Games[Week],"&lt;="&amp;Games[[#This Row],[Week]]))</f>
        <v>6</v>
      </c>
      <c r="T183">
        <f>IF(Games[[#This Row],[Team]]="","",_xlfn.MAXIFS(Games[Week],Games[Team],Games[[#This Row],[Team]],Games[Season],Games[[#This Row],[Season]],Games[Week],"&lt;"&amp;Games[[#This Row],[Week]]))</f>
        <v>5</v>
      </c>
      <c r="U183">
        <f>IF(Games[[#This Row],[Team]]="","",_xlfn.MAXIFS(Games[Week],Games[Team],Games[[#This Row],[Opponent]],Games[Season],Games[[#This Row],[Season]],Games[Week],"&lt;"&amp;Games[[#This Row],[Week]]))</f>
        <v>5</v>
      </c>
      <c r="V18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18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13</v>
      </c>
      <c r="X18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18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1443.2835649386002</v>
      </c>
      <c r="Z18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1517.018671472955</v>
      </c>
      <c r="AA18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0.50613736680823551</v>
      </c>
      <c r="AB183">
        <f>IF(Games[[#This Row],[Team]]="","",Games[[#This Row],[PointsFor]]-Games[[#This Row],[PointsAgainst]])</f>
        <v>-9</v>
      </c>
      <c r="AC183">
        <f>IF(Games[[#This Row],[Team]]="","",IF(Games[[#This Row],[MOV]]&gt;0,1,IF(Games[[#This Row],[MOV]]=0,0.5,0)))</f>
        <v>0</v>
      </c>
      <c r="AD183">
        <f>IF(Games[[#This Row],[Team]]="","",--(OR(AND(Games[[#This Row],[ExpectedWin]]&gt;=0.5,Games[[#This Row],[Result]]=1),AND(Games[[#This Row],[ExpectedWin]]&lt;0.5,Games[[#This Row],[Result]]=0))))</f>
        <v>0</v>
      </c>
      <c r="AE183">
        <f>IF(Games[[#This Row],[Team]]="","",-(Games[[#This Row],[Result]]*LN(Games[[#This Row],[ExpectedWin]])+(1-Games[[#This Row],[Result]])*LN(1-Games[[#This Row],[ExpectedWin]])))</f>
        <v>0.70549787092498928</v>
      </c>
      <c r="AF183">
        <f>IF(Games[[#This Row],[Team]]="","",IF(Games[[#This Row],[Season]]&gt;=2021,17,16))</f>
        <v>16</v>
      </c>
      <c r="AG183">
        <f>IF(Games[[#This Row],[Team]]="","",KMax-(KMax-KFloor)*MIN(Games[[#This Row],[GamesPlayed]],Games[[#This Row],[SeasonLen]])/Games[[#This Row],[SeasonLen]])</f>
        <v>42.325000000000003</v>
      </c>
      <c r="AH183">
        <f>IF(Games[[#This Row],[Team]]="","",((ABS(Games[[#This Row],[MOV]])+3)^0.8)/(7.5+0.006*ABS(Games[[#This Row],[PreGmRate]]-Games[[#This Row],[OppPreGmRate]]))*IF(Games[[#This Row],[OT]]=1,0.7,1))</f>
        <v>0.9191632659587804</v>
      </c>
      <c r="AI18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3">
        <f>IF(Games[[#This Row],[Team]]="","",Games[[#This Row],[K]]*IF(Games[[#This Row],[DivG]]=1,DivMult,1)*IF(Games[[#This Row],[ConfG]]=1,ConfMult,1)*Games[[#This Row],[POMult]])</f>
        <v>47.488650000000007</v>
      </c>
      <c r="AK183">
        <f>IF(Games[[#This Row],[Team]]="","",(Games[[#This Row],[Keff]]*Games[[#This Row],[MOVMult]])*(Games[[#This Row],[Result]]-Games[[#This Row],[ExpectedWin]]))</f>
        <v>-22.092806287581286</v>
      </c>
      <c r="AL183">
        <f>IF(Games[[#This Row],[Team]]="","",Games[[#This Row],[PreGmRate]]+Games[[#This Row],[RatingChange]])</f>
        <v>1421.190758651019</v>
      </c>
      <c r="AM183">
        <f>IF(Games[[#This Row],[Team]]="","",IF(Games[[#This Row],[Type]]="R",IF(Games[[#This Row],[Result]]&gt;0.5,1,0),0))</f>
        <v>0</v>
      </c>
      <c r="AN183">
        <f>IF(Games[[#This Row],[Team]]="","",IF(Games[[#This Row],[Type]]="R",IF(Games[[#This Row],[Result]]&lt;0.5,1,0),0))</f>
        <v>1</v>
      </c>
      <c r="AO183">
        <f>IF(Games[[#This Row],[Team]]="","",IF(Games[[#This Row],[Type]]="R",IF(Games[[#This Row],[Result]]=0.5,1,0),0))</f>
        <v>0</v>
      </c>
    </row>
    <row r="184" spans="1:41" x14ac:dyDescent="0.35">
      <c r="A184" s="8">
        <v>35351</v>
      </c>
      <c r="B184">
        <v>1996</v>
      </c>
      <c r="C184" t="s">
        <v>197</v>
      </c>
      <c r="D184" t="s">
        <v>199</v>
      </c>
      <c r="E184" t="s">
        <v>140</v>
      </c>
      <c r="F184" t="s">
        <v>118</v>
      </c>
      <c r="G184" t="s">
        <v>200</v>
      </c>
      <c r="H184">
        <v>37</v>
      </c>
      <c r="I184">
        <v>21</v>
      </c>
      <c r="J184">
        <v>0</v>
      </c>
      <c r="K18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8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8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8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84">
        <f>IF(Games[[#This Row],[Team]]="","",IF(Games[[#This Row],[Conf]]=Games[[#This Row],[OppConf]],1,0))</f>
        <v>0</v>
      </c>
      <c r="P184">
        <f>IF(Games[[#This Row],[Team]]="","",IF(AND(Games[[#This Row],[Conf]]=Games[[#This Row],[OppConf]],Games[[#This Row],[Div]]=Games[[#This Row],[OppDiv]]),1,0))</f>
        <v>0</v>
      </c>
      <c r="Q184">
        <f>IF(Games[[#This Row],[Team]]="","",_xlfn.MINIFS(Games[Date],Games[Season],Games[[#This Row],[Season]]))</f>
        <v>35309</v>
      </c>
      <c r="R184">
        <f>IF(Games[[#This Row],[Team]]="","",INT((Games[[#This Row],[Date]]-(Games[[#This Row],[SeasonStart]]-MOD(WEEKDAY(Games[[#This Row],[SeasonStart]],2)-2,7)))/7)+1)</f>
        <v>7</v>
      </c>
      <c r="S184">
        <f>IF(Games[[#This Row],[Team]]="","",COUNTIFS(Games[Team],Games[[#This Row],[Team]],Games[Season],Games[[#This Row],[Season]],Games[Week],"&lt;="&amp;Games[[#This Row],[Week]]))</f>
        <v>7</v>
      </c>
      <c r="T184">
        <f>IF(Games[[#This Row],[Team]]="","",_xlfn.MAXIFS(Games[Week],Games[Team],Games[[#This Row],[Team]],Games[Season],Games[[#This Row],[Season]],Games[Week],"&lt;"&amp;Games[[#This Row],[Week]]))</f>
        <v>6</v>
      </c>
      <c r="U184">
        <f>IF(Games[[#This Row],[Team]]="","",_xlfn.MAXIFS(Games[Week],Games[Team],Games[[#This Row],[Opponent]],Games[Season],Games[[#This Row],[Season]],Games[Week],"&lt;"&amp;Games[[#This Row],[Week]]))</f>
        <v>6</v>
      </c>
      <c r="V18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8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8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8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1493.0940662773544</v>
      </c>
      <c r="Z18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1563.4353187556526</v>
      </c>
      <c r="AA18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0.50238711143593229</v>
      </c>
      <c r="AB184">
        <f>IF(Games[[#This Row],[Team]]="","",Games[[#This Row],[PointsFor]]-Games[[#This Row],[PointsAgainst]])</f>
        <v>16</v>
      </c>
      <c r="AC184">
        <f>IF(Games[[#This Row],[Team]]="","",IF(Games[[#This Row],[MOV]]&gt;0,1,IF(Games[[#This Row],[MOV]]=0,0.5,0)))</f>
        <v>1</v>
      </c>
      <c r="AD184">
        <f>IF(Games[[#This Row],[Team]]="","",--(OR(AND(Games[[#This Row],[ExpectedWin]]&gt;=0.5,Games[[#This Row],[Result]]=1),AND(Games[[#This Row],[ExpectedWin]]&lt;0.5,Games[[#This Row],[Result]]=0))))</f>
        <v>1</v>
      </c>
      <c r="AE184">
        <f>IF(Games[[#This Row],[Team]]="","",-(Games[[#This Row],[Result]]*LN(Games[[#This Row],[ExpectedWin]])+(1-Games[[#This Row],[Result]])*LN(1-Games[[#This Row],[ExpectedWin]])))</f>
        <v>0.6883843181462056</v>
      </c>
      <c r="AF184">
        <f>IF(Games[[#This Row],[Team]]="","",IF(Games[[#This Row],[Season]]&gt;=2021,17,16))</f>
        <v>16</v>
      </c>
      <c r="AG184">
        <f>IF(Games[[#This Row],[Team]]="","",KMax-(KMax-KFloor)*MIN(Games[[#This Row],[GamesPlayed]],Games[[#This Row],[SeasonLen]])/Games[[#This Row],[SeasonLen]])</f>
        <v>41.712499999999999</v>
      </c>
      <c r="AH184">
        <f>IF(Games[[#This Row],[Team]]="","",((ABS(Games[[#This Row],[MOV]])+3)^0.8)/(7.5+0.006*ABS(Games[[#This Row],[PreGmRate]]-Games[[#This Row],[OppPreGmRate]]))*IF(Games[[#This Row],[OT]]=1,0.7,1))</f>
        <v>1.3309613308866952</v>
      </c>
      <c r="AI18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4">
        <f>IF(Games[[#This Row],[Team]]="","",Games[[#This Row],[K]]*IF(Games[[#This Row],[DivG]]=1,DivMult,1)*IF(Games[[#This Row],[ConfG]]=1,ConfMult,1)*Games[[#This Row],[POMult]])</f>
        <v>41.712499999999999</v>
      </c>
      <c r="AK184">
        <f>IF(Games[[#This Row],[Team]]="","",(Games[[#This Row],[Keff]]*Games[[#This Row],[MOVMult]])*(Games[[#This Row],[Result]]-Games[[#This Row],[ExpectedWin]]))</f>
        <v>27.626335262219872</v>
      </c>
      <c r="AL184">
        <f>IF(Games[[#This Row],[Team]]="","",Games[[#This Row],[PreGmRate]]+Games[[#This Row],[RatingChange]])</f>
        <v>1520.7204015395744</v>
      </c>
      <c r="AM184">
        <f>IF(Games[[#This Row],[Team]]="","",IF(Games[[#This Row],[Type]]="R",IF(Games[[#This Row],[Result]]&gt;0.5,1,0),0))</f>
        <v>1</v>
      </c>
      <c r="AN184">
        <f>IF(Games[[#This Row],[Team]]="","",IF(Games[[#This Row],[Type]]="R",IF(Games[[#This Row],[Result]]&lt;0.5,1,0),0))</f>
        <v>0</v>
      </c>
      <c r="AO184">
        <f>IF(Games[[#This Row],[Team]]="","",IF(Games[[#This Row],[Type]]="R",IF(Games[[#This Row],[Result]]=0.5,1,0),0))</f>
        <v>0</v>
      </c>
    </row>
    <row r="185" spans="1:41" x14ac:dyDescent="0.35">
      <c r="A185" s="8">
        <v>35351</v>
      </c>
      <c r="B185">
        <v>1996</v>
      </c>
      <c r="C185" t="s">
        <v>197</v>
      </c>
      <c r="D185" t="s">
        <v>199</v>
      </c>
      <c r="E185" t="s">
        <v>118</v>
      </c>
      <c r="F185" t="s">
        <v>140</v>
      </c>
      <c r="G185" t="s">
        <v>201</v>
      </c>
      <c r="H185">
        <v>21</v>
      </c>
      <c r="I185">
        <v>37</v>
      </c>
      <c r="J185">
        <v>0</v>
      </c>
      <c r="K18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8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8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8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85">
        <f>IF(Games[[#This Row],[Team]]="","",IF(Games[[#This Row],[Conf]]=Games[[#This Row],[OppConf]],1,0))</f>
        <v>0</v>
      </c>
      <c r="P185">
        <f>IF(Games[[#This Row],[Team]]="","",IF(AND(Games[[#This Row],[Conf]]=Games[[#This Row],[OppConf]],Games[[#This Row],[Div]]=Games[[#This Row],[OppDiv]]),1,0))</f>
        <v>0</v>
      </c>
      <c r="Q185">
        <f>IF(Games[[#This Row],[Team]]="","",_xlfn.MINIFS(Games[Date],Games[Season],Games[[#This Row],[Season]]))</f>
        <v>35309</v>
      </c>
      <c r="R185">
        <f>IF(Games[[#This Row],[Team]]="","",INT((Games[[#This Row],[Date]]-(Games[[#This Row],[SeasonStart]]-MOD(WEEKDAY(Games[[#This Row],[SeasonStart]],2)-2,7)))/7)+1)</f>
        <v>7</v>
      </c>
      <c r="S185">
        <f>IF(Games[[#This Row],[Team]]="","",COUNTIFS(Games[Team],Games[[#This Row],[Team]],Games[Season],Games[[#This Row],[Season]],Games[Week],"&lt;="&amp;Games[[#This Row],[Week]]))</f>
        <v>7</v>
      </c>
      <c r="T185">
        <f>IF(Games[[#This Row],[Team]]="","",_xlfn.MAXIFS(Games[Week],Games[Team],Games[[#This Row],[Team]],Games[Season],Games[[#This Row],[Season]],Games[Week],"&lt;"&amp;Games[[#This Row],[Week]]))</f>
        <v>6</v>
      </c>
      <c r="U185">
        <f>IF(Games[[#This Row],[Team]]="","",_xlfn.MAXIFS(Games[Week],Games[Team],Games[[#This Row],[Opponent]],Games[Season],Games[[#This Row],[Season]],Games[Week],"&lt;"&amp;Games[[#This Row],[Week]]))</f>
        <v>6</v>
      </c>
      <c r="V18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8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8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8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1563.4353187556526</v>
      </c>
      <c r="Z18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1493.0940662773544</v>
      </c>
      <c r="AA18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0.49761288856406782</v>
      </c>
      <c r="AB185">
        <f>IF(Games[[#This Row],[Team]]="","",Games[[#This Row],[PointsFor]]-Games[[#This Row],[PointsAgainst]])</f>
        <v>-16</v>
      </c>
      <c r="AC185">
        <f>IF(Games[[#This Row],[Team]]="","",IF(Games[[#This Row],[MOV]]&gt;0,1,IF(Games[[#This Row],[MOV]]=0,0.5,0)))</f>
        <v>0</v>
      </c>
      <c r="AD185">
        <f>IF(Games[[#This Row],[Team]]="","",--(OR(AND(Games[[#This Row],[ExpectedWin]]&gt;=0.5,Games[[#This Row],[Result]]=1),AND(Games[[#This Row],[ExpectedWin]]&lt;0.5,Games[[#This Row],[Result]]=0))))</f>
        <v>1</v>
      </c>
      <c r="AE185">
        <f>IF(Games[[#This Row],[Team]]="","",-(Games[[#This Row],[Result]]*LN(Games[[#This Row],[ExpectedWin]])+(1-Games[[#This Row],[Result]])*LN(1-Games[[#This Row],[ExpectedWin]])))</f>
        <v>0.68838431814620582</v>
      </c>
      <c r="AF185">
        <f>IF(Games[[#This Row],[Team]]="","",IF(Games[[#This Row],[Season]]&gt;=2021,17,16))</f>
        <v>16</v>
      </c>
      <c r="AG185">
        <f>IF(Games[[#This Row],[Team]]="","",KMax-(KMax-KFloor)*MIN(Games[[#This Row],[GamesPlayed]],Games[[#This Row],[SeasonLen]])/Games[[#This Row],[SeasonLen]])</f>
        <v>41.712499999999999</v>
      </c>
      <c r="AH185">
        <f>IF(Games[[#This Row],[Team]]="","",((ABS(Games[[#This Row],[MOV]])+3)^0.8)/(7.5+0.006*ABS(Games[[#This Row],[PreGmRate]]-Games[[#This Row],[OppPreGmRate]]))*IF(Games[[#This Row],[OT]]=1,0.7,1))</f>
        <v>1.3309613308866952</v>
      </c>
      <c r="AI18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5">
        <f>IF(Games[[#This Row],[Team]]="","",Games[[#This Row],[K]]*IF(Games[[#This Row],[DivG]]=1,DivMult,1)*IF(Games[[#This Row],[ConfG]]=1,ConfMult,1)*Games[[#This Row],[POMult]])</f>
        <v>41.712499999999999</v>
      </c>
      <c r="AK185">
        <f>IF(Games[[#This Row],[Team]]="","",(Games[[#This Row],[Keff]]*Games[[#This Row],[MOVMult]])*(Games[[#This Row],[Result]]-Games[[#This Row],[ExpectedWin]]))</f>
        <v>-27.626335262219875</v>
      </c>
      <c r="AL185">
        <f>IF(Games[[#This Row],[Team]]="","",Games[[#This Row],[PreGmRate]]+Games[[#This Row],[RatingChange]])</f>
        <v>1535.8089834934326</v>
      </c>
      <c r="AM185">
        <f>IF(Games[[#This Row],[Team]]="","",IF(Games[[#This Row],[Type]]="R",IF(Games[[#This Row],[Result]]&gt;0.5,1,0),0))</f>
        <v>0</v>
      </c>
      <c r="AN185">
        <f>IF(Games[[#This Row],[Team]]="","",IF(Games[[#This Row],[Type]]="R",IF(Games[[#This Row],[Result]]&lt;0.5,1,0),0))</f>
        <v>1</v>
      </c>
      <c r="AO185">
        <f>IF(Games[[#This Row],[Team]]="","",IF(Games[[#This Row],[Type]]="R",IF(Games[[#This Row],[Result]]=0.5,1,0),0))</f>
        <v>0</v>
      </c>
    </row>
    <row r="186" spans="1:41" x14ac:dyDescent="0.35">
      <c r="A186" s="8">
        <v>35351</v>
      </c>
      <c r="B186">
        <v>1996</v>
      </c>
      <c r="C186" t="s">
        <v>197</v>
      </c>
      <c r="D186" t="s">
        <v>199</v>
      </c>
      <c r="E186" t="s">
        <v>122</v>
      </c>
      <c r="F186" t="s">
        <v>101</v>
      </c>
      <c r="G186" t="s">
        <v>200</v>
      </c>
      <c r="H186">
        <v>26</v>
      </c>
      <c r="I186">
        <v>21</v>
      </c>
      <c r="J186">
        <v>0</v>
      </c>
      <c r="K18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8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8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8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86">
        <f>IF(Games[[#This Row],[Team]]="","",IF(Games[[#This Row],[Conf]]=Games[[#This Row],[OppConf]],1,0))</f>
        <v>1</v>
      </c>
      <c r="P186">
        <f>IF(Games[[#This Row],[Team]]="","",IF(AND(Games[[#This Row],[Conf]]=Games[[#This Row],[OppConf]],Games[[#This Row],[Div]]=Games[[#This Row],[OppDiv]]),1,0))</f>
        <v>0</v>
      </c>
      <c r="Q186">
        <f>IF(Games[[#This Row],[Team]]="","",_xlfn.MINIFS(Games[Date],Games[Season],Games[[#This Row],[Season]]))</f>
        <v>35309</v>
      </c>
      <c r="R186">
        <f>IF(Games[[#This Row],[Team]]="","",INT((Games[[#This Row],[Date]]-(Games[[#This Row],[SeasonStart]]-MOD(WEEKDAY(Games[[#This Row],[SeasonStart]],2)-2,7)))/7)+1)</f>
        <v>7</v>
      </c>
      <c r="S186">
        <f>IF(Games[[#This Row],[Team]]="","",COUNTIFS(Games[Team],Games[[#This Row],[Team]],Games[Season],Games[[#This Row],[Season]],Games[Week],"&lt;="&amp;Games[[#This Row],[Week]]))</f>
        <v>6</v>
      </c>
      <c r="T186">
        <f>IF(Games[[#This Row],[Team]]="","",_xlfn.MAXIFS(Games[Week],Games[Team],Games[[#This Row],[Team]],Games[Season],Games[[#This Row],[Season]],Games[Week],"&lt;"&amp;Games[[#This Row],[Week]]))</f>
        <v>6</v>
      </c>
      <c r="U186">
        <f>IF(Games[[#This Row],[Team]]="","",_xlfn.MAXIFS(Games[Week],Games[Team],Games[[#This Row],[Opponent]],Games[Season],Games[[#This Row],[Season]],Games[Week],"&lt;"&amp;Games[[#This Row],[Week]]))</f>
        <v>6</v>
      </c>
      <c r="V18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8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8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8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1562.4425042446453</v>
      </c>
      <c r="Z18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1450.093284514898</v>
      </c>
      <c r="AA18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0.74291968798371988</v>
      </c>
      <c r="AB186">
        <f>IF(Games[[#This Row],[Team]]="","",Games[[#This Row],[PointsFor]]-Games[[#This Row],[PointsAgainst]])</f>
        <v>5</v>
      </c>
      <c r="AC186">
        <f>IF(Games[[#This Row],[Team]]="","",IF(Games[[#This Row],[MOV]]&gt;0,1,IF(Games[[#This Row],[MOV]]=0,0.5,0)))</f>
        <v>1</v>
      </c>
      <c r="AD186">
        <f>IF(Games[[#This Row],[Team]]="","",--(OR(AND(Games[[#This Row],[ExpectedWin]]&gt;=0.5,Games[[#This Row],[Result]]=1),AND(Games[[#This Row],[ExpectedWin]]&lt;0.5,Games[[#This Row],[Result]]=0))))</f>
        <v>1</v>
      </c>
      <c r="AE186">
        <f>IF(Games[[#This Row],[Team]]="","",-(Games[[#This Row],[Result]]*LN(Games[[#This Row],[ExpectedWin]])+(1-Games[[#This Row],[Result]])*LN(1-Games[[#This Row],[ExpectedWin]])))</f>
        <v>0.29716733164946241</v>
      </c>
      <c r="AF186">
        <f>IF(Games[[#This Row],[Team]]="","",IF(Games[[#This Row],[Season]]&gt;=2021,17,16))</f>
        <v>16</v>
      </c>
      <c r="AG186">
        <f>IF(Games[[#This Row],[Team]]="","",KMax-(KMax-KFloor)*MIN(Games[[#This Row],[GamesPlayed]],Games[[#This Row],[SeasonLen]])/Games[[#This Row],[SeasonLen]])</f>
        <v>42.325000000000003</v>
      </c>
      <c r="AH186">
        <f>IF(Games[[#This Row],[Team]]="","",((ABS(Games[[#This Row],[MOV]])+3)^0.8)/(7.5+0.006*ABS(Games[[#This Row],[PreGmRate]]-Games[[#This Row],[OppPreGmRate]]))*IF(Games[[#This Row],[OT]]=1,0.7,1))</f>
        <v>0.64570223829229745</v>
      </c>
      <c r="AI18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6">
        <f>IF(Games[[#This Row],[Team]]="","",Games[[#This Row],[K]]*IF(Games[[#This Row],[DivG]]=1,DivMult,1)*IF(Games[[#This Row],[ConfG]]=1,ConfMult,1)*Games[[#This Row],[POMult]])</f>
        <v>43.171500000000002</v>
      </c>
      <c r="AK186">
        <f>IF(Games[[#This Row],[Team]]="","",(Games[[#This Row],[Keff]]*Games[[#This Row],[MOVMult]])*(Games[[#This Row],[Result]]-Games[[#This Row],[ExpectedWin]]))</f>
        <v>7.166353856851754</v>
      </c>
      <c r="AL186">
        <f>IF(Games[[#This Row],[Team]]="","",Games[[#This Row],[PreGmRate]]+Games[[#This Row],[RatingChange]])</f>
        <v>1569.6088581014972</v>
      </c>
      <c r="AM186">
        <f>IF(Games[[#This Row],[Team]]="","",IF(Games[[#This Row],[Type]]="R",IF(Games[[#This Row],[Result]]&gt;0.5,1,0),0))</f>
        <v>1</v>
      </c>
      <c r="AN186">
        <f>IF(Games[[#This Row],[Team]]="","",IF(Games[[#This Row],[Type]]="R",IF(Games[[#This Row],[Result]]&lt;0.5,1,0),0))</f>
        <v>0</v>
      </c>
      <c r="AO186">
        <f>IF(Games[[#This Row],[Team]]="","",IF(Games[[#This Row],[Type]]="R",IF(Games[[#This Row],[Result]]=0.5,1,0),0))</f>
        <v>0</v>
      </c>
    </row>
    <row r="187" spans="1:41" x14ac:dyDescent="0.35">
      <c r="A187" s="8">
        <v>35351</v>
      </c>
      <c r="B187">
        <v>1996</v>
      </c>
      <c r="C187" t="s">
        <v>197</v>
      </c>
      <c r="D187" t="s">
        <v>199</v>
      </c>
      <c r="E187" t="s">
        <v>101</v>
      </c>
      <c r="F187" t="s">
        <v>122</v>
      </c>
      <c r="G187" t="s">
        <v>201</v>
      </c>
      <c r="H187">
        <v>21</v>
      </c>
      <c r="I187">
        <v>26</v>
      </c>
      <c r="J187">
        <v>0</v>
      </c>
      <c r="K18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8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8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8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87">
        <f>IF(Games[[#This Row],[Team]]="","",IF(Games[[#This Row],[Conf]]=Games[[#This Row],[OppConf]],1,0))</f>
        <v>1</v>
      </c>
      <c r="P187">
        <f>IF(Games[[#This Row],[Team]]="","",IF(AND(Games[[#This Row],[Conf]]=Games[[#This Row],[OppConf]],Games[[#This Row],[Div]]=Games[[#This Row],[OppDiv]]),1,0))</f>
        <v>0</v>
      </c>
      <c r="Q187">
        <f>IF(Games[[#This Row],[Team]]="","",_xlfn.MINIFS(Games[Date],Games[Season],Games[[#This Row],[Season]]))</f>
        <v>35309</v>
      </c>
      <c r="R187">
        <f>IF(Games[[#This Row],[Team]]="","",INT((Games[[#This Row],[Date]]-(Games[[#This Row],[SeasonStart]]-MOD(WEEKDAY(Games[[#This Row],[SeasonStart]],2)-2,7)))/7)+1)</f>
        <v>7</v>
      </c>
      <c r="S187">
        <f>IF(Games[[#This Row],[Team]]="","",COUNTIFS(Games[Team],Games[[#This Row],[Team]],Games[Season],Games[[#This Row],[Season]],Games[Week],"&lt;="&amp;Games[[#This Row],[Week]]))</f>
        <v>6</v>
      </c>
      <c r="T187">
        <f>IF(Games[[#This Row],[Team]]="","",_xlfn.MAXIFS(Games[Week],Games[Team],Games[[#This Row],[Team]],Games[Season],Games[[#This Row],[Season]],Games[Week],"&lt;"&amp;Games[[#This Row],[Week]]))</f>
        <v>6</v>
      </c>
      <c r="U187">
        <f>IF(Games[[#This Row],[Team]]="","",_xlfn.MAXIFS(Games[Week],Games[Team],Games[[#This Row],[Opponent]],Games[Season],Games[[#This Row],[Season]],Games[Week],"&lt;"&amp;Games[[#This Row],[Week]]))</f>
        <v>6</v>
      </c>
      <c r="V18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8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8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8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1450.093284514898</v>
      </c>
      <c r="Z18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1562.4425042446453</v>
      </c>
      <c r="AA18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0.25708031201628012</v>
      </c>
      <c r="AB187">
        <f>IF(Games[[#This Row],[Team]]="","",Games[[#This Row],[PointsFor]]-Games[[#This Row],[PointsAgainst]])</f>
        <v>-5</v>
      </c>
      <c r="AC187">
        <f>IF(Games[[#This Row],[Team]]="","",IF(Games[[#This Row],[MOV]]&gt;0,1,IF(Games[[#This Row],[MOV]]=0,0.5,0)))</f>
        <v>0</v>
      </c>
      <c r="AD187">
        <f>IF(Games[[#This Row],[Team]]="","",--(OR(AND(Games[[#This Row],[ExpectedWin]]&gt;=0.5,Games[[#This Row],[Result]]=1),AND(Games[[#This Row],[ExpectedWin]]&lt;0.5,Games[[#This Row],[Result]]=0))))</f>
        <v>1</v>
      </c>
      <c r="AE187">
        <f>IF(Games[[#This Row],[Team]]="","",-(Games[[#This Row],[Result]]*LN(Games[[#This Row],[ExpectedWin]])+(1-Games[[#This Row],[Result]])*LN(1-Games[[#This Row],[ExpectedWin]])))</f>
        <v>0.29716733164946241</v>
      </c>
      <c r="AF187">
        <f>IF(Games[[#This Row],[Team]]="","",IF(Games[[#This Row],[Season]]&gt;=2021,17,16))</f>
        <v>16</v>
      </c>
      <c r="AG187">
        <f>IF(Games[[#This Row],[Team]]="","",KMax-(KMax-KFloor)*MIN(Games[[#This Row],[GamesPlayed]],Games[[#This Row],[SeasonLen]])/Games[[#This Row],[SeasonLen]])</f>
        <v>42.325000000000003</v>
      </c>
      <c r="AH187">
        <f>IF(Games[[#This Row],[Team]]="","",((ABS(Games[[#This Row],[MOV]])+3)^0.8)/(7.5+0.006*ABS(Games[[#This Row],[PreGmRate]]-Games[[#This Row],[OppPreGmRate]]))*IF(Games[[#This Row],[OT]]=1,0.7,1))</f>
        <v>0.64570223829229745</v>
      </c>
      <c r="AI18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7">
        <f>IF(Games[[#This Row],[Team]]="","",Games[[#This Row],[K]]*IF(Games[[#This Row],[DivG]]=1,DivMult,1)*IF(Games[[#This Row],[ConfG]]=1,ConfMult,1)*Games[[#This Row],[POMult]])</f>
        <v>43.171500000000002</v>
      </c>
      <c r="AK187">
        <f>IF(Games[[#This Row],[Team]]="","",(Games[[#This Row],[Keff]]*Games[[#This Row],[MOVMult]])*(Games[[#This Row],[Result]]-Games[[#This Row],[ExpectedWin]]))</f>
        <v>-7.166353856851754</v>
      </c>
      <c r="AL187">
        <f>IF(Games[[#This Row],[Team]]="","",Games[[#This Row],[PreGmRate]]+Games[[#This Row],[RatingChange]])</f>
        <v>1442.9269306580461</v>
      </c>
      <c r="AM187">
        <f>IF(Games[[#This Row],[Team]]="","",IF(Games[[#This Row],[Type]]="R",IF(Games[[#This Row],[Result]]&gt;0.5,1,0),0))</f>
        <v>0</v>
      </c>
      <c r="AN187">
        <f>IF(Games[[#This Row],[Team]]="","",IF(Games[[#This Row],[Type]]="R",IF(Games[[#This Row],[Result]]&lt;0.5,1,0),0))</f>
        <v>1</v>
      </c>
      <c r="AO187">
        <f>IF(Games[[#This Row],[Team]]="","",IF(Games[[#This Row],[Type]]="R",IF(Games[[#This Row],[Result]]=0.5,1,0),0))</f>
        <v>0</v>
      </c>
    </row>
    <row r="188" spans="1:41" x14ac:dyDescent="0.35">
      <c r="A188" s="8">
        <v>35352</v>
      </c>
      <c r="B188">
        <v>1996</v>
      </c>
      <c r="C188" t="s">
        <v>197</v>
      </c>
      <c r="D188" t="s">
        <v>199</v>
      </c>
      <c r="E188" t="s">
        <v>120</v>
      </c>
      <c r="F188" t="s">
        <v>148</v>
      </c>
      <c r="G188" t="s">
        <v>200</v>
      </c>
      <c r="H188">
        <v>23</v>
      </c>
      <c r="I188">
        <v>20</v>
      </c>
      <c r="J188">
        <v>1</v>
      </c>
      <c r="K18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8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8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8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88">
        <f>IF(Games[[#This Row],[Team]]="","",IF(Games[[#This Row],[Conf]]=Games[[#This Row],[OppConf]],1,0))</f>
        <v>1</v>
      </c>
      <c r="P188">
        <f>IF(Games[[#This Row],[Team]]="","",IF(AND(Games[[#This Row],[Conf]]=Games[[#This Row],[OppConf]],Games[[#This Row],[Div]]=Games[[#This Row],[OppDiv]]),1,0))</f>
        <v>0</v>
      </c>
      <c r="Q188">
        <f>IF(Games[[#This Row],[Team]]="","",_xlfn.MINIFS(Games[Date],Games[Season],Games[[#This Row],[Season]]))</f>
        <v>35309</v>
      </c>
      <c r="R188">
        <f>IF(Games[[#This Row],[Team]]="","",INT((Games[[#This Row],[Date]]-(Games[[#This Row],[SeasonStart]]-MOD(WEEKDAY(Games[[#This Row],[SeasonStart]],2)-2,7)))/7)+1)</f>
        <v>7</v>
      </c>
      <c r="S188">
        <f>IF(Games[[#This Row],[Team]]="","",COUNTIFS(Games[Team],Games[[#This Row],[Team]],Games[Season],Games[[#This Row],[Season]],Games[Week],"&lt;="&amp;Games[[#This Row],[Week]]))</f>
        <v>7</v>
      </c>
      <c r="T188">
        <f>IF(Games[[#This Row],[Team]]="","",_xlfn.MAXIFS(Games[Week],Games[Team],Games[[#This Row],[Team]],Games[Season],Games[[#This Row],[Season]],Games[Week],"&lt;"&amp;Games[[#This Row],[Week]]))</f>
        <v>6</v>
      </c>
      <c r="U188">
        <f>IF(Games[[#This Row],[Team]]="","",_xlfn.MAXIFS(Games[Week],Games[Team],Games[[#This Row],[Opponent]],Games[Season],Games[[#This Row],[Season]],Games[Week],"&lt;"&amp;Games[[#This Row],[Week]]))</f>
        <v>6</v>
      </c>
      <c r="V18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18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18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8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1664.8419865565197</v>
      </c>
      <c r="Z18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1591.2205816971655</v>
      </c>
      <c r="AA18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0.69809950848666835</v>
      </c>
      <c r="AB188">
        <f>IF(Games[[#This Row],[Team]]="","",Games[[#This Row],[PointsFor]]-Games[[#This Row],[PointsAgainst]])</f>
        <v>3</v>
      </c>
      <c r="AC188">
        <f>IF(Games[[#This Row],[Team]]="","",IF(Games[[#This Row],[MOV]]&gt;0,1,IF(Games[[#This Row],[MOV]]=0,0.5,0)))</f>
        <v>1</v>
      </c>
      <c r="AD188">
        <f>IF(Games[[#This Row],[Team]]="","",--(OR(AND(Games[[#This Row],[ExpectedWin]]&gt;=0.5,Games[[#This Row],[Result]]=1),AND(Games[[#This Row],[ExpectedWin]]&lt;0.5,Games[[#This Row],[Result]]=0))))</f>
        <v>1</v>
      </c>
      <c r="AE188">
        <f>IF(Games[[#This Row],[Team]]="","",-(Games[[#This Row],[Result]]*LN(Games[[#This Row],[ExpectedWin]])+(1-Games[[#This Row],[Result]])*LN(1-Games[[#This Row],[ExpectedWin]])))</f>
        <v>0.35939362407898667</v>
      </c>
      <c r="AF188">
        <f>IF(Games[[#This Row],[Team]]="","",IF(Games[[#This Row],[Season]]&gt;=2021,17,16))</f>
        <v>16</v>
      </c>
      <c r="AG188">
        <f>IF(Games[[#This Row],[Team]]="","",KMax-(KMax-KFloor)*MIN(Games[[#This Row],[GamesPlayed]],Games[[#This Row],[SeasonLen]])/Games[[#This Row],[SeasonLen]])</f>
        <v>41.712499999999999</v>
      </c>
      <c r="AH188">
        <f>IF(Games[[#This Row],[Team]]="","",((ABS(Games[[#This Row],[MOV]])+3)^0.8)/(7.5+0.006*ABS(Games[[#This Row],[PreGmRate]]-Games[[#This Row],[OppPreGmRate]]))*IF(Games[[#This Row],[OT]]=1,0.7,1))</f>
        <v>0.36957621064770019</v>
      </c>
      <c r="AI18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8">
        <f>IF(Games[[#This Row],[Team]]="","",Games[[#This Row],[K]]*IF(Games[[#This Row],[DivG]]=1,DivMult,1)*IF(Games[[#This Row],[ConfG]]=1,ConfMult,1)*Games[[#This Row],[POMult]])</f>
        <v>42.546749999999996</v>
      </c>
      <c r="AK188">
        <f>IF(Games[[#This Row],[Team]]="","",(Games[[#This Row],[Keff]]*Games[[#This Row],[MOVMult]])*(Games[[#This Row],[Result]]-Games[[#This Row],[ExpectedWin]]))</f>
        <v>4.7471638274159078</v>
      </c>
      <c r="AL188">
        <f>IF(Games[[#This Row],[Team]]="","",Games[[#This Row],[PreGmRate]]+Games[[#This Row],[RatingChange]])</f>
        <v>1669.5891503839357</v>
      </c>
      <c r="AM188">
        <f>IF(Games[[#This Row],[Team]]="","",IF(Games[[#This Row],[Type]]="R",IF(Games[[#This Row],[Result]]&gt;0.5,1,0),0))</f>
        <v>1</v>
      </c>
      <c r="AN188">
        <f>IF(Games[[#This Row],[Team]]="","",IF(Games[[#This Row],[Type]]="R",IF(Games[[#This Row],[Result]]&lt;0.5,1,0),0))</f>
        <v>0</v>
      </c>
      <c r="AO188">
        <f>IF(Games[[#This Row],[Team]]="","",IF(Games[[#This Row],[Type]]="R",IF(Games[[#This Row],[Result]]=0.5,1,0),0))</f>
        <v>0</v>
      </c>
    </row>
    <row r="189" spans="1:41" x14ac:dyDescent="0.35">
      <c r="A189" s="8">
        <v>35352</v>
      </c>
      <c r="B189">
        <v>1996</v>
      </c>
      <c r="C189" t="s">
        <v>197</v>
      </c>
      <c r="D189" t="s">
        <v>199</v>
      </c>
      <c r="E189" t="s">
        <v>148</v>
      </c>
      <c r="F189" t="s">
        <v>120</v>
      </c>
      <c r="G189" t="s">
        <v>201</v>
      </c>
      <c r="H189">
        <v>20</v>
      </c>
      <c r="I189">
        <v>23</v>
      </c>
      <c r="J189">
        <v>1</v>
      </c>
      <c r="K18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8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8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8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89">
        <f>IF(Games[[#This Row],[Team]]="","",IF(Games[[#This Row],[Conf]]=Games[[#This Row],[OppConf]],1,0))</f>
        <v>1</v>
      </c>
      <c r="P189">
        <f>IF(Games[[#This Row],[Team]]="","",IF(AND(Games[[#This Row],[Conf]]=Games[[#This Row],[OppConf]],Games[[#This Row],[Div]]=Games[[#This Row],[OppDiv]]),1,0))</f>
        <v>0</v>
      </c>
      <c r="Q189">
        <f>IF(Games[[#This Row],[Team]]="","",_xlfn.MINIFS(Games[Date],Games[Season],Games[[#This Row],[Season]]))</f>
        <v>35309</v>
      </c>
      <c r="R189">
        <f>IF(Games[[#This Row],[Team]]="","",INT((Games[[#This Row],[Date]]-(Games[[#This Row],[SeasonStart]]-MOD(WEEKDAY(Games[[#This Row],[SeasonStart]],2)-2,7)))/7)+1)</f>
        <v>7</v>
      </c>
      <c r="S189">
        <f>IF(Games[[#This Row],[Team]]="","",COUNTIFS(Games[Team],Games[[#This Row],[Team]],Games[Season],Games[[#This Row],[Season]],Games[Week],"&lt;="&amp;Games[[#This Row],[Week]]))</f>
        <v>6</v>
      </c>
      <c r="T189">
        <f>IF(Games[[#This Row],[Team]]="","",_xlfn.MAXIFS(Games[Week],Games[Team],Games[[#This Row],[Team]],Games[Season],Games[[#This Row],[Season]],Games[Week],"&lt;"&amp;Games[[#This Row],[Week]]))</f>
        <v>6</v>
      </c>
      <c r="U189">
        <f>IF(Games[[#This Row],[Team]]="","",_xlfn.MAXIFS(Games[Week],Games[Team],Games[[#This Row],[Opponent]],Games[Season],Games[[#This Row],[Season]],Games[Week],"&lt;"&amp;Games[[#This Row],[Week]]))</f>
        <v>6</v>
      </c>
      <c r="V18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18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18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8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1591.2205816971655</v>
      </c>
      <c r="Z18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1664.8419865565197</v>
      </c>
      <c r="AA18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0.30190049151333165</v>
      </c>
      <c r="AB189">
        <f>IF(Games[[#This Row],[Team]]="","",Games[[#This Row],[PointsFor]]-Games[[#This Row],[PointsAgainst]])</f>
        <v>-3</v>
      </c>
      <c r="AC189">
        <f>IF(Games[[#This Row],[Team]]="","",IF(Games[[#This Row],[MOV]]&gt;0,1,IF(Games[[#This Row],[MOV]]=0,0.5,0)))</f>
        <v>0</v>
      </c>
      <c r="AD189">
        <f>IF(Games[[#This Row],[Team]]="","",--(OR(AND(Games[[#This Row],[ExpectedWin]]&gt;=0.5,Games[[#This Row],[Result]]=1),AND(Games[[#This Row],[ExpectedWin]]&lt;0.5,Games[[#This Row],[Result]]=0))))</f>
        <v>1</v>
      </c>
      <c r="AE189">
        <f>IF(Games[[#This Row],[Team]]="","",-(Games[[#This Row],[Result]]*LN(Games[[#This Row],[ExpectedWin]])+(1-Games[[#This Row],[Result]])*LN(1-Games[[#This Row],[ExpectedWin]])))</f>
        <v>0.35939362407898667</v>
      </c>
      <c r="AF189">
        <f>IF(Games[[#This Row],[Team]]="","",IF(Games[[#This Row],[Season]]&gt;=2021,17,16))</f>
        <v>16</v>
      </c>
      <c r="AG189">
        <f>IF(Games[[#This Row],[Team]]="","",KMax-(KMax-KFloor)*MIN(Games[[#This Row],[GamesPlayed]],Games[[#This Row],[SeasonLen]])/Games[[#This Row],[SeasonLen]])</f>
        <v>42.325000000000003</v>
      </c>
      <c r="AH189">
        <f>IF(Games[[#This Row],[Team]]="","",((ABS(Games[[#This Row],[MOV]])+3)^0.8)/(7.5+0.006*ABS(Games[[#This Row],[PreGmRate]]-Games[[#This Row],[OppPreGmRate]]))*IF(Games[[#This Row],[OT]]=1,0.7,1))</f>
        <v>0.36957621064770019</v>
      </c>
      <c r="AI18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9">
        <f>IF(Games[[#This Row],[Team]]="","",Games[[#This Row],[K]]*IF(Games[[#This Row],[DivG]]=1,DivMult,1)*IF(Games[[#This Row],[ConfG]]=1,ConfMult,1)*Games[[#This Row],[POMult]])</f>
        <v>43.171500000000002</v>
      </c>
      <c r="AK189">
        <f>IF(Games[[#This Row],[Team]]="","",(Games[[#This Row],[Keff]]*Games[[#This Row],[MOVMult]])*(Games[[#This Row],[Result]]-Games[[#This Row],[ExpectedWin]]))</f>
        <v>-4.8168704583848561</v>
      </c>
      <c r="AL189">
        <f>IF(Games[[#This Row],[Team]]="","",Games[[#This Row],[PreGmRate]]+Games[[#This Row],[RatingChange]])</f>
        <v>1586.4037112387807</v>
      </c>
      <c r="AM189">
        <f>IF(Games[[#This Row],[Team]]="","",IF(Games[[#This Row],[Type]]="R",IF(Games[[#This Row],[Result]]&gt;0.5,1,0),0))</f>
        <v>0</v>
      </c>
      <c r="AN189">
        <f>IF(Games[[#This Row],[Team]]="","",IF(Games[[#This Row],[Type]]="R",IF(Games[[#This Row],[Result]]&lt;0.5,1,0),0))</f>
        <v>1</v>
      </c>
      <c r="AO189">
        <f>IF(Games[[#This Row],[Team]]="","",IF(Games[[#This Row],[Type]]="R",IF(Games[[#This Row],[Result]]=0.5,1,0),0))</f>
        <v>0</v>
      </c>
    </row>
    <row r="190" spans="1:41" x14ac:dyDescent="0.35">
      <c r="A190" s="8">
        <v>35355</v>
      </c>
      <c r="B190">
        <v>1996</v>
      </c>
      <c r="C190" t="s">
        <v>197</v>
      </c>
      <c r="D190" t="s">
        <v>199</v>
      </c>
      <c r="E190" t="s">
        <v>126</v>
      </c>
      <c r="F190" t="s">
        <v>146</v>
      </c>
      <c r="G190" t="s">
        <v>200</v>
      </c>
      <c r="H190">
        <v>34</v>
      </c>
      <c r="I190">
        <v>16</v>
      </c>
      <c r="J190">
        <v>0</v>
      </c>
      <c r="K19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9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9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9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90">
        <f>IF(Games[[#This Row],[Team]]="","",IF(Games[[#This Row],[Conf]]=Games[[#This Row],[OppConf]],1,0))</f>
        <v>1</v>
      </c>
      <c r="P190">
        <f>IF(Games[[#This Row],[Team]]="","",IF(AND(Games[[#This Row],[Conf]]=Games[[#This Row],[OppConf]],Games[[#This Row],[Div]]=Games[[#This Row],[OppDiv]]),1,0))</f>
        <v>1</v>
      </c>
      <c r="Q190">
        <f>IF(Games[[#This Row],[Team]]="","",_xlfn.MINIFS(Games[Date],Games[Season],Games[[#This Row],[Season]]))</f>
        <v>35309</v>
      </c>
      <c r="R190">
        <f>IF(Games[[#This Row],[Team]]="","",INT((Games[[#This Row],[Date]]-(Games[[#This Row],[SeasonStart]]-MOD(WEEKDAY(Games[[#This Row],[SeasonStart]],2)-2,7)))/7)+1)</f>
        <v>8</v>
      </c>
      <c r="S190">
        <f>IF(Games[[#This Row],[Team]]="","",COUNTIFS(Games[Team],Games[[#This Row],[Team]],Games[Season],Games[[#This Row],[Season]],Games[Week],"&lt;="&amp;Games[[#This Row],[Week]]))</f>
        <v>7</v>
      </c>
      <c r="T190">
        <f>IF(Games[[#This Row],[Team]]="","",_xlfn.MAXIFS(Games[Week],Games[Team],Games[[#This Row],[Team]],Games[Season],Games[[#This Row],[Season]],Games[Week],"&lt;"&amp;Games[[#This Row],[Week]]))</f>
        <v>6</v>
      </c>
      <c r="U190">
        <f>IF(Games[[#This Row],[Team]]="","",_xlfn.MAXIFS(Games[Week],Games[Team],Games[[#This Row],[Opponent]],Games[Season],Games[[#This Row],[Season]],Games[Week],"&lt;"&amp;Games[[#This Row],[Week]]))</f>
        <v>6</v>
      </c>
      <c r="V19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10</v>
      </c>
      <c r="W19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11</v>
      </c>
      <c r="X19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19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1540.4954824652041</v>
      </c>
      <c r="Z19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1428.2095891841923</v>
      </c>
      <c r="AA19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0.73619718778511956</v>
      </c>
      <c r="AB190">
        <f>IF(Games[[#This Row],[Team]]="","",Games[[#This Row],[PointsFor]]-Games[[#This Row],[PointsAgainst]])</f>
        <v>18</v>
      </c>
      <c r="AC190">
        <f>IF(Games[[#This Row],[Team]]="","",IF(Games[[#This Row],[MOV]]&gt;0,1,IF(Games[[#This Row],[MOV]]=0,0.5,0)))</f>
        <v>1</v>
      </c>
      <c r="AD190">
        <f>IF(Games[[#This Row],[Team]]="","",--(OR(AND(Games[[#This Row],[ExpectedWin]]&gt;=0.5,Games[[#This Row],[Result]]=1),AND(Games[[#This Row],[ExpectedWin]]&lt;0.5,Games[[#This Row],[Result]]=0))))</f>
        <v>1</v>
      </c>
      <c r="AE190">
        <f>IF(Games[[#This Row],[Team]]="","",-(Games[[#This Row],[Result]]*LN(Games[[#This Row],[ExpectedWin]])+(1-Games[[#This Row],[Result]])*LN(1-Games[[#This Row],[ExpectedWin]])))</f>
        <v>0.30625727795062524</v>
      </c>
      <c r="AF190">
        <f>IF(Games[[#This Row],[Team]]="","",IF(Games[[#This Row],[Season]]&gt;=2021,17,16))</f>
        <v>16</v>
      </c>
      <c r="AG190">
        <f>IF(Games[[#This Row],[Team]]="","",KMax-(KMax-KFloor)*MIN(Games[[#This Row],[GamesPlayed]],Games[[#This Row],[SeasonLen]])/Games[[#This Row],[SeasonLen]])</f>
        <v>41.712499999999999</v>
      </c>
      <c r="AH190">
        <f>IF(Games[[#This Row],[Team]]="","",((ABS(Games[[#This Row],[MOV]])+3)^0.8)/(7.5+0.006*ABS(Games[[#This Row],[PreGmRate]]-Games[[#This Row],[OppPreGmRate]]))*IF(Games[[#This Row],[OT]]=1,0.7,1))</f>
        <v>1.3975132235465035</v>
      </c>
      <c r="AI19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0">
        <f>IF(Games[[#This Row],[Team]]="","",Games[[#This Row],[K]]*IF(Games[[#This Row],[DivG]]=1,DivMult,1)*IF(Games[[#This Row],[ConfG]]=1,ConfMult,1)*Games[[#This Row],[POMult]])</f>
        <v>46.801425000000002</v>
      </c>
      <c r="AK190">
        <f>IF(Games[[#This Row],[Team]]="","",(Games[[#This Row],[Keff]]*Games[[#This Row],[MOVMult]])*(Games[[#This Row],[Result]]-Games[[#This Row],[ExpectedWin]]))</f>
        <v>17.254183936603397</v>
      </c>
      <c r="AL190">
        <f>IF(Games[[#This Row],[Team]]="","",Games[[#This Row],[PreGmRate]]+Games[[#This Row],[RatingChange]])</f>
        <v>1557.7496664018074</v>
      </c>
      <c r="AM190">
        <f>IF(Games[[#This Row],[Team]]="","",IF(Games[[#This Row],[Type]]="R",IF(Games[[#This Row],[Result]]&gt;0.5,1,0),0))</f>
        <v>1</v>
      </c>
      <c r="AN190">
        <f>IF(Games[[#This Row],[Team]]="","",IF(Games[[#This Row],[Type]]="R",IF(Games[[#This Row],[Result]]&lt;0.5,1,0),0))</f>
        <v>0</v>
      </c>
      <c r="AO190">
        <f>IF(Games[[#This Row],[Team]]="","",IF(Games[[#This Row],[Type]]="R",IF(Games[[#This Row],[Result]]=0.5,1,0),0))</f>
        <v>0</v>
      </c>
    </row>
    <row r="191" spans="1:41" x14ac:dyDescent="0.35">
      <c r="A191" s="8">
        <v>35355</v>
      </c>
      <c r="B191">
        <v>1996</v>
      </c>
      <c r="C191" t="s">
        <v>197</v>
      </c>
      <c r="D191" t="s">
        <v>199</v>
      </c>
      <c r="E191" t="s">
        <v>146</v>
      </c>
      <c r="F191" t="s">
        <v>126</v>
      </c>
      <c r="G191" t="s">
        <v>201</v>
      </c>
      <c r="H191">
        <v>16</v>
      </c>
      <c r="I191">
        <v>34</v>
      </c>
      <c r="J191">
        <v>0</v>
      </c>
      <c r="K19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9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9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9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91">
        <f>IF(Games[[#This Row],[Team]]="","",IF(Games[[#This Row],[Conf]]=Games[[#This Row],[OppConf]],1,0))</f>
        <v>1</v>
      </c>
      <c r="P191">
        <f>IF(Games[[#This Row],[Team]]="","",IF(AND(Games[[#This Row],[Conf]]=Games[[#This Row],[OppConf]],Games[[#This Row],[Div]]=Games[[#This Row],[OppDiv]]),1,0))</f>
        <v>1</v>
      </c>
      <c r="Q191">
        <f>IF(Games[[#This Row],[Team]]="","",_xlfn.MINIFS(Games[Date],Games[Season],Games[[#This Row],[Season]]))</f>
        <v>35309</v>
      </c>
      <c r="R191">
        <f>IF(Games[[#This Row],[Team]]="","",INT((Games[[#This Row],[Date]]-(Games[[#This Row],[SeasonStart]]-MOD(WEEKDAY(Games[[#This Row],[SeasonStart]],2)-2,7)))/7)+1)</f>
        <v>8</v>
      </c>
      <c r="S191">
        <f>IF(Games[[#This Row],[Team]]="","",COUNTIFS(Games[Team],Games[[#This Row],[Team]],Games[Season],Games[[#This Row],[Season]],Games[Week],"&lt;="&amp;Games[[#This Row],[Week]]))</f>
        <v>7</v>
      </c>
      <c r="T191">
        <f>IF(Games[[#This Row],[Team]]="","",_xlfn.MAXIFS(Games[Week],Games[Team],Games[[#This Row],[Team]],Games[Season],Games[[#This Row],[Season]],Games[Week],"&lt;"&amp;Games[[#This Row],[Week]]))</f>
        <v>6</v>
      </c>
      <c r="U191">
        <f>IF(Games[[#This Row],[Team]]="","",_xlfn.MAXIFS(Games[Week],Games[Team],Games[[#This Row],[Opponent]],Games[Season],Games[[#This Row],[Season]],Games[Week],"&lt;"&amp;Games[[#This Row],[Week]]))</f>
        <v>6</v>
      </c>
      <c r="V19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11</v>
      </c>
      <c r="W19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10</v>
      </c>
      <c r="X19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19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1428.2095891841923</v>
      </c>
      <c r="Z19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1540.4954824652041</v>
      </c>
      <c r="AA19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0.26380281221488033</v>
      </c>
      <c r="AB191">
        <f>IF(Games[[#This Row],[Team]]="","",Games[[#This Row],[PointsFor]]-Games[[#This Row],[PointsAgainst]])</f>
        <v>-18</v>
      </c>
      <c r="AC191">
        <f>IF(Games[[#This Row],[Team]]="","",IF(Games[[#This Row],[MOV]]&gt;0,1,IF(Games[[#This Row],[MOV]]=0,0.5,0)))</f>
        <v>0</v>
      </c>
      <c r="AD191">
        <f>IF(Games[[#This Row],[Team]]="","",--(OR(AND(Games[[#This Row],[ExpectedWin]]&gt;=0.5,Games[[#This Row],[Result]]=1),AND(Games[[#This Row],[ExpectedWin]]&lt;0.5,Games[[#This Row],[Result]]=0))))</f>
        <v>1</v>
      </c>
      <c r="AE191">
        <f>IF(Games[[#This Row],[Team]]="","",-(Games[[#This Row],[Result]]*LN(Games[[#This Row],[ExpectedWin]])+(1-Games[[#This Row],[Result]])*LN(1-Games[[#This Row],[ExpectedWin]])))</f>
        <v>0.30625727795062507</v>
      </c>
      <c r="AF191">
        <f>IF(Games[[#This Row],[Team]]="","",IF(Games[[#This Row],[Season]]&gt;=2021,17,16))</f>
        <v>16</v>
      </c>
      <c r="AG191">
        <f>IF(Games[[#This Row],[Team]]="","",KMax-(KMax-KFloor)*MIN(Games[[#This Row],[GamesPlayed]],Games[[#This Row],[SeasonLen]])/Games[[#This Row],[SeasonLen]])</f>
        <v>41.712499999999999</v>
      </c>
      <c r="AH191">
        <f>IF(Games[[#This Row],[Team]]="","",((ABS(Games[[#This Row],[MOV]])+3)^0.8)/(7.5+0.006*ABS(Games[[#This Row],[PreGmRate]]-Games[[#This Row],[OppPreGmRate]]))*IF(Games[[#This Row],[OT]]=1,0.7,1))</f>
        <v>1.3975132235465035</v>
      </c>
      <c r="AI19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1">
        <f>IF(Games[[#This Row],[Team]]="","",Games[[#This Row],[K]]*IF(Games[[#This Row],[DivG]]=1,DivMult,1)*IF(Games[[#This Row],[ConfG]]=1,ConfMult,1)*Games[[#This Row],[POMult]])</f>
        <v>46.801425000000002</v>
      </c>
      <c r="AK191">
        <f>IF(Games[[#This Row],[Team]]="","",(Games[[#This Row],[Keff]]*Games[[#This Row],[MOVMult]])*(Games[[#This Row],[Result]]-Games[[#This Row],[ExpectedWin]]))</f>
        <v>-17.25418393660339</v>
      </c>
      <c r="AL191">
        <f>IF(Games[[#This Row],[Team]]="","",Games[[#This Row],[PreGmRate]]+Games[[#This Row],[RatingChange]])</f>
        <v>1410.9554052475889</v>
      </c>
      <c r="AM191">
        <f>IF(Games[[#This Row],[Team]]="","",IF(Games[[#This Row],[Type]]="R",IF(Games[[#This Row],[Result]]&gt;0.5,1,0),0))</f>
        <v>0</v>
      </c>
      <c r="AN191">
        <f>IF(Games[[#This Row],[Team]]="","",IF(Games[[#This Row],[Type]]="R",IF(Games[[#This Row],[Result]]&lt;0.5,1,0),0))</f>
        <v>1</v>
      </c>
      <c r="AO191">
        <f>IF(Games[[#This Row],[Team]]="","",IF(Games[[#This Row],[Type]]="R",IF(Games[[#This Row],[Result]]=0.5,1,0),0))</f>
        <v>0</v>
      </c>
    </row>
    <row r="192" spans="1:41" x14ac:dyDescent="0.35">
      <c r="A192" s="8">
        <v>35358</v>
      </c>
      <c r="B192">
        <v>1996</v>
      </c>
      <c r="C192" t="s">
        <v>197</v>
      </c>
      <c r="D192" t="s">
        <v>199</v>
      </c>
      <c r="E192" t="s">
        <v>114</v>
      </c>
      <c r="F192" t="s">
        <v>98</v>
      </c>
      <c r="G192" t="s">
        <v>200</v>
      </c>
      <c r="H192">
        <v>32</v>
      </c>
      <c r="I192">
        <v>28</v>
      </c>
      <c r="J192">
        <v>0</v>
      </c>
      <c r="K19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9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9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9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92">
        <f>IF(Games[[#This Row],[Team]]="","",IF(Games[[#This Row],[Conf]]=Games[[#This Row],[OppConf]],1,0))</f>
        <v>1</v>
      </c>
      <c r="P192">
        <f>IF(Games[[#This Row],[Team]]="","",IF(AND(Games[[#This Row],[Conf]]=Games[[#This Row],[OppConf]],Games[[#This Row],[Div]]=Games[[#This Row],[OppDiv]]),1,0))</f>
        <v>0</v>
      </c>
      <c r="Q192">
        <f>IF(Games[[#This Row],[Team]]="","",_xlfn.MINIFS(Games[Date],Games[Season],Games[[#This Row],[Season]]))</f>
        <v>35309</v>
      </c>
      <c r="R192">
        <f>IF(Games[[#This Row],[Team]]="","",INT((Games[[#This Row],[Date]]-(Games[[#This Row],[SeasonStart]]-MOD(WEEKDAY(Games[[#This Row],[SeasonStart]],2)-2,7)))/7)+1)</f>
        <v>8</v>
      </c>
      <c r="S192">
        <f>IF(Games[[#This Row],[Team]]="","",COUNTIFS(Games[Team],Games[[#This Row],[Team]],Games[Season],Games[[#This Row],[Season]],Games[Week],"&lt;="&amp;Games[[#This Row],[Week]]))</f>
        <v>7</v>
      </c>
      <c r="T192">
        <f>IF(Games[[#This Row],[Team]]="","",_xlfn.MAXIFS(Games[Week],Games[Team],Games[[#This Row],[Team]],Games[Season],Games[[#This Row],[Season]],Games[Week],"&lt;"&amp;Games[[#This Row],[Week]]))</f>
        <v>7</v>
      </c>
      <c r="U192">
        <f>IF(Games[[#This Row],[Team]]="","",_xlfn.MAXIFS(Games[Week],Games[Team],Games[[#This Row],[Opponent]],Games[Season],Games[[#This Row],[Season]],Games[Week],"&lt;"&amp;Games[[#This Row],[Week]]))</f>
        <v>7</v>
      </c>
      <c r="V19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9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9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9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1534.4096034945353</v>
      </c>
      <c r="Z19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1373.6254574736865</v>
      </c>
      <c r="AA19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0.79249212224494281</v>
      </c>
      <c r="AB192">
        <f>IF(Games[[#This Row],[Team]]="","",Games[[#This Row],[PointsFor]]-Games[[#This Row],[PointsAgainst]])</f>
        <v>4</v>
      </c>
      <c r="AC192">
        <f>IF(Games[[#This Row],[Team]]="","",IF(Games[[#This Row],[MOV]]&gt;0,1,IF(Games[[#This Row],[MOV]]=0,0.5,0)))</f>
        <v>1</v>
      </c>
      <c r="AD192">
        <f>IF(Games[[#This Row],[Team]]="","",--(OR(AND(Games[[#This Row],[ExpectedWin]]&gt;=0.5,Games[[#This Row],[Result]]=1),AND(Games[[#This Row],[ExpectedWin]]&lt;0.5,Games[[#This Row],[Result]]=0))))</f>
        <v>1</v>
      </c>
      <c r="AE192">
        <f>IF(Games[[#This Row],[Team]]="","",-(Games[[#This Row],[Result]]*LN(Games[[#This Row],[ExpectedWin]])+(1-Games[[#This Row],[Result]])*LN(1-Games[[#This Row],[ExpectedWin]])))</f>
        <v>0.23257271366503754</v>
      </c>
      <c r="AF192">
        <f>IF(Games[[#This Row],[Team]]="","",IF(Games[[#This Row],[Season]]&gt;=2021,17,16))</f>
        <v>16</v>
      </c>
      <c r="AG192">
        <f>IF(Games[[#This Row],[Team]]="","",KMax-(KMax-KFloor)*MIN(Games[[#This Row],[GamesPlayed]],Games[[#This Row],[SeasonLen]])/Games[[#This Row],[SeasonLen]])</f>
        <v>41.712499999999999</v>
      </c>
      <c r="AH192">
        <f>IF(Games[[#This Row],[Team]]="","",((ABS(Games[[#This Row],[MOV]])+3)^0.8)/(7.5+0.006*ABS(Games[[#This Row],[PreGmRate]]-Games[[#This Row],[OppPreGmRate]]))*IF(Games[[#This Row],[OT]]=1,0.7,1))</f>
        <v>0.56035933481649125</v>
      </c>
      <c r="AI19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2">
        <f>IF(Games[[#This Row],[Team]]="","",Games[[#This Row],[K]]*IF(Games[[#This Row],[DivG]]=1,DivMult,1)*IF(Games[[#This Row],[ConfG]]=1,ConfMult,1)*Games[[#This Row],[POMult]])</f>
        <v>42.546749999999996</v>
      </c>
      <c r="AK192">
        <f>IF(Games[[#This Row],[Team]]="","",(Games[[#This Row],[Keff]]*Games[[#This Row],[MOVMult]])*(Games[[#This Row],[Result]]-Games[[#This Row],[ExpectedWin]]))</f>
        <v>4.9472925369345075</v>
      </c>
      <c r="AL192">
        <f>IF(Games[[#This Row],[Team]]="","",Games[[#This Row],[PreGmRate]]+Games[[#This Row],[RatingChange]])</f>
        <v>1539.3568960314699</v>
      </c>
      <c r="AM192">
        <f>IF(Games[[#This Row],[Team]]="","",IF(Games[[#This Row],[Type]]="R",IF(Games[[#This Row],[Result]]&gt;0.5,1,0),0))</f>
        <v>1</v>
      </c>
      <c r="AN192">
        <f>IF(Games[[#This Row],[Team]]="","",IF(Games[[#This Row],[Type]]="R",IF(Games[[#This Row],[Result]]&lt;0.5,1,0),0))</f>
        <v>0</v>
      </c>
      <c r="AO192">
        <f>IF(Games[[#This Row],[Team]]="","",IF(Games[[#This Row],[Type]]="R",IF(Games[[#This Row],[Result]]=0.5,1,0),0))</f>
        <v>0</v>
      </c>
    </row>
    <row r="193" spans="1:41" x14ac:dyDescent="0.35">
      <c r="A193" s="8">
        <v>35358</v>
      </c>
      <c r="B193">
        <v>1996</v>
      </c>
      <c r="C193" t="s">
        <v>197</v>
      </c>
      <c r="D193" t="s">
        <v>199</v>
      </c>
      <c r="E193" t="s">
        <v>98</v>
      </c>
      <c r="F193" t="s">
        <v>114</v>
      </c>
      <c r="G193" t="s">
        <v>201</v>
      </c>
      <c r="H193">
        <v>28</v>
      </c>
      <c r="I193">
        <v>32</v>
      </c>
      <c r="J193">
        <v>0</v>
      </c>
      <c r="K19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9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9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9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93">
        <f>IF(Games[[#This Row],[Team]]="","",IF(Games[[#This Row],[Conf]]=Games[[#This Row],[OppConf]],1,0))</f>
        <v>1</v>
      </c>
      <c r="P193">
        <f>IF(Games[[#This Row],[Team]]="","",IF(AND(Games[[#This Row],[Conf]]=Games[[#This Row],[OppConf]],Games[[#This Row],[Div]]=Games[[#This Row],[OppDiv]]),1,0))</f>
        <v>0</v>
      </c>
      <c r="Q193">
        <f>IF(Games[[#This Row],[Team]]="","",_xlfn.MINIFS(Games[Date],Games[Season],Games[[#This Row],[Season]]))</f>
        <v>35309</v>
      </c>
      <c r="R193">
        <f>IF(Games[[#This Row],[Team]]="","",INT((Games[[#This Row],[Date]]-(Games[[#This Row],[SeasonStart]]-MOD(WEEKDAY(Games[[#This Row],[SeasonStart]],2)-2,7)))/7)+1)</f>
        <v>8</v>
      </c>
      <c r="S193">
        <f>IF(Games[[#This Row],[Team]]="","",COUNTIFS(Games[Team],Games[[#This Row],[Team]],Games[Season],Games[[#This Row],[Season]],Games[Week],"&lt;="&amp;Games[[#This Row],[Week]]))</f>
        <v>7</v>
      </c>
      <c r="T193">
        <f>IF(Games[[#This Row],[Team]]="","",_xlfn.MAXIFS(Games[Week],Games[Team],Games[[#This Row],[Team]],Games[Season],Games[[#This Row],[Season]],Games[Week],"&lt;"&amp;Games[[#This Row],[Week]]))</f>
        <v>7</v>
      </c>
      <c r="U193">
        <f>IF(Games[[#This Row],[Team]]="","",_xlfn.MAXIFS(Games[Week],Games[Team],Games[[#This Row],[Opponent]],Games[Season],Games[[#This Row],[Season]],Games[Week],"&lt;"&amp;Games[[#This Row],[Week]]))</f>
        <v>7</v>
      </c>
      <c r="V19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9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9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9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1373.6254574736865</v>
      </c>
      <c r="Z19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1534.4096034945353</v>
      </c>
      <c r="AA19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0.20750787775505725</v>
      </c>
      <c r="AB193">
        <f>IF(Games[[#This Row],[Team]]="","",Games[[#This Row],[PointsFor]]-Games[[#This Row],[PointsAgainst]])</f>
        <v>-4</v>
      </c>
      <c r="AC193">
        <f>IF(Games[[#This Row],[Team]]="","",IF(Games[[#This Row],[MOV]]&gt;0,1,IF(Games[[#This Row],[MOV]]=0,0.5,0)))</f>
        <v>0</v>
      </c>
      <c r="AD193">
        <f>IF(Games[[#This Row],[Team]]="","",--(OR(AND(Games[[#This Row],[ExpectedWin]]&gt;=0.5,Games[[#This Row],[Result]]=1),AND(Games[[#This Row],[ExpectedWin]]&lt;0.5,Games[[#This Row],[Result]]=0))))</f>
        <v>1</v>
      </c>
      <c r="AE193">
        <f>IF(Games[[#This Row],[Team]]="","",-(Games[[#This Row],[Result]]*LN(Games[[#This Row],[ExpectedWin]])+(1-Games[[#This Row],[Result]])*LN(1-Games[[#This Row],[ExpectedWin]])))</f>
        <v>0.23257271366503754</v>
      </c>
      <c r="AF193">
        <f>IF(Games[[#This Row],[Team]]="","",IF(Games[[#This Row],[Season]]&gt;=2021,17,16))</f>
        <v>16</v>
      </c>
      <c r="AG193">
        <f>IF(Games[[#This Row],[Team]]="","",KMax-(KMax-KFloor)*MIN(Games[[#This Row],[GamesPlayed]],Games[[#This Row],[SeasonLen]])/Games[[#This Row],[SeasonLen]])</f>
        <v>41.712499999999999</v>
      </c>
      <c r="AH193">
        <f>IF(Games[[#This Row],[Team]]="","",((ABS(Games[[#This Row],[MOV]])+3)^0.8)/(7.5+0.006*ABS(Games[[#This Row],[PreGmRate]]-Games[[#This Row],[OppPreGmRate]]))*IF(Games[[#This Row],[OT]]=1,0.7,1))</f>
        <v>0.56035933481649125</v>
      </c>
      <c r="AI19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3">
        <f>IF(Games[[#This Row],[Team]]="","",Games[[#This Row],[K]]*IF(Games[[#This Row],[DivG]]=1,DivMult,1)*IF(Games[[#This Row],[ConfG]]=1,ConfMult,1)*Games[[#This Row],[POMult]])</f>
        <v>42.546749999999996</v>
      </c>
      <c r="AK193">
        <f>IF(Games[[#This Row],[Team]]="","",(Games[[#This Row],[Keff]]*Games[[#This Row],[MOVMult]])*(Games[[#This Row],[Result]]-Games[[#This Row],[ExpectedWin]]))</f>
        <v>-4.9472925369345093</v>
      </c>
      <c r="AL193">
        <f>IF(Games[[#This Row],[Team]]="","",Games[[#This Row],[PreGmRate]]+Games[[#This Row],[RatingChange]])</f>
        <v>1368.678164936752</v>
      </c>
      <c r="AM193">
        <f>IF(Games[[#This Row],[Team]]="","",IF(Games[[#This Row],[Type]]="R",IF(Games[[#This Row],[Result]]&gt;0.5,1,0),0))</f>
        <v>0</v>
      </c>
      <c r="AN193">
        <f>IF(Games[[#This Row],[Team]]="","",IF(Games[[#This Row],[Type]]="R",IF(Games[[#This Row],[Result]]&lt;0.5,1,0),0))</f>
        <v>1</v>
      </c>
      <c r="AO193">
        <f>IF(Games[[#This Row],[Team]]="","",IF(Games[[#This Row],[Type]]="R",IF(Games[[#This Row],[Result]]=0.5,1,0),0))</f>
        <v>0</v>
      </c>
    </row>
    <row r="194" spans="1:41" x14ac:dyDescent="0.35">
      <c r="A194" s="8">
        <v>35358</v>
      </c>
      <c r="B194">
        <v>1996</v>
      </c>
      <c r="C194" t="s">
        <v>197</v>
      </c>
      <c r="D194" t="s">
        <v>199</v>
      </c>
      <c r="E194" t="s">
        <v>108</v>
      </c>
      <c r="F194" t="s">
        <v>134</v>
      </c>
      <c r="G194" t="s">
        <v>200</v>
      </c>
      <c r="H194">
        <v>19</v>
      </c>
      <c r="I194">
        <v>7</v>
      </c>
      <c r="J194">
        <v>0</v>
      </c>
      <c r="K19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9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9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9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94">
        <f>IF(Games[[#This Row],[Team]]="","",IF(Games[[#This Row],[Conf]]=Games[[#This Row],[OppConf]],1,0))</f>
        <v>1</v>
      </c>
      <c r="P194">
        <f>IF(Games[[#This Row],[Team]]="","",IF(AND(Games[[#This Row],[Conf]]=Games[[#This Row],[OppConf]],Games[[#This Row],[Div]]=Games[[#This Row],[OppDiv]]),1,0))</f>
        <v>1</v>
      </c>
      <c r="Q194">
        <f>IF(Games[[#This Row],[Team]]="","",_xlfn.MINIFS(Games[Date],Games[Season],Games[[#This Row],[Season]]))</f>
        <v>35309</v>
      </c>
      <c r="R194">
        <f>IF(Games[[#This Row],[Team]]="","",INT((Games[[#This Row],[Date]]-(Games[[#This Row],[SeasonStart]]-MOD(WEEKDAY(Games[[#This Row],[SeasonStart]],2)-2,7)))/7)+1)</f>
        <v>8</v>
      </c>
      <c r="S194">
        <f>IF(Games[[#This Row],[Team]]="","",COUNTIFS(Games[Team],Games[[#This Row],[Team]],Games[Season],Games[[#This Row],[Season]],Games[Week],"&lt;="&amp;Games[[#This Row],[Week]]))</f>
        <v>7</v>
      </c>
      <c r="T194">
        <f>IF(Games[[#This Row],[Team]]="","",_xlfn.MAXIFS(Games[Week],Games[Team],Games[[#This Row],[Team]],Games[Season],Games[[#This Row],[Season]],Games[Week],"&lt;"&amp;Games[[#This Row],[Week]]))</f>
        <v>7</v>
      </c>
      <c r="U194">
        <f>IF(Games[[#This Row],[Team]]="","",_xlfn.MAXIFS(Games[Week],Games[Team],Games[[#This Row],[Opponent]],Games[Season],Games[[#This Row],[Season]],Games[Week],"&lt;"&amp;Games[[#This Row],[Week]]))</f>
        <v>7</v>
      </c>
      <c r="V19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9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9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9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1570.3565571176464</v>
      </c>
      <c r="Z19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1413.9472588783385</v>
      </c>
      <c r="AA19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0.78832020268859615</v>
      </c>
      <c r="AB194">
        <f>IF(Games[[#This Row],[Team]]="","",Games[[#This Row],[PointsFor]]-Games[[#This Row],[PointsAgainst]])</f>
        <v>12</v>
      </c>
      <c r="AC194">
        <f>IF(Games[[#This Row],[Team]]="","",IF(Games[[#This Row],[MOV]]&gt;0,1,IF(Games[[#This Row],[MOV]]=0,0.5,0)))</f>
        <v>1</v>
      </c>
      <c r="AD194">
        <f>IF(Games[[#This Row],[Team]]="","",--(OR(AND(Games[[#This Row],[ExpectedWin]]&gt;=0.5,Games[[#This Row],[Result]]=1),AND(Games[[#This Row],[ExpectedWin]]&lt;0.5,Games[[#This Row],[Result]]=0))))</f>
        <v>1</v>
      </c>
      <c r="AE194">
        <f>IF(Games[[#This Row],[Team]]="","",-(Games[[#This Row],[Result]]*LN(Games[[#This Row],[ExpectedWin]])+(1-Games[[#This Row],[Result]])*LN(1-Games[[#This Row],[ExpectedWin]])))</f>
        <v>0.23785092307189853</v>
      </c>
      <c r="AF194">
        <f>IF(Games[[#This Row],[Team]]="","",IF(Games[[#This Row],[Season]]&gt;=2021,17,16))</f>
        <v>16</v>
      </c>
      <c r="AG194">
        <f>IF(Games[[#This Row],[Team]]="","",KMax-(KMax-KFloor)*MIN(Games[[#This Row],[GamesPlayed]],Games[[#This Row],[SeasonLen]])/Games[[#This Row],[SeasonLen]])</f>
        <v>41.712499999999999</v>
      </c>
      <c r="AH194">
        <f>IF(Games[[#This Row],[Team]]="","",((ABS(Games[[#This Row],[MOV]])+3)^0.8)/(7.5+0.006*ABS(Games[[#This Row],[PreGmRate]]-Games[[#This Row],[OppPreGmRate]]))*IF(Games[[#This Row],[OT]]=1,0.7,1))</f>
        <v>1.0342130841303816</v>
      </c>
      <c r="AI19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4">
        <f>IF(Games[[#This Row],[Team]]="","",Games[[#This Row],[K]]*IF(Games[[#This Row],[DivG]]=1,DivMult,1)*IF(Games[[#This Row],[ConfG]]=1,ConfMult,1)*Games[[#This Row],[POMult]])</f>
        <v>46.801425000000002</v>
      </c>
      <c r="AK194">
        <f>IF(Games[[#This Row],[Team]]="","",(Games[[#This Row],[Keff]]*Games[[#This Row],[MOVMult]])*(Games[[#This Row],[Result]]-Games[[#This Row],[ExpectedWin]]))</f>
        <v>10.245862313867221</v>
      </c>
      <c r="AL194">
        <f>IF(Games[[#This Row],[Team]]="","",Games[[#This Row],[PreGmRate]]+Games[[#This Row],[RatingChange]])</f>
        <v>1580.6024194315137</v>
      </c>
      <c r="AM194">
        <f>IF(Games[[#This Row],[Team]]="","",IF(Games[[#This Row],[Type]]="R",IF(Games[[#This Row],[Result]]&gt;0.5,1,0),0))</f>
        <v>1</v>
      </c>
      <c r="AN194">
        <f>IF(Games[[#This Row],[Team]]="","",IF(Games[[#This Row],[Type]]="R",IF(Games[[#This Row],[Result]]&lt;0.5,1,0),0))</f>
        <v>0</v>
      </c>
      <c r="AO194">
        <f>IF(Games[[#This Row],[Team]]="","",IF(Games[[#This Row],[Type]]="R",IF(Games[[#This Row],[Result]]=0.5,1,0),0))</f>
        <v>0</v>
      </c>
    </row>
    <row r="195" spans="1:41" x14ac:dyDescent="0.35">
      <c r="A195" s="8">
        <v>35358</v>
      </c>
      <c r="B195">
        <v>1996</v>
      </c>
      <c r="C195" t="s">
        <v>197</v>
      </c>
      <c r="D195" t="s">
        <v>199</v>
      </c>
      <c r="E195" t="s">
        <v>134</v>
      </c>
      <c r="F195" t="s">
        <v>108</v>
      </c>
      <c r="G195" t="s">
        <v>201</v>
      </c>
      <c r="H195">
        <v>7</v>
      </c>
      <c r="I195">
        <v>19</v>
      </c>
      <c r="J195">
        <v>0</v>
      </c>
      <c r="K19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9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9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9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95">
        <f>IF(Games[[#This Row],[Team]]="","",IF(Games[[#This Row],[Conf]]=Games[[#This Row],[OppConf]],1,0))</f>
        <v>1</v>
      </c>
      <c r="P195">
        <f>IF(Games[[#This Row],[Team]]="","",IF(AND(Games[[#This Row],[Conf]]=Games[[#This Row],[OppConf]],Games[[#This Row],[Div]]=Games[[#This Row],[OppDiv]]),1,0))</f>
        <v>1</v>
      </c>
      <c r="Q195">
        <f>IF(Games[[#This Row],[Team]]="","",_xlfn.MINIFS(Games[Date],Games[Season],Games[[#This Row],[Season]]))</f>
        <v>35309</v>
      </c>
      <c r="R195">
        <f>IF(Games[[#This Row],[Team]]="","",INT((Games[[#This Row],[Date]]-(Games[[#This Row],[SeasonStart]]-MOD(WEEKDAY(Games[[#This Row],[SeasonStart]],2)-2,7)))/7)+1)</f>
        <v>8</v>
      </c>
      <c r="S195">
        <f>IF(Games[[#This Row],[Team]]="","",COUNTIFS(Games[Team],Games[[#This Row],[Team]],Games[Season],Games[[#This Row],[Season]],Games[Week],"&lt;="&amp;Games[[#This Row],[Week]]))</f>
        <v>8</v>
      </c>
      <c r="T195">
        <f>IF(Games[[#This Row],[Team]]="","",_xlfn.MAXIFS(Games[Week],Games[Team],Games[[#This Row],[Team]],Games[Season],Games[[#This Row],[Season]],Games[Week],"&lt;"&amp;Games[[#This Row],[Week]]))</f>
        <v>7</v>
      </c>
      <c r="U195">
        <f>IF(Games[[#This Row],[Team]]="","",_xlfn.MAXIFS(Games[Week],Games[Team],Games[[#This Row],[Opponent]],Games[Season],Games[[#This Row],[Season]],Games[Week],"&lt;"&amp;Games[[#This Row],[Week]]))</f>
        <v>7</v>
      </c>
      <c r="V19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9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9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9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1413.9472588783385</v>
      </c>
      <c r="Z19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1570.3565571176464</v>
      </c>
      <c r="AA19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0.21167979731140385</v>
      </c>
      <c r="AB195">
        <f>IF(Games[[#This Row],[Team]]="","",Games[[#This Row],[PointsFor]]-Games[[#This Row],[PointsAgainst]])</f>
        <v>-12</v>
      </c>
      <c r="AC195">
        <f>IF(Games[[#This Row],[Team]]="","",IF(Games[[#This Row],[MOV]]&gt;0,1,IF(Games[[#This Row],[MOV]]=0,0.5,0)))</f>
        <v>0</v>
      </c>
      <c r="AD195">
        <f>IF(Games[[#This Row],[Team]]="","",--(OR(AND(Games[[#This Row],[ExpectedWin]]&gt;=0.5,Games[[#This Row],[Result]]=1),AND(Games[[#This Row],[ExpectedWin]]&lt;0.5,Games[[#This Row],[Result]]=0))))</f>
        <v>1</v>
      </c>
      <c r="AE195">
        <f>IF(Games[[#This Row],[Team]]="","",-(Games[[#This Row],[Result]]*LN(Games[[#This Row],[ExpectedWin]])+(1-Games[[#This Row],[Result]])*LN(1-Games[[#This Row],[ExpectedWin]])))</f>
        <v>0.23785092307189853</v>
      </c>
      <c r="AF195">
        <f>IF(Games[[#This Row],[Team]]="","",IF(Games[[#This Row],[Season]]&gt;=2021,17,16))</f>
        <v>16</v>
      </c>
      <c r="AG195">
        <f>IF(Games[[#This Row],[Team]]="","",KMax-(KMax-KFloor)*MIN(Games[[#This Row],[GamesPlayed]],Games[[#This Row],[SeasonLen]])/Games[[#This Row],[SeasonLen]])</f>
        <v>41.1</v>
      </c>
      <c r="AH195">
        <f>IF(Games[[#This Row],[Team]]="","",((ABS(Games[[#This Row],[MOV]])+3)^0.8)/(7.5+0.006*ABS(Games[[#This Row],[PreGmRate]]-Games[[#This Row],[OppPreGmRate]]))*IF(Games[[#This Row],[OT]]=1,0.7,1))</f>
        <v>1.0342130841303816</v>
      </c>
      <c r="AI19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5">
        <f>IF(Games[[#This Row],[Team]]="","",Games[[#This Row],[K]]*IF(Games[[#This Row],[DivG]]=1,DivMult,1)*IF(Games[[#This Row],[ConfG]]=1,ConfMult,1)*Games[[#This Row],[POMult]])</f>
        <v>46.114200000000011</v>
      </c>
      <c r="AK195">
        <f>IF(Games[[#This Row],[Team]]="","",(Games[[#This Row],[Keff]]*Games[[#This Row],[MOVMult]])*(Games[[#This Row],[Result]]-Games[[#This Row],[ExpectedWin]]))</f>
        <v>-10.095413631404085</v>
      </c>
      <c r="AL195">
        <f>IF(Games[[#This Row],[Team]]="","",Games[[#This Row],[PreGmRate]]+Games[[#This Row],[RatingChange]])</f>
        <v>1403.8518452469343</v>
      </c>
      <c r="AM195">
        <f>IF(Games[[#This Row],[Team]]="","",IF(Games[[#This Row],[Type]]="R",IF(Games[[#This Row],[Result]]&gt;0.5,1,0),0))</f>
        <v>0</v>
      </c>
      <c r="AN195">
        <f>IF(Games[[#This Row],[Team]]="","",IF(Games[[#This Row],[Type]]="R",IF(Games[[#This Row],[Result]]&lt;0.5,1,0),0))</f>
        <v>1</v>
      </c>
      <c r="AO195">
        <f>IF(Games[[#This Row],[Team]]="","",IF(Games[[#This Row],[Type]]="R",IF(Games[[#This Row],[Result]]=0.5,1,0),0))</f>
        <v>0</v>
      </c>
    </row>
    <row r="196" spans="1:41" x14ac:dyDescent="0.35">
      <c r="A196" s="8">
        <v>35358</v>
      </c>
      <c r="B196">
        <v>1996</v>
      </c>
      <c r="C196" t="s">
        <v>197</v>
      </c>
      <c r="D196" t="s">
        <v>199</v>
      </c>
      <c r="E196" t="s">
        <v>132</v>
      </c>
      <c r="F196" t="s">
        <v>122</v>
      </c>
      <c r="G196" t="s">
        <v>201</v>
      </c>
      <c r="H196">
        <v>27</v>
      </c>
      <c r="I196">
        <v>9</v>
      </c>
      <c r="J196">
        <v>0</v>
      </c>
      <c r="K19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9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9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9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96">
        <f>IF(Games[[#This Row],[Team]]="","",IF(Games[[#This Row],[Conf]]=Games[[#This Row],[OppConf]],1,0))</f>
        <v>1</v>
      </c>
      <c r="P196">
        <f>IF(Games[[#This Row],[Team]]="","",IF(AND(Games[[#This Row],[Conf]]=Games[[#This Row],[OppConf]],Games[[#This Row],[Div]]=Games[[#This Row],[OppDiv]]),1,0))</f>
        <v>1</v>
      </c>
      <c r="Q196">
        <f>IF(Games[[#This Row],[Team]]="","",_xlfn.MINIFS(Games[Date],Games[Season],Games[[#This Row],[Season]]))</f>
        <v>35309</v>
      </c>
      <c r="R196">
        <f>IF(Games[[#This Row],[Team]]="","",INT((Games[[#This Row],[Date]]-(Games[[#This Row],[SeasonStart]]-MOD(WEEKDAY(Games[[#This Row],[SeasonStart]],2)-2,7)))/7)+1)</f>
        <v>8</v>
      </c>
      <c r="S196">
        <f>IF(Games[[#This Row],[Team]]="","",COUNTIFS(Games[Team],Games[[#This Row],[Team]],Games[Season],Games[[#This Row],[Season]],Games[Week],"&lt;="&amp;Games[[#This Row],[Week]]))</f>
        <v>7</v>
      </c>
      <c r="T196">
        <f>IF(Games[[#This Row],[Team]]="","",_xlfn.MAXIFS(Games[Week],Games[Team],Games[[#This Row],[Team]],Games[Season],Games[[#This Row],[Season]],Games[Week],"&lt;"&amp;Games[[#This Row],[Week]]))</f>
        <v>7</v>
      </c>
      <c r="U196">
        <f>IF(Games[[#This Row],[Team]]="","",_xlfn.MAXIFS(Games[Week],Games[Team],Games[[#This Row],[Opponent]],Games[Season],Games[[#This Row],[Season]],Games[Week],"&lt;"&amp;Games[[#This Row],[Week]]))</f>
        <v>7</v>
      </c>
      <c r="V19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9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9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9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1507.5430215130041</v>
      </c>
      <c r="Z19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1569.6088581014972</v>
      </c>
      <c r="AA19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0.31610175038849564</v>
      </c>
      <c r="AB196">
        <f>IF(Games[[#This Row],[Team]]="","",Games[[#This Row],[PointsFor]]-Games[[#This Row],[PointsAgainst]])</f>
        <v>18</v>
      </c>
      <c r="AC196">
        <f>IF(Games[[#This Row],[Team]]="","",IF(Games[[#This Row],[MOV]]&gt;0,1,IF(Games[[#This Row],[MOV]]=0,0.5,0)))</f>
        <v>1</v>
      </c>
      <c r="AD196">
        <f>IF(Games[[#This Row],[Team]]="","",--(OR(AND(Games[[#This Row],[ExpectedWin]]&gt;=0.5,Games[[#This Row],[Result]]=1),AND(Games[[#This Row],[ExpectedWin]]&lt;0.5,Games[[#This Row],[Result]]=0))))</f>
        <v>0</v>
      </c>
      <c r="AE196">
        <f>IF(Games[[#This Row],[Team]]="","",-(Games[[#This Row],[Result]]*LN(Games[[#This Row],[ExpectedWin]])+(1-Games[[#This Row],[Result]])*LN(1-Games[[#This Row],[ExpectedWin]])))</f>
        <v>1.1516911223241546</v>
      </c>
      <c r="AF196">
        <f>IF(Games[[#This Row],[Team]]="","",IF(Games[[#This Row],[Season]]&gt;=2021,17,16))</f>
        <v>16</v>
      </c>
      <c r="AG196">
        <f>IF(Games[[#This Row],[Team]]="","",KMax-(KMax-KFloor)*MIN(Games[[#This Row],[GamesPlayed]],Games[[#This Row],[SeasonLen]])/Games[[#This Row],[SeasonLen]])</f>
        <v>41.712499999999999</v>
      </c>
      <c r="AH196">
        <f>IF(Games[[#This Row],[Team]]="","",((ABS(Games[[#This Row],[MOV]])+3)^0.8)/(7.5+0.006*ABS(Games[[#This Row],[PreGmRate]]-Games[[#This Row],[OppPreGmRate]]))*IF(Games[[#This Row],[OT]]=1,0.7,1))</f>
        <v>1.451003826958245</v>
      </c>
      <c r="AI19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6">
        <f>IF(Games[[#This Row],[Team]]="","",Games[[#This Row],[K]]*IF(Games[[#This Row],[DivG]]=1,DivMult,1)*IF(Games[[#This Row],[ConfG]]=1,ConfMult,1)*Games[[#This Row],[POMult]])</f>
        <v>46.801425000000002</v>
      </c>
      <c r="AK196">
        <f>IF(Games[[#This Row],[Team]]="","",(Games[[#This Row],[Keff]]*Games[[#This Row],[MOVMult]])*(Games[[#This Row],[Result]]-Games[[#This Row],[ExpectedWin]]))</f>
        <v>46.44287822706346</v>
      </c>
      <c r="AL196">
        <f>IF(Games[[#This Row],[Team]]="","",Games[[#This Row],[PreGmRate]]+Games[[#This Row],[RatingChange]])</f>
        <v>1553.9858997400675</v>
      </c>
      <c r="AM196">
        <f>IF(Games[[#This Row],[Team]]="","",IF(Games[[#This Row],[Type]]="R",IF(Games[[#This Row],[Result]]&gt;0.5,1,0),0))</f>
        <v>1</v>
      </c>
      <c r="AN196">
        <f>IF(Games[[#This Row],[Team]]="","",IF(Games[[#This Row],[Type]]="R",IF(Games[[#This Row],[Result]]&lt;0.5,1,0),0))</f>
        <v>0</v>
      </c>
      <c r="AO196">
        <f>IF(Games[[#This Row],[Team]]="","",IF(Games[[#This Row],[Type]]="R",IF(Games[[#This Row],[Result]]=0.5,1,0),0))</f>
        <v>0</v>
      </c>
    </row>
    <row r="197" spans="1:41" x14ac:dyDescent="0.35">
      <c r="A197" s="8">
        <v>35358</v>
      </c>
      <c r="B197">
        <v>1996</v>
      </c>
      <c r="C197" t="s">
        <v>197</v>
      </c>
      <c r="D197" t="s">
        <v>199</v>
      </c>
      <c r="E197" t="s">
        <v>122</v>
      </c>
      <c r="F197" t="s">
        <v>132</v>
      </c>
      <c r="G197" t="s">
        <v>200</v>
      </c>
      <c r="H197">
        <v>9</v>
      </c>
      <c r="I197">
        <v>27</v>
      </c>
      <c r="J197">
        <v>0</v>
      </c>
      <c r="K19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9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9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9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97">
        <f>IF(Games[[#This Row],[Team]]="","",IF(Games[[#This Row],[Conf]]=Games[[#This Row],[OppConf]],1,0))</f>
        <v>1</v>
      </c>
      <c r="P197">
        <f>IF(Games[[#This Row],[Team]]="","",IF(AND(Games[[#This Row],[Conf]]=Games[[#This Row],[OppConf]],Games[[#This Row],[Div]]=Games[[#This Row],[OppDiv]]),1,0))</f>
        <v>1</v>
      </c>
      <c r="Q197">
        <f>IF(Games[[#This Row],[Team]]="","",_xlfn.MINIFS(Games[Date],Games[Season],Games[[#This Row],[Season]]))</f>
        <v>35309</v>
      </c>
      <c r="R197">
        <f>IF(Games[[#This Row],[Team]]="","",INT((Games[[#This Row],[Date]]-(Games[[#This Row],[SeasonStart]]-MOD(WEEKDAY(Games[[#This Row],[SeasonStart]],2)-2,7)))/7)+1)</f>
        <v>8</v>
      </c>
      <c r="S197">
        <f>IF(Games[[#This Row],[Team]]="","",COUNTIFS(Games[Team],Games[[#This Row],[Team]],Games[Season],Games[[#This Row],[Season]],Games[Week],"&lt;="&amp;Games[[#This Row],[Week]]))</f>
        <v>7</v>
      </c>
      <c r="T197">
        <f>IF(Games[[#This Row],[Team]]="","",_xlfn.MAXIFS(Games[Week],Games[Team],Games[[#This Row],[Team]],Games[Season],Games[[#This Row],[Season]],Games[Week],"&lt;"&amp;Games[[#This Row],[Week]]))</f>
        <v>7</v>
      </c>
      <c r="U197">
        <f>IF(Games[[#This Row],[Team]]="","",_xlfn.MAXIFS(Games[Week],Games[Team],Games[[#This Row],[Opponent]],Games[Season],Games[[#This Row],[Season]],Games[Week],"&lt;"&amp;Games[[#This Row],[Week]]))</f>
        <v>7</v>
      </c>
      <c r="V19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9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9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9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1569.6088581014972</v>
      </c>
      <c r="Z19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1507.5430215130041</v>
      </c>
      <c r="AA19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0.68389824961150436</v>
      </c>
      <c r="AB197">
        <f>IF(Games[[#This Row],[Team]]="","",Games[[#This Row],[PointsFor]]-Games[[#This Row],[PointsAgainst]])</f>
        <v>-18</v>
      </c>
      <c r="AC197">
        <f>IF(Games[[#This Row],[Team]]="","",IF(Games[[#This Row],[MOV]]&gt;0,1,IF(Games[[#This Row],[MOV]]=0,0.5,0)))</f>
        <v>0</v>
      </c>
      <c r="AD197">
        <f>IF(Games[[#This Row],[Team]]="","",--(OR(AND(Games[[#This Row],[ExpectedWin]]&gt;=0.5,Games[[#This Row],[Result]]=1),AND(Games[[#This Row],[ExpectedWin]]&lt;0.5,Games[[#This Row],[Result]]=0))))</f>
        <v>0</v>
      </c>
      <c r="AE197">
        <f>IF(Games[[#This Row],[Team]]="","",-(Games[[#This Row],[Result]]*LN(Games[[#This Row],[ExpectedWin]])+(1-Games[[#This Row],[Result]])*LN(1-Games[[#This Row],[ExpectedWin]])))</f>
        <v>1.1516911223241546</v>
      </c>
      <c r="AF197">
        <f>IF(Games[[#This Row],[Team]]="","",IF(Games[[#This Row],[Season]]&gt;=2021,17,16))</f>
        <v>16</v>
      </c>
      <c r="AG197">
        <f>IF(Games[[#This Row],[Team]]="","",KMax-(KMax-KFloor)*MIN(Games[[#This Row],[GamesPlayed]],Games[[#This Row],[SeasonLen]])/Games[[#This Row],[SeasonLen]])</f>
        <v>41.712499999999999</v>
      </c>
      <c r="AH197">
        <f>IF(Games[[#This Row],[Team]]="","",((ABS(Games[[#This Row],[MOV]])+3)^0.8)/(7.5+0.006*ABS(Games[[#This Row],[PreGmRate]]-Games[[#This Row],[OppPreGmRate]]))*IF(Games[[#This Row],[OT]]=1,0.7,1))</f>
        <v>1.451003826958245</v>
      </c>
      <c r="AI19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7">
        <f>IF(Games[[#This Row],[Team]]="","",Games[[#This Row],[K]]*IF(Games[[#This Row],[DivG]]=1,DivMult,1)*IF(Games[[#This Row],[ConfG]]=1,ConfMult,1)*Games[[#This Row],[POMult]])</f>
        <v>46.801425000000002</v>
      </c>
      <c r="AK197">
        <f>IF(Games[[#This Row],[Team]]="","",(Games[[#This Row],[Keff]]*Games[[#This Row],[MOVMult]])*(Games[[#This Row],[Result]]-Games[[#This Row],[ExpectedWin]]))</f>
        <v>-46.44287822706346</v>
      </c>
      <c r="AL197">
        <f>IF(Games[[#This Row],[Team]]="","",Games[[#This Row],[PreGmRate]]+Games[[#This Row],[RatingChange]])</f>
        <v>1523.1659798744338</v>
      </c>
      <c r="AM197">
        <f>IF(Games[[#This Row],[Team]]="","",IF(Games[[#This Row],[Type]]="R",IF(Games[[#This Row],[Result]]&gt;0.5,1,0),0))</f>
        <v>0</v>
      </c>
      <c r="AN197">
        <f>IF(Games[[#This Row],[Team]]="","",IF(Games[[#This Row],[Type]]="R",IF(Games[[#This Row],[Result]]&lt;0.5,1,0),0))</f>
        <v>1</v>
      </c>
      <c r="AO197">
        <f>IF(Games[[#This Row],[Team]]="","",IF(Games[[#This Row],[Type]]="R",IF(Games[[#This Row],[Result]]=0.5,1,0),0))</f>
        <v>0</v>
      </c>
    </row>
    <row r="198" spans="1:41" x14ac:dyDescent="0.35">
      <c r="A198" s="8">
        <v>35358</v>
      </c>
      <c r="B198">
        <v>1996</v>
      </c>
      <c r="C198" t="s">
        <v>197</v>
      </c>
      <c r="D198" t="s">
        <v>199</v>
      </c>
      <c r="E198" t="s">
        <v>141</v>
      </c>
      <c r="F198" t="s">
        <v>128</v>
      </c>
      <c r="G198" t="s">
        <v>200</v>
      </c>
      <c r="H198">
        <v>35</v>
      </c>
      <c r="I198">
        <v>28</v>
      </c>
      <c r="J198">
        <v>0</v>
      </c>
      <c r="K19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9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9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9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98">
        <f>IF(Games[[#This Row],[Team]]="","",IF(Games[[#This Row],[Conf]]=Games[[#This Row],[OppConf]],1,0))</f>
        <v>0</v>
      </c>
      <c r="P198">
        <f>IF(Games[[#This Row],[Team]]="","",IF(AND(Games[[#This Row],[Conf]]=Games[[#This Row],[OppConf]],Games[[#This Row],[Div]]=Games[[#This Row],[OppDiv]]),1,0))</f>
        <v>0</v>
      </c>
      <c r="Q198">
        <f>IF(Games[[#This Row],[Team]]="","",_xlfn.MINIFS(Games[Date],Games[Season],Games[[#This Row],[Season]]))</f>
        <v>35309</v>
      </c>
      <c r="R198">
        <f>IF(Games[[#This Row],[Team]]="","",INT((Games[[#This Row],[Date]]-(Games[[#This Row],[SeasonStart]]-MOD(WEEKDAY(Games[[#This Row],[SeasonStart]],2)-2,7)))/7)+1)</f>
        <v>8</v>
      </c>
      <c r="S198">
        <f>IF(Games[[#This Row],[Team]]="","",COUNTIFS(Games[Team],Games[[#This Row],[Team]],Games[Season],Games[[#This Row],[Season]],Games[Week],"&lt;="&amp;Games[[#This Row],[Week]]))</f>
        <v>7</v>
      </c>
      <c r="T198">
        <f>IF(Games[[#This Row],[Team]]="","",_xlfn.MAXIFS(Games[Week],Games[Team],Games[[#This Row],[Team]],Games[Season],Games[[#This Row],[Season]],Games[Week],"&lt;"&amp;Games[[#This Row],[Week]]))</f>
        <v>7</v>
      </c>
      <c r="U198">
        <f>IF(Games[[#This Row],[Team]]="","",_xlfn.MAXIFS(Games[Week],Games[Team],Games[[#This Row],[Opponent]],Games[Season],Games[[#This Row],[Season]],Games[Week],"&lt;"&amp;Games[[#This Row],[Week]]))</f>
        <v>7</v>
      </c>
      <c r="V19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9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9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9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1539.1114777605362</v>
      </c>
      <c r="Z19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1578.3734958423101</v>
      </c>
      <c r="AA19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0.54697479852141406</v>
      </c>
      <c r="AB198">
        <f>IF(Games[[#This Row],[Team]]="","",Games[[#This Row],[PointsFor]]-Games[[#This Row],[PointsAgainst]])</f>
        <v>7</v>
      </c>
      <c r="AC198">
        <f>IF(Games[[#This Row],[Team]]="","",IF(Games[[#This Row],[MOV]]&gt;0,1,IF(Games[[#This Row],[MOV]]=0,0.5,0)))</f>
        <v>1</v>
      </c>
      <c r="AD198">
        <f>IF(Games[[#This Row],[Team]]="","",--(OR(AND(Games[[#This Row],[ExpectedWin]]&gt;=0.5,Games[[#This Row],[Result]]=1),AND(Games[[#This Row],[ExpectedWin]]&lt;0.5,Games[[#This Row],[Result]]=0))))</f>
        <v>1</v>
      </c>
      <c r="AE198">
        <f>IF(Games[[#This Row],[Team]]="","",-(Games[[#This Row],[Result]]*LN(Games[[#This Row],[ExpectedWin]])+(1-Games[[#This Row],[Result]])*LN(1-Games[[#This Row],[ExpectedWin]])))</f>
        <v>0.60335254979442865</v>
      </c>
      <c r="AF198">
        <f>IF(Games[[#This Row],[Team]]="","",IF(Games[[#This Row],[Season]]&gt;=2021,17,16))</f>
        <v>16</v>
      </c>
      <c r="AG198">
        <f>IF(Games[[#This Row],[Team]]="","",KMax-(KMax-KFloor)*MIN(Games[[#This Row],[GamesPlayed]],Games[[#This Row],[SeasonLen]])/Games[[#This Row],[SeasonLen]])</f>
        <v>41.712499999999999</v>
      </c>
      <c r="AH198">
        <f>IF(Games[[#This Row],[Team]]="","",((ABS(Games[[#This Row],[MOV]])+3)^0.8)/(7.5+0.006*ABS(Games[[#This Row],[PreGmRate]]-Games[[#This Row],[OppPreGmRate]]))*IF(Games[[#This Row],[OT]]=1,0.7,1))</f>
        <v>0.81565698778458562</v>
      </c>
      <c r="AI19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8">
        <f>IF(Games[[#This Row],[Team]]="","",Games[[#This Row],[K]]*IF(Games[[#This Row],[DivG]]=1,DivMult,1)*IF(Games[[#This Row],[ConfG]]=1,ConfMult,1)*Games[[#This Row],[POMult]])</f>
        <v>41.712499999999999</v>
      </c>
      <c r="AK198">
        <f>IF(Games[[#This Row],[Team]]="","",(Games[[#This Row],[Keff]]*Games[[#This Row],[MOVMult]])*(Games[[#This Row],[Result]]-Games[[#This Row],[ExpectedWin]]))</f>
        <v>15.413318154869991</v>
      </c>
      <c r="AL198">
        <f>IF(Games[[#This Row],[Team]]="","",Games[[#This Row],[PreGmRate]]+Games[[#This Row],[RatingChange]])</f>
        <v>1554.5247959154062</v>
      </c>
      <c r="AM198">
        <f>IF(Games[[#This Row],[Team]]="","",IF(Games[[#This Row],[Type]]="R",IF(Games[[#This Row],[Result]]&gt;0.5,1,0),0))</f>
        <v>1</v>
      </c>
      <c r="AN198">
        <f>IF(Games[[#This Row],[Team]]="","",IF(Games[[#This Row],[Type]]="R",IF(Games[[#This Row],[Result]]&lt;0.5,1,0),0))</f>
        <v>0</v>
      </c>
      <c r="AO198">
        <f>IF(Games[[#This Row],[Team]]="","",IF(Games[[#This Row],[Type]]="R",IF(Games[[#This Row],[Result]]=0.5,1,0),0))</f>
        <v>0</v>
      </c>
    </row>
    <row r="199" spans="1:41" x14ac:dyDescent="0.35">
      <c r="A199" s="8">
        <v>35358</v>
      </c>
      <c r="B199">
        <v>1996</v>
      </c>
      <c r="C199" t="s">
        <v>197</v>
      </c>
      <c r="D199" t="s">
        <v>199</v>
      </c>
      <c r="E199" t="s">
        <v>128</v>
      </c>
      <c r="F199" t="s">
        <v>141</v>
      </c>
      <c r="G199" t="s">
        <v>201</v>
      </c>
      <c r="H199">
        <v>28</v>
      </c>
      <c r="I199">
        <v>35</v>
      </c>
      <c r="J199">
        <v>0</v>
      </c>
      <c r="K19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9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9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9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99">
        <f>IF(Games[[#This Row],[Team]]="","",IF(Games[[#This Row],[Conf]]=Games[[#This Row],[OppConf]],1,0))</f>
        <v>0</v>
      </c>
      <c r="P199">
        <f>IF(Games[[#This Row],[Team]]="","",IF(AND(Games[[#This Row],[Conf]]=Games[[#This Row],[OppConf]],Games[[#This Row],[Div]]=Games[[#This Row],[OppDiv]]),1,0))</f>
        <v>0</v>
      </c>
      <c r="Q199">
        <f>IF(Games[[#This Row],[Team]]="","",_xlfn.MINIFS(Games[Date],Games[Season],Games[[#This Row],[Season]]))</f>
        <v>35309</v>
      </c>
      <c r="R199">
        <f>IF(Games[[#This Row],[Team]]="","",INT((Games[[#This Row],[Date]]-(Games[[#This Row],[SeasonStart]]-MOD(WEEKDAY(Games[[#This Row],[SeasonStart]],2)-2,7)))/7)+1)</f>
        <v>8</v>
      </c>
      <c r="S199">
        <f>IF(Games[[#This Row],[Team]]="","",COUNTIFS(Games[Team],Games[[#This Row],[Team]],Games[Season],Games[[#This Row],[Season]],Games[Week],"&lt;="&amp;Games[[#This Row],[Week]]))</f>
        <v>7</v>
      </c>
      <c r="T199">
        <f>IF(Games[[#This Row],[Team]]="","",_xlfn.MAXIFS(Games[Week],Games[Team],Games[[#This Row],[Team]],Games[Season],Games[[#This Row],[Season]],Games[Week],"&lt;"&amp;Games[[#This Row],[Week]]))</f>
        <v>7</v>
      </c>
      <c r="U199">
        <f>IF(Games[[#This Row],[Team]]="","",_xlfn.MAXIFS(Games[Week],Games[Team],Games[[#This Row],[Opponent]],Games[Season],Games[[#This Row],[Season]],Games[Week],"&lt;"&amp;Games[[#This Row],[Week]]))</f>
        <v>7</v>
      </c>
      <c r="V19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9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9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9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1578.3734958423101</v>
      </c>
      <c r="Z19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1539.1114777605362</v>
      </c>
      <c r="AA19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0.45302520147858588</v>
      </c>
      <c r="AB199">
        <f>IF(Games[[#This Row],[Team]]="","",Games[[#This Row],[PointsFor]]-Games[[#This Row],[PointsAgainst]])</f>
        <v>-7</v>
      </c>
      <c r="AC199">
        <f>IF(Games[[#This Row],[Team]]="","",IF(Games[[#This Row],[MOV]]&gt;0,1,IF(Games[[#This Row],[MOV]]=0,0.5,0)))</f>
        <v>0</v>
      </c>
      <c r="AD199">
        <f>IF(Games[[#This Row],[Team]]="","",--(OR(AND(Games[[#This Row],[ExpectedWin]]&gt;=0.5,Games[[#This Row],[Result]]=1),AND(Games[[#This Row],[ExpectedWin]]&lt;0.5,Games[[#This Row],[Result]]=0))))</f>
        <v>1</v>
      </c>
      <c r="AE199">
        <f>IF(Games[[#This Row],[Team]]="","",-(Games[[#This Row],[Result]]*LN(Games[[#This Row],[ExpectedWin]])+(1-Games[[#This Row],[Result]])*LN(1-Games[[#This Row],[ExpectedWin]])))</f>
        <v>0.60335254979442843</v>
      </c>
      <c r="AF199">
        <f>IF(Games[[#This Row],[Team]]="","",IF(Games[[#This Row],[Season]]&gt;=2021,17,16))</f>
        <v>16</v>
      </c>
      <c r="AG199">
        <f>IF(Games[[#This Row],[Team]]="","",KMax-(KMax-KFloor)*MIN(Games[[#This Row],[GamesPlayed]],Games[[#This Row],[SeasonLen]])/Games[[#This Row],[SeasonLen]])</f>
        <v>41.712499999999999</v>
      </c>
      <c r="AH199">
        <f>IF(Games[[#This Row],[Team]]="","",((ABS(Games[[#This Row],[MOV]])+3)^0.8)/(7.5+0.006*ABS(Games[[#This Row],[PreGmRate]]-Games[[#This Row],[OppPreGmRate]]))*IF(Games[[#This Row],[OT]]=1,0.7,1))</f>
        <v>0.81565698778458562</v>
      </c>
      <c r="AI19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9">
        <f>IF(Games[[#This Row],[Team]]="","",Games[[#This Row],[K]]*IF(Games[[#This Row],[DivG]]=1,DivMult,1)*IF(Games[[#This Row],[ConfG]]=1,ConfMult,1)*Games[[#This Row],[POMult]])</f>
        <v>41.712499999999999</v>
      </c>
      <c r="AK199">
        <f>IF(Games[[#This Row],[Team]]="","",(Games[[#This Row],[Keff]]*Games[[#This Row],[MOVMult]])*(Games[[#This Row],[Result]]-Games[[#This Row],[ExpectedWin]]))</f>
        <v>-15.413318154869989</v>
      </c>
      <c r="AL199">
        <f>IF(Games[[#This Row],[Team]]="","",Games[[#This Row],[PreGmRate]]+Games[[#This Row],[RatingChange]])</f>
        <v>1562.9601776874401</v>
      </c>
      <c r="AM199">
        <f>IF(Games[[#This Row],[Team]]="","",IF(Games[[#This Row],[Type]]="R",IF(Games[[#This Row],[Result]]&gt;0.5,1,0),0))</f>
        <v>0</v>
      </c>
      <c r="AN199">
        <f>IF(Games[[#This Row],[Team]]="","",IF(Games[[#This Row],[Type]]="R",IF(Games[[#This Row],[Result]]&lt;0.5,1,0),0))</f>
        <v>1</v>
      </c>
      <c r="AO199">
        <f>IF(Games[[#This Row],[Team]]="","",IF(Games[[#This Row],[Type]]="R",IF(Games[[#This Row],[Result]]=0.5,1,0),0))</f>
        <v>0</v>
      </c>
    </row>
    <row r="200" spans="1:41" x14ac:dyDescent="0.35">
      <c r="A200" s="8">
        <v>35358</v>
      </c>
      <c r="B200">
        <v>1996</v>
      </c>
      <c r="C200" t="s">
        <v>197</v>
      </c>
      <c r="D200" t="s">
        <v>199</v>
      </c>
      <c r="E200" t="s">
        <v>154</v>
      </c>
      <c r="F200" t="s">
        <v>136</v>
      </c>
      <c r="G200" t="s">
        <v>200</v>
      </c>
      <c r="H200">
        <v>31</v>
      </c>
      <c r="I200">
        <v>21</v>
      </c>
      <c r="J200">
        <v>0</v>
      </c>
      <c r="K20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0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0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0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00">
        <f>IF(Games[[#This Row],[Team]]="","",IF(Games[[#This Row],[Conf]]=Games[[#This Row],[OppConf]],1,0))</f>
        <v>1</v>
      </c>
      <c r="P200">
        <f>IF(Games[[#This Row],[Team]]="","",IF(AND(Games[[#This Row],[Conf]]=Games[[#This Row],[OppConf]],Games[[#This Row],[Div]]=Games[[#This Row],[OppDiv]]),1,0))</f>
        <v>1</v>
      </c>
      <c r="Q200">
        <f>IF(Games[[#This Row],[Team]]="","",_xlfn.MINIFS(Games[Date],Games[Season],Games[[#This Row],[Season]]))</f>
        <v>35309</v>
      </c>
      <c r="R200">
        <f>IF(Games[[#This Row],[Team]]="","",INT((Games[[#This Row],[Date]]-(Games[[#This Row],[SeasonStart]]-MOD(WEEKDAY(Games[[#This Row],[SeasonStart]],2)-2,7)))/7)+1)</f>
        <v>8</v>
      </c>
      <c r="S200">
        <f>IF(Games[[#This Row],[Team]]="","",COUNTIFS(Games[Team],Games[[#This Row],[Team]],Games[Season],Games[[#This Row],[Season]],Games[Week],"&lt;="&amp;Games[[#This Row],[Week]]))</f>
        <v>7</v>
      </c>
      <c r="T200">
        <f>IF(Games[[#This Row],[Team]]="","",_xlfn.MAXIFS(Games[Week],Games[Team],Games[[#This Row],[Team]],Games[Season],Games[[#This Row],[Season]],Games[Week],"&lt;"&amp;Games[[#This Row],[Week]]))</f>
        <v>7</v>
      </c>
      <c r="U200">
        <f>IF(Games[[#This Row],[Team]]="","",_xlfn.MAXIFS(Games[Week],Games[Team],Games[[#This Row],[Opponent]],Games[Season],Games[[#This Row],[Season]],Games[Week],"&lt;"&amp;Games[[#This Row],[Week]]))</f>
        <v>7</v>
      </c>
      <c r="V20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0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0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0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1585.8999711844667</v>
      </c>
      <c r="Z20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1421.190758651019</v>
      </c>
      <c r="AA20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0.79618320022992761</v>
      </c>
      <c r="AB200">
        <f>IF(Games[[#This Row],[Team]]="","",Games[[#This Row],[PointsFor]]-Games[[#This Row],[PointsAgainst]])</f>
        <v>10</v>
      </c>
      <c r="AC200">
        <f>IF(Games[[#This Row],[Team]]="","",IF(Games[[#This Row],[MOV]]&gt;0,1,IF(Games[[#This Row],[MOV]]=0,0.5,0)))</f>
        <v>1</v>
      </c>
      <c r="AD200">
        <f>IF(Games[[#This Row],[Team]]="","",--(OR(AND(Games[[#This Row],[ExpectedWin]]&gt;=0.5,Games[[#This Row],[Result]]=1),AND(Games[[#This Row],[ExpectedWin]]&lt;0.5,Games[[#This Row],[Result]]=0))))</f>
        <v>1</v>
      </c>
      <c r="AE200">
        <f>IF(Games[[#This Row],[Team]]="","",-(Games[[#This Row],[Result]]*LN(Games[[#This Row],[ExpectedWin]])+(1-Games[[#This Row],[Result]])*LN(1-Games[[#This Row],[ExpectedWin]])))</f>
        <v>0.22792596857581965</v>
      </c>
      <c r="AF200">
        <f>IF(Games[[#This Row],[Team]]="","",IF(Games[[#This Row],[Season]]&gt;=2021,17,16))</f>
        <v>16</v>
      </c>
      <c r="AG200">
        <f>IF(Games[[#This Row],[Team]]="","",KMax-(KMax-KFloor)*MIN(Games[[#This Row],[GamesPlayed]],Games[[#This Row],[SeasonLen]])/Games[[#This Row],[SeasonLen]])</f>
        <v>41.712499999999999</v>
      </c>
      <c r="AH200">
        <f>IF(Games[[#This Row],[Team]]="","",((ABS(Games[[#This Row],[MOV]])+3)^0.8)/(7.5+0.006*ABS(Games[[#This Row],[PreGmRate]]-Games[[#This Row],[OppPreGmRate]]))*IF(Games[[#This Row],[OT]]=1,0.7,1))</f>
        <v>0.9169301428502874</v>
      </c>
      <c r="AI20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0">
        <f>IF(Games[[#This Row],[Team]]="","",Games[[#This Row],[K]]*IF(Games[[#This Row],[DivG]]=1,DivMult,1)*IF(Games[[#This Row],[ConfG]]=1,ConfMult,1)*Games[[#This Row],[POMult]])</f>
        <v>46.801425000000002</v>
      </c>
      <c r="AK200">
        <f>IF(Games[[#This Row],[Team]]="","",(Games[[#This Row],[Keff]]*Games[[#This Row],[MOVMult]])*(Games[[#This Row],[Result]]-Games[[#This Row],[ExpectedWin]]))</f>
        <v>8.746520223190414</v>
      </c>
      <c r="AL200">
        <f>IF(Games[[#This Row],[Team]]="","",Games[[#This Row],[PreGmRate]]+Games[[#This Row],[RatingChange]])</f>
        <v>1594.6464914076571</v>
      </c>
      <c r="AM200">
        <f>IF(Games[[#This Row],[Team]]="","",IF(Games[[#This Row],[Type]]="R",IF(Games[[#This Row],[Result]]&gt;0.5,1,0),0))</f>
        <v>1</v>
      </c>
      <c r="AN200">
        <f>IF(Games[[#This Row],[Team]]="","",IF(Games[[#This Row],[Type]]="R",IF(Games[[#This Row],[Result]]&lt;0.5,1,0),0))</f>
        <v>0</v>
      </c>
      <c r="AO200">
        <f>IF(Games[[#This Row],[Team]]="","",IF(Games[[#This Row],[Type]]="R",IF(Games[[#This Row],[Result]]=0.5,1,0),0))</f>
        <v>0</v>
      </c>
    </row>
    <row r="201" spans="1:41" x14ac:dyDescent="0.35">
      <c r="A201" s="8">
        <v>35358</v>
      </c>
      <c r="B201">
        <v>1996</v>
      </c>
      <c r="C201" t="s">
        <v>197</v>
      </c>
      <c r="D201" t="s">
        <v>199</v>
      </c>
      <c r="E201" t="s">
        <v>136</v>
      </c>
      <c r="F201" t="s">
        <v>154</v>
      </c>
      <c r="G201" t="s">
        <v>201</v>
      </c>
      <c r="H201">
        <v>21</v>
      </c>
      <c r="I201">
        <v>31</v>
      </c>
      <c r="J201">
        <v>0</v>
      </c>
      <c r="K20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0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0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0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01">
        <f>IF(Games[[#This Row],[Team]]="","",IF(Games[[#This Row],[Conf]]=Games[[#This Row],[OppConf]],1,0))</f>
        <v>1</v>
      </c>
      <c r="P201">
        <f>IF(Games[[#This Row],[Team]]="","",IF(AND(Games[[#This Row],[Conf]]=Games[[#This Row],[OppConf]],Games[[#This Row],[Div]]=Games[[#This Row],[OppDiv]]),1,0))</f>
        <v>1</v>
      </c>
      <c r="Q201">
        <f>IF(Games[[#This Row],[Team]]="","",_xlfn.MINIFS(Games[Date],Games[Season],Games[[#This Row],[Season]]))</f>
        <v>35309</v>
      </c>
      <c r="R201">
        <f>IF(Games[[#This Row],[Team]]="","",INT((Games[[#This Row],[Date]]-(Games[[#This Row],[SeasonStart]]-MOD(WEEKDAY(Games[[#This Row],[SeasonStart]],2)-2,7)))/7)+1)</f>
        <v>8</v>
      </c>
      <c r="S201">
        <f>IF(Games[[#This Row],[Team]]="","",COUNTIFS(Games[Team],Games[[#This Row],[Team]],Games[Season],Games[[#This Row],[Season]],Games[Week],"&lt;="&amp;Games[[#This Row],[Week]]))</f>
        <v>7</v>
      </c>
      <c r="T201">
        <f>IF(Games[[#This Row],[Team]]="","",_xlfn.MAXIFS(Games[Week],Games[Team],Games[[#This Row],[Team]],Games[Season],Games[[#This Row],[Season]],Games[Week],"&lt;"&amp;Games[[#This Row],[Week]]))</f>
        <v>7</v>
      </c>
      <c r="U201">
        <f>IF(Games[[#This Row],[Team]]="","",_xlfn.MAXIFS(Games[Week],Games[Team],Games[[#This Row],[Opponent]],Games[Season],Games[[#This Row],[Season]],Games[Week],"&lt;"&amp;Games[[#This Row],[Week]]))</f>
        <v>7</v>
      </c>
      <c r="V20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0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0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0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1421.190758651019</v>
      </c>
      <c r="Z20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1585.8999711844667</v>
      </c>
      <c r="AA20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0.20381679977007244</v>
      </c>
      <c r="AB201">
        <f>IF(Games[[#This Row],[Team]]="","",Games[[#This Row],[PointsFor]]-Games[[#This Row],[PointsAgainst]])</f>
        <v>-10</v>
      </c>
      <c r="AC201">
        <f>IF(Games[[#This Row],[Team]]="","",IF(Games[[#This Row],[MOV]]&gt;0,1,IF(Games[[#This Row],[MOV]]=0,0.5,0)))</f>
        <v>0</v>
      </c>
      <c r="AD201">
        <f>IF(Games[[#This Row],[Team]]="","",--(OR(AND(Games[[#This Row],[ExpectedWin]]&gt;=0.5,Games[[#This Row],[Result]]=1),AND(Games[[#This Row],[ExpectedWin]]&lt;0.5,Games[[#This Row],[Result]]=0))))</f>
        <v>1</v>
      </c>
      <c r="AE201">
        <f>IF(Games[[#This Row],[Team]]="","",-(Games[[#This Row],[Result]]*LN(Games[[#This Row],[ExpectedWin]])+(1-Games[[#This Row],[Result]])*LN(1-Games[[#This Row],[ExpectedWin]])))</f>
        <v>0.22792596857581965</v>
      </c>
      <c r="AF201">
        <f>IF(Games[[#This Row],[Team]]="","",IF(Games[[#This Row],[Season]]&gt;=2021,17,16))</f>
        <v>16</v>
      </c>
      <c r="AG201">
        <f>IF(Games[[#This Row],[Team]]="","",KMax-(KMax-KFloor)*MIN(Games[[#This Row],[GamesPlayed]],Games[[#This Row],[SeasonLen]])/Games[[#This Row],[SeasonLen]])</f>
        <v>41.712499999999999</v>
      </c>
      <c r="AH201">
        <f>IF(Games[[#This Row],[Team]]="","",((ABS(Games[[#This Row],[MOV]])+3)^0.8)/(7.5+0.006*ABS(Games[[#This Row],[PreGmRate]]-Games[[#This Row],[OppPreGmRate]]))*IF(Games[[#This Row],[OT]]=1,0.7,1))</f>
        <v>0.9169301428502874</v>
      </c>
      <c r="AI20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1">
        <f>IF(Games[[#This Row],[Team]]="","",Games[[#This Row],[K]]*IF(Games[[#This Row],[DivG]]=1,DivMult,1)*IF(Games[[#This Row],[ConfG]]=1,ConfMult,1)*Games[[#This Row],[POMult]])</f>
        <v>46.801425000000002</v>
      </c>
      <c r="AK201">
        <f>IF(Games[[#This Row],[Team]]="","",(Games[[#This Row],[Keff]]*Games[[#This Row],[MOVMult]])*(Games[[#This Row],[Result]]-Games[[#This Row],[ExpectedWin]]))</f>
        <v>-8.7465202231904158</v>
      </c>
      <c r="AL201">
        <f>IF(Games[[#This Row],[Team]]="","",Games[[#This Row],[PreGmRate]]+Games[[#This Row],[RatingChange]])</f>
        <v>1412.4442384278286</v>
      </c>
      <c r="AM201">
        <f>IF(Games[[#This Row],[Team]]="","",IF(Games[[#This Row],[Type]]="R",IF(Games[[#This Row],[Result]]&gt;0.5,1,0),0))</f>
        <v>0</v>
      </c>
      <c r="AN201">
        <f>IF(Games[[#This Row],[Team]]="","",IF(Games[[#This Row],[Type]]="R",IF(Games[[#This Row],[Result]]&lt;0.5,1,0),0))</f>
        <v>1</v>
      </c>
      <c r="AO201">
        <f>IF(Games[[#This Row],[Team]]="","",IF(Games[[#This Row],[Type]]="R",IF(Games[[#This Row],[Result]]=0.5,1,0),0))</f>
        <v>0</v>
      </c>
    </row>
    <row r="202" spans="1:41" x14ac:dyDescent="0.35">
      <c r="A202" s="8">
        <v>35358</v>
      </c>
      <c r="B202">
        <v>1996</v>
      </c>
      <c r="C202" t="s">
        <v>197</v>
      </c>
      <c r="D202" t="s">
        <v>199</v>
      </c>
      <c r="E202" t="s">
        <v>106</v>
      </c>
      <c r="F202" t="s">
        <v>138</v>
      </c>
      <c r="G202" t="s">
        <v>201</v>
      </c>
      <c r="H202">
        <v>25</v>
      </c>
      <c r="I202">
        <v>22</v>
      </c>
      <c r="J202">
        <v>0</v>
      </c>
      <c r="K20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0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0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0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02">
        <f>IF(Games[[#This Row],[Team]]="","",IF(Games[[#This Row],[Conf]]=Games[[#This Row],[OppConf]],1,0))</f>
        <v>1</v>
      </c>
      <c r="P202">
        <f>IF(Games[[#This Row],[Team]]="","",IF(AND(Games[[#This Row],[Conf]]=Games[[#This Row],[OppConf]],Games[[#This Row],[Div]]=Games[[#This Row],[OppDiv]]),1,0))</f>
        <v>1</v>
      </c>
      <c r="Q202">
        <f>IF(Games[[#This Row],[Team]]="","",_xlfn.MINIFS(Games[Date],Games[Season],Games[[#This Row],[Season]]))</f>
        <v>35309</v>
      </c>
      <c r="R202">
        <f>IF(Games[[#This Row],[Team]]="","",INT((Games[[#This Row],[Date]]-(Games[[#This Row],[SeasonStart]]-MOD(WEEKDAY(Games[[#This Row],[SeasonStart]],2)-2,7)))/7)+1)</f>
        <v>8</v>
      </c>
      <c r="S202">
        <f>IF(Games[[#This Row],[Team]]="","",COUNTIFS(Games[Team],Games[[#This Row],[Team]],Games[Season],Games[[#This Row],[Season]],Games[Week],"&lt;="&amp;Games[[#This Row],[Week]]))</f>
        <v>7</v>
      </c>
      <c r="T202">
        <f>IF(Games[[#This Row],[Team]]="","",_xlfn.MAXIFS(Games[Week],Games[Team],Games[[#This Row],[Team]],Games[Season],Games[[#This Row],[Season]],Games[Week],"&lt;"&amp;Games[[#This Row],[Week]]))</f>
        <v>7</v>
      </c>
      <c r="U202">
        <f>IF(Games[[#This Row],[Team]]="","",_xlfn.MAXIFS(Games[Week],Games[Team],Games[[#This Row],[Opponent]],Games[Season],Games[[#This Row],[Season]],Games[Week],"&lt;"&amp;Games[[#This Row],[Week]]))</f>
        <v>7</v>
      </c>
      <c r="V20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0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0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0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1481.3933267976163</v>
      </c>
      <c r="Z20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1347.8890211091737</v>
      </c>
      <c r="AA20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0.58759867966691293</v>
      </c>
      <c r="AB202">
        <f>IF(Games[[#This Row],[Team]]="","",Games[[#This Row],[PointsFor]]-Games[[#This Row],[PointsAgainst]])</f>
        <v>3</v>
      </c>
      <c r="AC202">
        <f>IF(Games[[#This Row],[Team]]="","",IF(Games[[#This Row],[MOV]]&gt;0,1,IF(Games[[#This Row],[MOV]]=0,0.5,0)))</f>
        <v>1</v>
      </c>
      <c r="AD202">
        <f>IF(Games[[#This Row],[Team]]="","",--(OR(AND(Games[[#This Row],[ExpectedWin]]&gt;=0.5,Games[[#This Row],[Result]]=1),AND(Games[[#This Row],[ExpectedWin]]&lt;0.5,Games[[#This Row],[Result]]=0))))</f>
        <v>1</v>
      </c>
      <c r="AE202">
        <f>IF(Games[[#This Row],[Team]]="","",-(Games[[#This Row],[Result]]*LN(Games[[#This Row],[ExpectedWin]])+(1-Games[[#This Row],[Result]])*LN(1-Games[[#This Row],[ExpectedWin]])))</f>
        <v>0.53171108167793979</v>
      </c>
      <c r="AF202">
        <f>IF(Games[[#This Row],[Team]]="","",IF(Games[[#This Row],[Season]]&gt;=2021,17,16))</f>
        <v>16</v>
      </c>
      <c r="AG202">
        <f>IF(Games[[#This Row],[Team]]="","",KMax-(KMax-KFloor)*MIN(Games[[#This Row],[GamesPlayed]],Games[[#This Row],[SeasonLen]])/Games[[#This Row],[SeasonLen]])</f>
        <v>41.712499999999999</v>
      </c>
      <c r="AH202">
        <f>IF(Games[[#This Row],[Team]]="","",((ABS(Games[[#This Row],[MOV]])+3)^0.8)/(7.5+0.006*ABS(Games[[#This Row],[PreGmRate]]-Games[[#This Row],[OppPreGmRate]]))*IF(Games[[#This Row],[OT]]=1,0.7,1))</f>
        <v>0.50511380116293714</v>
      </c>
      <c r="AI20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2">
        <f>IF(Games[[#This Row],[Team]]="","",Games[[#This Row],[K]]*IF(Games[[#This Row],[DivG]]=1,DivMult,1)*IF(Games[[#This Row],[ConfG]]=1,ConfMult,1)*Games[[#This Row],[POMult]])</f>
        <v>46.801425000000002</v>
      </c>
      <c r="AK202">
        <f>IF(Games[[#This Row],[Team]]="","",(Games[[#This Row],[Keff]]*Games[[#This Row],[MOVMult]])*(Games[[#This Row],[Result]]-Games[[#This Row],[ExpectedWin]]))</f>
        <v>9.7491860518230826</v>
      </c>
      <c r="AL202">
        <f>IF(Games[[#This Row],[Team]]="","",Games[[#This Row],[PreGmRate]]+Games[[#This Row],[RatingChange]])</f>
        <v>1491.1425128494393</v>
      </c>
      <c r="AM202">
        <f>IF(Games[[#This Row],[Team]]="","",IF(Games[[#This Row],[Type]]="R",IF(Games[[#This Row],[Result]]&gt;0.5,1,0),0))</f>
        <v>1</v>
      </c>
      <c r="AN202">
        <f>IF(Games[[#This Row],[Team]]="","",IF(Games[[#This Row],[Type]]="R",IF(Games[[#This Row],[Result]]&lt;0.5,1,0),0))</f>
        <v>0</v>
      </c>
      <c r="AO202">
        <f>IF(Games[[#This Row],[Team]]="","",IF(Games[[#This Row],[Type]]="R",IF(Games[[#This Row],[Result]]=0.5,1,0),0))</f>
        <v>0</v>
      </c>
    </row>
    <row r="203" spans="1:41" x14ac:dyDescent="0.35">
      <c r="A203" s="8">
        <v>35358</v>
      </c>
      <c r="B203">
        <v>1996</v>
      </c>
      <c r="C203" t="s">
        <v>197</v>
      </c>
      <c r="D203" t="s">
        <v>199</v>
      </c>
      <c r="E203" t="s">
        <v>138</v>
      </c>
      <c r="F203" t="s">
        <v>106</v>
      </c>
      <c r="G203" t="s">
        <v>200</v>
      </c>
      <c r="H203">
        <v>22</v>
      </c>
      <c r="I203">
        <v>25</v>
      </c>
      <c r="J203">
        <v>0</v>
      </c>
      <c r="K20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0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0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0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03">
        <f>IF(Games[[#This Row],[Team]]="","",IF(Games[[#This Row],[Conf]]=Games[[#This Row],[OppConf]],1,0))</f>
        <v>1</v>
      </c>
      <c r="P203">
        <f>IF(Games[[#This Row],[Team]]="","",IF(AND(Games[[#This Row],[Conf]]=Games[[#This Row],[OppConf]],Games[[#This Row],[Div]]=Games[[#This Row],[OppDiv]]),1,0))</f>
        <v>1</v>
      </c>
      <c r="Q203">
        <f>IF(Games[[#This Row],[Team]]="","",_xlfn.MINIFS(Games[Date],Games[Season],Games[[#This Row],[Season]]))</f>
        <v>35309</v>
      </c>
      <c r="R203">
        <f>IF(Games[[#This Row],[Team]]="","",INT((Games[[#This Row],[Date]]-(Games[[#This Row],[SeasonStart]]-MOD(WEEKDAY(Games[[#This Row],[SeasonStart]],2)-2,7)))/7)+1)</f>
        <v>8</v>
      </c>
      <c r="S203">
        <f>IF(Games[[#This Row],[Team]]="","",COUNTIFS(Games[Team],Games[[#This Row],[Team]],Games[Season],Games[[#This Row],[Season]],Games[Week],"&lt;="&amp;Games[[#This Row],[Week]]))</f>
        <v>8</v>
      </c>
      <c r="T203">
        <f>IF(Games[[#This Row],[Team]]="","",_xlfn.MAXIFS(Games[Week],Games[Team],Games[[#This Row],[Team]],Games[Season],Games[[#This Row],[Season]],Games[Week],"&lt;"&amp;Games[[#This Row],[Week]]))</f>
        <v>7</v>
      </c>
      <c r="U203">
        <f>IF(Games[[#This Row],[Team]]="","",_xlfn.MAXIFS(Games[Week],Games[Team],Games[[#This Row],[Opponent]],Games[Season],Games[[#This Row],[Season]],Games[Week],"&lt;"&amp;Games[[#This Row],[Week]]))</f>
        <v>7</v>
      </c>
      <c r="V20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0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0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0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1347.8890211091737</v>
      </c>
      <c r="Z20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1481.3933267976163</v>
      </c>
      <c r="AA20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0.41240132033308702</v>
      </c>
      <c r="AB203">
        <f>IF(Games[[#This Row],[Team]]="","",Games[[#This Row],[PointsFor]]-Games[[#This Row],[PointsAgainst]])</f>
        <v>-3</v>
      </c>
      <c r="AC203">
        <f>IF(Games[[#This Row],[Team]]="","",IF(Games[[#This Row],[MOV]]&gt;0,1,IF(Games[[#This Row],[MOV]]=0,0.5,0)))</f>
        <v>0</v>
      </c>
      <c r="AD203">
        <f>IF(Games[[#This Row],[Team]]="","",--(OR(AND(Games[[#This Row],[ExpectedWin]]&gt;=0.5,Games[[#This Row],[Result]]=1),AND(Games[[#This Row],[ExpectedWin]]&lt;0.5,Games[[#This Row],[Result]]=0))))</f>
        <v>1</v>
      </c>
      <c r="AE203">
        <f>IF(Games[[#This Row],[Team]]="","",-(Games[[#This Row],[Result]]*LN(Games[[#This Row],[ExpectedWin]])+(1-Games[[#This Row],[Result]])*LN(1-Games[[#This Row],[ExpectedWin]])))</f>
        <v>0.53171108167793957</v>
      </c>
      <c r="AF203">
        <f>IF(Games[[#This Row],[Team]]="","",IF(Games[[#This Row],[Season]]&gt;=2021,17,16))</f>
        <v>16</v>
      </c>
      <c r="AG203">
        <f>IF(Games[[#This Row],[Team]]="","",KMax-(KMax-KFloor)*MIN(Games[[#This Row],[GamesPlayed]],Games[[#This Row],[SeasonLen]])/Games[[#This Row],[SeasonLen]])</f>
        <v>41.1</v>
      </c>
      <c r="AH203">
        <f>IF(Games[[#This Row],[Team]]="","",((ABS(Games[[#This Row],[MOV]])+3)^0.8)/(7.5+0.006*ABS(Games[[#This Row],[PreGmRate]]-Games[[#This Row],[OppPreGmRate]]))*IF(Games[[#This Row],[OT]]=1,0.7,1))</f>
        <v>0.50511380116293714</v>
      </c>
      <c r="AI20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3">
        <f>IF(Games[[#This Row],[Team]]="","",Games[[#This Row],[K]]*IF(Games[[#This Row],[DivG]]=1,DivMult,1)*IF(Games[[#This Row],[ConfG]]=1,ConfMult,1)*Games[[#This Row],[POMult]])</f>
        <v>46.114200000000011</v>
      </c>
      <c r="AK203">
        <f>IF(Games[[#This Row],[Team]]="","",(Games[[#This Row],[Keff]]*Games[[#This Row],[MOVMult]])*(Games[[#This Row],[Result]]-Games[[#This Row],[ExpectedWin]]))</f>
        <v>-9.6060304879815082</v>
      </c>
      <c r="AL203">
        <f>IF(Games[[#This Row],[Team]]="","",Games[[#This Row],[PreGmRate]]+Games[[#This Row],[RatingChange]])</f>
        <v>1338.2829906211921</v>
      </c>
      <c r="AM203">
        <f>IF(Games[[#This Row],[Team]]="","",IF(Games[[#This Row],[Type]]="R",IF(Games[[#This Row],[Result]]&gt;0.5,1,0),0))</f>
        <v>0</v>
      </c>
      <c r="AN203">
        <f>IF(Games[[#This Row],[Team]]="","",IF(Games[[#This Row],[Type]]="R",IF(Games[[#This Row],[Result]]&lt;0.5,1,0),0))</f>
        <v>1</v>
      </c>
      <c r="AO203">
        <f>IF(Games[[#This Row],[Team]]="","",IF(Games[[#This Row],[Type]]="R",IF(Games[[#This Row],[Result]]=0.5,1,0),0))</f>
        <v>0</v>
      </c>
    </row>
    <row r="204" spans="1:41" x14ac:dyDescent="0.35">
      <c r="A204" s="8">
        <v>35358</v>
      </c>
      <c r="B204">
        <v>1996</v>
      </c>
      <c r="C204" t="s">
        <v>197</v>
      </c>
      <c r="D204" t="s">
        <v>199</v>
      </c>
      <c r="E204" t="s">
        <v>148</v>
      </c>
      <c r="F204" t="s">
        <v>112</v>
      </c>
      <c r="G204" t="s">
        <v>200</v>
      </c>
      <c r="H204">
        <v>28</v>
      </c>
      <c r="I204">
        <v>21</v>
      </c>
      <c r="J204">
        <v>0</v>
      </c>
      <c r="K20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0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0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0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04">
        <f>IF(Games[[#This Row],[Team]]="","",IF(Games[[#This Row],[Conf]]=Games[[#This Row],[OppConf]],1,0))</f>
        <v>0</v>
      </c>
      <c r="P204">
        <f>IF(Games[[#This Row],[Team]]="","",IF(AND(Games[[#This Row],[Conf]]=Games[[#This Row],[OppConf]],Games[[#This Row],[Div]]=Games[[#This Row],[OppDiv]]),1,0))</f>
        <v>0</v>
      </c>
      <c r="Q204">
        <f>IF(Games[[#This Row],[Team]]="","",_xlfn.MINIFS(Games[Date],Games[Season],Games[[#This Row],[Season]]))</f>
        <v>35309</v>
      </c>
      <c r="R204">
        <f>IF(Games[[#This Row],[Team]]="","",INT((Games[[#This Row],[Date]]-(Games[[#This Row],[SeasonStart]]-MOD(WEEKDAY(Games[[#This Row],[SeasonStart]],2)-2,7)))/7)+1)</f>
        <v>8</v>
      </c>
      <c r="S204">
        <f>IF(Games[[#This Row],[Team]]="","",COUNTIFS(Games[Team],Games[[#This Row],[Team]],Games[Season],Games[[#This Row],[Season]],Games[Week],"&lt;="&amp;Games[[#This Row],[Week]]))</f>
        <v>7</v>
      </c>
      <c r="T204">
        <f>IF(Games[[#This Row],[Team]]="","",_xlfn.MAXIFS(Games[Week],Games[Team],Games[[#This Row],[Team]],Games[Season],Games[[#This Row],[Season]],Games[Week],"&lt;"&amp;Games[[#This Row],[Week]]))</f>
        <v>7</v>
      </c>
      <c r="U204">
        <f>IF(Games[[#This Row],[Team]]="","",_xlfn.MAXIFS(Games[Week],Games[Team],Games[[#This Row],[Opponent]],Games[Season],Games[[#This Row],[Season]],Games[Week],"&lt;"&amp;Games[[#This Row],[Week]]))</f>
        <v>7</v>
      </c>
      <c r="V20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20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0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20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1586.4037112387807</v>
      </c>
      <c r="Z20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1451.2925112742455</v>
      </c>
      <c r="AA20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0.76091256375294847</v>
      </c>
      <c r="AB204">
        <f>IF(Games[[#This Row],[Team]]="","",Games[[#This Row],[PointsFor]]-Games[[#This Row],[PointsAgainst]])</f>
        <v>7</v>
      </c>
      <c r="AC204">
        <f>IF(Games[[#This Row],[Team]]="","",IF(Games[[#This Row],[MOV]]&gt;0,1,IF(Games[[#This Row],[MOV]]=0,0.5,0)))</f>
        <v>1</v>
      </c>
      <c r="AD204">
        <f>IF(Games[[#This Row],[Team]]="","",--(OR(AND(Games[[#This Row],[ExpectedWin]]&gt;=0.5,Games[[#This Row],[Result]]=1),AND(Games[[#This Row],[ExpectedWin]]&lt;0.5,Games[[#This Row],[Result]]=0))))</f>
        <v>1</v>
      </c>
      <c r="AE204">
        <f>IF(Games[[#This Row],[Team]]="","",-(Games[[#This Row],[Result]]*LN(Games[[#This Row],[ExpectedWin]])+(1-Games[[#This Row],[Result]])*LN(1-Games[[#This Row],[ExpectedWin]])))</f>
        <v>0.27323682423542667</v>
      </c>
      <c r="AF204">
        <f>IF(Games[[#This Row],[Team]]="","",IF(Games[[#This Row],[Season]]&gt;=2021,17,16))</f>
        <v>16</v>
      </c>
      <c r="AG204">
        <f>IF(Games[[#This Row],[Team]]="","",KMax-(KMax-KFloor)*MIN(Games[[#This Row],[GamesPlayed]],Games[[#This Row],[SeasonLen]])/Games[[#This Row],[SeasonLen]])</f>
        <v>41.712499999999999</v>
      </c>
      <c r="AH204">
        <f>IF(Games[[#This Row],[Team]]="","",((ABS(Games[[#This Row],[MOV]])+3)^0.8)/(7.5+0.006*ABS(Games[[#This Row],[PreGmRate]]-Games[[#This Row],[OppPreGmRate]]))*IF(Games[[#This Row],[OT]]=1,0.7,1))</f>
        <v>0.75921382641377899</v>
      </c>
      <c r="AI20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4">
        <f>IF(Games[[#This Row],[Team]]="","",Games[[#This Row],[K]]*IF(Games[[#This Row],[DivG]]=1,DivMult,1)*IF(Games[[#This Row],[ConfG]]=1,ConfMult,1)*Games[[#This Row],[POMult]])</f>
        <v>41.712499999999999</v>
      </c>
      <c r="AK204">
        <f>IF(Games[[#This Row],[Team]]="","",(Games[[#This Row],[Keff]]*Games[[#This Row],[MOVMult]])*(Games[[#This Row],[Result]]-Games[[#This Row],[ExpectedWin]]))</f>
        <v>7.5715899023598778</v>
      </c>
      <c r="AL204">
        <f>IF(Games[[#This Row],[Team]]="","",Games[[#This Row],[PreGmRate]]+Games[[#This Row],[RatingChange]])</f>
        <v>1593.9753011411406</v>
      </c>
      <c r="AM204">
        <f>IF(Games[[#This Row],[Team]]="","",IF(Games[[#This Row],[Type]]="R",IF(Games[[#This Row],[Result]]&gt;0.5,1,0),0))</f>
        <v>1</v>
      </c>
      <c r="AN204">
        <f>IF(Games[[#This Row],[Team]]="","",IF(Games[[#This Row],[Type]]="R",IF(Games[[#This Row],[Result]]&lt;0.5,1,0),0))</f>
        <v>0</v>
      </c>
      <c r="AO204">
        <f>IF(Games[[#This Row],[Team]]="","",IF(Games[[#This Row],[Type]]="R",IF(Games[[#This Row],[Result]]=0.5,1,0),0))</f>
        <v>0</v>
      </c>
    </row>
    <row r="205" spans="1:41" x14ac:dyDescent="0.35">
      <c r="A205" s="8">
        <v>35358</v>
      </c>
      <c r="B205">
        <v>1996</v>
      </c>
      <c r="C205" t="s">
        <v>197</v>
      </c>
      <c r="D205" t="s">
        <v>199</v>
      </c>
      <c r="E205" t="s">
        <v>112</v>
      </c>
      <c r="F205" t="s">
        <v>148</v>
      </c>
      <c r="G205" t="s">
        <v>201</v>
      </c>
      <c r="H205">
        <v>21</v>
      </c>
      <c r="I205">
        <v>28</v>
      </c>
      <c r="J205">
        <v>0</v>
      </c>
      <c r="K20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0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0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0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05">
        <f>IF(Games[[#This Row],[Team]]="","",IF(Games[[#This Row],[Conf]]=Games[[#This Row],[OppConf]],1,0))</f>
        <v>0</v>
      </c>
      <c r="P205">
        <f>IF(Games[[#This Row],[Team]]="","",IF(AND(Games[[#This Row],[Conf]]=Games[[#This Row],[OppConf]],Games[[#This Row],[Div]]=Games[[#This Row],[OppDiv]]),1,0))</f>
        <v>0</v>
      </c>
      <c r="Q205">
        <f>IF(Games[[#This Row],[Team]]="","",_xlfn.MINIFS(Games[Date],Games[Season],Games[[#This Row],[Season]]))</f>
        <v>35309</v>
      </c>
      <c r="R205">
        <f>IF(Games[[#This Row],[Team]]="","",INT((Games[[#This Row],[Date]]-(Games[[#This Row],[SeasonStart]]-MOD(WEEKDAY(Games[[#This Row],[SeasonStart]],2)-2,7)))/7)+1)</f>
        <v>8</v>
      </c>
      <c r="S205">
        <f>IF(Games[[#This Row],[Team]]="","",COUNTIFS(Games[Team],Games[[#This Row],[Team]],Games[Season],Games[[#This Row],[Season]],Games[Week],"&lt;="&amp;Games[[#This Row],[Week]]))</f>
        <v>7</v>
      </c>
      <c r="T205">
        <f>IF(Games[[#This Row],[Team]]="","",_xlfn.MAXIFS(Games[Week],Games[Team],Games[[#This Row],[Team]],Games[Season],Games[[#This Row],[Season]],Games[Week],"&lt;"&amp;Games[[#This Row],[Week]]))</f>
        <v>7</v>
      </c>
      <c r="U205">
        <f>IF(Games[[#This Row],[Team]]="","",_xlfn.MAXIFS(Games[Week],Games[Team],Games[[#This Row],[Opponent]],Games[Season],Games[[#This Row],[Season]],Games[Week],"&lt;"&amp;Games[[#This Row],[Week]]))</f>
        <v>7</v>
      </c>
      <c r="V20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0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20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20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1451.2925112742455</v>
      </c>
      <c r="Z20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1586.4037112387807</v>
      </c>
      <c r="AA20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0.23908743624705148</v>
      </c>
      <c r="AB205">
        <f>IF(Games[[#This Row],[Team]]="","",Games[[#This Row],[PointsFor]]-Games[[#This Row],[PointsAgainst]])</f>
        <v>-7</v>
      </c>
      <c r="AC205">
        <f>IF(Games[[#This Row],[Team]]="","",IF(Games[[#This Row],[MOV]]&gt;0,1,IF(Games[[#This Row],[MOV]]=0,0.5,0)))</f>
        <v>0</v>
      </c>
      <c r="AD205">
        <f>IF(Games[[#This Row],[Team]]="","",--(OR(AND(Games[[#This Row],[ExpectedWin]]&gt;=0.5,Games[[#This Row],[Result]]=1),AND(Games[[#This Row],[ExpectedWin]]&lt;0.5,Games[[#This Row],[Result]]=0))))</f>
        <v>1</v>
      </c>
      <c r="AE205">
        <f>IF(Games[[#This Row],[Team]]="","",-(Games[[#This Row],[Result]]*LN(Games[[#This Row],[ExpectedWin]])+(1-Games[[#This Row],[Result]])*LN(1-Games[[#This Row],[ExpectedWin]])))</f>
        <v>0.2732368242354265</v>
      </c>
      <c r="AF205">
        <f>IF(Games[[#This Row],[Team]]="","",IF(Games[[#This Row],[Season]]&gt;=2021,17,16))</f>
        <v>16</v>
      </c>
      <c r="AG205">
        <f>IF(Games[[#This Row],[Team]]="","",KMax-(KMax-KFloor)*MIN(Games[[#This Row],[GamesPlayed]],Games[[#This Row],[SeasonLen]])/Games[[#This Row],[SeasonLen]])</f>
        <v>41.712499999999999</v>
      </c>
      <c r="AH205">
        <f>IF(Games[[#This Row],[Team]]="","",((ABS(Games[[#This Row],[MOV]])+3)^0.8)/(7.5+0.006*ABS(Games[[#This Row],[PreGmRate]]-Games[[#This Row],[OppPreGmRate]]))*IF(Games[[#This Row],[OT]]=1,0.7,1))</f>
        <v>0.75921382641377899</v>
      </c>
      <c r="AI20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5">
        <f>IF(Games[[#This Row],[Team]]="","",Games[[#This Row],[K]]*IF(Games[[#This Row],[DivG]]=1,DivMult,1)*IF(Games[[#This Row],[ConfG]]=1,ConfMult,1)*Games[[#This Row],[POMult]])</f>
        <v>41.712499999999999</v>
      </c>
      <c r="AK205">
        <f>IF(Games[[#This Row],[Team]]="","",(Games[[#This Row],[Keff]]*Games[[#This Row],[MOVMult]])*(Games[[#This Row],[Result]]-Games[[#This Row],[ExpectedWin]]))</f>
        <v>-7.5715899023598761</v>
      </c>
      <c r="AL205">
        <f>IF(Games[[#This Row],[Team]]="","",Games[[#This Row],[PreGmRate]]+Games[[#This Row],[RatingChange]])</f>
        <v>1443.7209213718857</v>
      </c>
      <c r="AM205">
        <f>IF(Games[[#This Row],[Team]]="","",IF(Games[[#This Row],[Type]]="R",IF(Games[[#This Row],[Result]]&gt;0.5,1,0),0))</f>
        <v>0</v>
      </c>
      <c r="AN205">
        <f>IF(Games[[#This Row],[Team]]="","",IF(Games[[#This Row],[Type]]="R",IF(Games[[#This Row],[Result]]&lt;0.5,1,0),0))</f>
        <v>1</v>
      </c>
      <c r="AO205">
        <f>IF(Games[[#This Row],[Team]]="","",IF(Games[[#This Row],[Type]]="R",IF(Games[[#This Row],[Result]]=0.5,1,0),0))</f>
        <v>0</v>
      </c>
    </row>
    <row r="206" spans="1:41" x14ac:dyDescent="0.35">
      <c r="A206" s="8">
        <v>35358</v>
      </c>
      <c r="B206">
        <v>1996</v>
      </c>
      <c r="C206" t="s">
        <v>197</v>
      </c>
      <c r="D206" t="s">
        <v>199</v>
      </c>
      <c r="E206" t="s">
        <v>93</v>
      </c>
      <c r="F206" t="s">
        <v>151</v>
      </c>
      <c r="G206" t="s">
        <v>200</v>
      </c>
      <c r="H206">
        <v>13</v>
      </c>
      <c r="I206">
        <v>9</v>
      </c>
      <c r="J206">
        <v>0</v>
      </c>
      <c r="K20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0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0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0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06">
        <f>IF(Games[[#This Row],[Team]]="","",IF(Games[[#This Row],[Conf]]=Games[[#This Row],[OppConf]],1,0))</f>
        <v>1</v>
      </c>
      <c r="P206">
        <f>IF(Games[[#This Row],[Team]]="","",IF(AND(Games[[#This Row],[Conf]]=Games[[#This Row],[OppConf]],Games[[#This Row],[Div]]=Games[[#This Row],[OppDiv]]),1,0))</f>
        <v>0</v>
      </c>
      <c r="Q206">
        <f>IF(Games[[#This Row],[Team]]="","",_xlfn.MINIFS(Games[Date],Games[Season],Games[[#This Row],[Season]]))</f>
        <v>35309</v>
      </c>
      <c r="R206">
        <f>IF(Games[[#This Row],[Team]]="","",INT((Games[[#This Row],[Date]]-(Games[[#This Row],[SeasonStart]]-MOD(WEEKDAY(Games[[#This Row],[SeasonStart]],2)-2,7)))/7)+1)</f>
        <v>8</v>
      </c>
      <c r="S206">
        <f>IF(Games[[#This Row],[Team]]="","",COUNTIFS(Games[Team],Games[[#This Row],[Team]],Games[Season],Games[[#This Row],[Season]],Games[Week],"&lt;="&amp;Games[[#This Row],[Week]]))</f>
        <v>7</v>
      </c>
      <c r="T206">
        <f>IF(Games[[#This Row],[Team]]="","",_xlfn.MAXIFS(Games[Week],Games[Team],Games[[#This Row],[Team]],Games[Season],Games[[#This Row],[Season]],Games[Week],"&lt;"&amp;Games[[#This Row],[Week]]))</f>
        <v>7</v>
      </c>
      <c r="U206">
        <f>IF(Games[[#This Row],[Team]]="","",_xlfn.MAXIFS(Games[Week],Games[Team],Games[[#This Row],[Opponent]],Games[Season],Games[[#This Row],[Season]],Games[Week],"&lt;"&amp;Games[[#This Row],[Week]]))</f>
        <v>7</v>
      </c>
      <c r="V20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0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0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0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1425.6695536264772</v>
      </c>
      <c r="Z20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1381.7607864189438</v>
      </c>
      <c r="AA20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0.66088139974507898</v>
      </c>
      <c r="AB206">
        <f>IF(Games[[#This Row],[Team]]="","",Games[[#This Row],[PointsFor]]-Games[[#This Row],[PointsAgainst]])</f>
        <v>4</v>
      </c>
      <c r="AC206">
        <f>IF(Games[[#This Row],[Team]]="","",IF(Games[[#This Row],[MOV]]&gt;0,1,IF(Games[[#This Row],[MOV]]=0,0.5,0)))</f>
        <v>1</v>
      </c>
      <c r="AD206">
        <f>IF(Games[[#This Row],[Team]]="","",--(OR(AND(Games[[#This Row],[ExpectedWin]]&gt;=0.5,Games[[#This Row],[Result]]=1),AND(Games[[#This Row],[ExpectedWin]]&lt;0.5,Games[[#This Row],[Result]]=0))))</f>
        <v>1</v>
      </c>
      <c r="AE206">
        <f>IF(Games[[#This Row],[Team]]="","",-(Games[[#This Row],[Result]]*LN(Games[[#This Row],[ExpectedWin]])+(1-Games[[#This Row],[Result]])*LN(1-Games[[#This Row],[ExpectedWin]])))</f>
        <v>0.41418088072825543</v>
      </c>
      <c r="AF206">
        <f>IF(Games[[#This Row],[Team]]="","",IF(Games[[#This Row],[Season]]&gt;=2021,17,16))</f>
        <v>16</v>
      </c>
      <c r="AG206">
        <f>IF(Games[[#This Row],[Team]]="","",KMax-(KMax-KFloor)*MIN(Games[[#This Row],[GamesPlayed]],Games[[#This Row],[SeasonLen]])/Games[[#This Row],[SeasonLen]])</f>
        <v>41.712499999999999</v>
      </c>
      <c r="AH206">
        <f>IF(Games[[#This Row],[Team]]="","",((ABS(Games[[#This Row],[MOV]])+3)^0.8)/(7.5+0.006*ABS(Games[[#This Row],[PreGmRate]]-Games[[#This Row],[OppPreGmRate]]))*IF(Games[[#This Row],[OT]]=1,0.7,1))</f>
        <v>0.61097512102033447</v>
      </c>
      <c r="AI20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6">
        <f>IF(Games[[#This Row],[Team]]="","",Games[[#This Row],[K]]*IF(Games[[#This Row],[DivG]]=1,DivMult,1)*IF(Games[[#This Row],[ConfG]]=1,ConfMult,1)*Games[[#This Row],[POMult]])</f>
        <v>42.546749999999996</v>
      </c>
      <c r="AK206">
        <f>IF(Games[[#This Row],[Team]]="","",(Games[[#This Row],[Keff]]*Games[[#This Row],[MOVMult]])*(Games[[#This Row],[Result]]-Games[[#This Row],[ExpectedWin]]))</f>
        <v>8.8153899568684615</v>
      </c>
      <c r="AL206">
        <f>IF(Games[[#This Row],[Team]]="","",Games[[#This Row],[PreGmRate]]+Games[[#This Row],[RatingChange]])</f>
        <v>1434.4849435833457</v>
      </c>
      <c r="AM206">
        <f>IF(Games[[#This Row],[Team]]="","",IF(Games[[#This Row],[Type]]="R",IF(Games[[#This Row],[Result]]&gt;0.5,1,0),0))</f>
        <v>1</v>
      </c>
      <c r="AN206">
        <f>IF(Games[[#This Row],[Team]]="","",IF(Games[[#This Row],[Type]]="R",IF(Games[[#This Row],[Result]]&lt;0.5,1,0),0))</f>
        <v>0</v>
      </c>
      <c r="AO206">
        <f>IF(Games[[#This Row],[Team]]="","",IF(Games[[#This Row],[Type]]="R",IF(Games[[#This Row],[Result]]=0.5,1,0),0))</f>
        <v>0</v>
      </c>
    </row>
    <row r="207" spans="1:41" x14ac:dyDescent="0.35">
      <c r="A207" s="8">
        <v>35358</v>
      </c>
      <c r="B207">
        <v>1996</v>
      </c>
      <c r="C207" t="s">
        <v>197</v>
      </c>
      <c r="D207" t="s">
        <v>199</v>
      </c>
      <c r="E207" t="s">
        <v>151</v>
      </c>
      <c r="F207" t="s">
        <v>93</v>
      </c>
      <c r="G207" t="s">
        <v>201</v>
      </c>
      <c r="H207">
        <v>9</v>
      </c>
      <c r="I207">
        <v>13</v>
      </c>
      <c r="J207">
        <v>0</v>
      </c>
      <c r="K20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0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0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0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07">
        <f>IF(Games[[#This Row],[Team]]="","",IF(Games[[#This Row],[Conf]]=Games[[#This Row],[OppConf]],1,0))</f>
        <v>1</v>
      </c>
      <c r="P207">
        <f>IF(Games[[#This Row],[Team]]="","",IF(AND(Games[[#This Row],[Conf]]=Games[[#This Row],[OppConf]],Games[[#This Row],[Div]]=Games[[#This Row],[OppDiv]]),1,0))</f>
        <v>0</v>
      </c>
      <c r="Q207">
        <f>IF(Games[[#This Row],[Team]]="","",_xlfn.MINIFS(Games[Date],Games[Season],Games[[#This Row],[Season]]))</f>
        <v>35309</v>
      </c>
      <c r="R207">
        <f>IF(Games[[#This Row],[Team]]="","",INT((Games[[#This Row],[Date]]-(Games[[#This Row],[SeasonStart]]-MOD(WEEKDAY(Games[[#This Row],[SeasonStart]],2)-2,7)))/7)+1)</f>
        <v>8</v>
      </c>
      <c r="S207">
        <f>IF(Games[[#This Row],[Team]]="","",COUNTIFS(Games[Team],Games[[#This Row],[Team]],Games[Season],Games[[#This Row],[Season]],Games[Week],"&lt;="&amp;Games[[#This Row],[Week]]))</f>
        <v>7</v>
      </c>
      <c r="T207">
        <f>IF(Games[[#This Row],[Team]]="","",_xlfn.MAXIFS(Games[Week],Games[Team],Games[[#This Row],[Team]],Games[Season],Games[[#This Row],[Season]],Games[Week],"&lt;"&amp;Games[[#This Row],[Week]]))</f>
        <v>7</v>
      </c>
      <c r="U207">
        <f>IF(Games[[#This Row],[Team]]="","",_xlfn.MAXIFS(Games[Week],Games[Team],Games[[#This Row],[Opponent]],Games[Season],Games[[#This Row],[Season]],Games[Week],"&lt;"&amp;Games[[#This Row],[Week]]))</f>
        <v>7</v>
      </c>
      <c r="V20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0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0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0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1381.7607864189438</v>
      </c>
      <c r="Z20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1425.6695536264772</v>
      </c>
      <c r="AA20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0.33911860025492108</v>
      </c>
      <c r="AB207">
        <f>IF(Games[[#This Row],[Team]]="","",Games[[#This Row],[PointsFor]]-Games[[#This Row],[PointsAgainst]])</f>
        <v>-4</v>
      </c>
      <c r="AC207">
        <f>IF(Games[[#This Row],[Team]]="","",IF(Games[[#This Row],[MOV]]&gt;0,1,IF(Games[[#This Row],[MOV]]=0,0.5,0)))</f>
        <v>0</v>
      </c>
      <c r="AD207">
        <f>IF(Games[[#This Row],[Team]]="","",--(OR(AND(Games[[#This Row],[ExpectedWin]]&gt;=0.5,Games[[#This Row],[Result]]=1),AND(Games[[#This Row],[ExpectedWin]]&lt;0.5,Games[[#This Row],[Result]]=0))))</f>
        <v>1</v>
      </c>
      <c r="AE207">
        <f>IF(Games[[#This Row],[Team]]="","",-(Games[[#This Row],[Result]]*LN(Games[[#This Row],[ExpectedWin]])+(1-Games[[#This Row],[Result]])*LN(1-Games[[#This Row],[ExpectedWin]])))</f>
        <v>0.4141808807282556</v>
      </c>
      <c r="AF207">
        <f>IF(Games[[#This Row],[Team]]="","",IF(Games[[#This Row],[Season]]&gt;=2021,17,16))</f>
        <v>16</v>
      </c>
      <c r="AG207">
        <f>IF(Games[[#This Row],[Team]]="","",KMax-(KMax-KFloor)*MIN(Games[[#This Row],[GamesPlayed]],Games[[#This Row],[SeasonLen]])/Games[[#This Row],[SeasonLen]])</f>
        <v>41.712499999999999</v>
      </c>
      <c r="AH207">
        <f>IF(Games[[#This Row],[Team]]="","",((ABS(Games[[#This Row],[MOV]])+3)^0.8)/(7.5+0.006*ABS(Games[[#This Row],[PreGmRate]]-Games[[#This Row],[OppPreGmRate]]))*IF(Games[[#This Row],[OT]]=1,0.7,1))</f>
        <v>0.61097512102033447</v>
      </c>
      <c r="AI20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7">
        <f>IF(Games[[#This Row],[Team]]="","",Games[[#This Row],[K]]*IF(Games[[#This Row],[DivG]]=1,DivMult,1)*IF(Games[[#This Row],[ConfG]]=1,ConfMult,1)*Games[[#This Row],[POMult]])</f>
        <v>42.546749999999996</v>
      </c>
      <c r="AK207">
        <f>IF(Games[[#This Row],[Team]]="","",(Games[[#This Row],[Keff]]*Games[[#This Row],[MOVMult]])*(Games[[#This Row],[Result]]-Games[[#This Row],[ExpectedWin]]))</f>
        <v>-8.8153899568684633</v>
      </c>
      <c r="AL207">
        <f>IF(Games[[#This Row],[Team]]="","",Games[[#This Row],[PreGmRate]]+Games[[#This Row],[RatingChange]])</f>
        <v>1372.9453964620752</v>
      </c>
      <c r="AM207">
        <f>IF(Games[[#This Row],[Team]]="","",IF(Games[[#This Row],[Type]]="R",IF(Games[[#This Row],[Result]]&gt;0.5,1,0),0))</f>
        <v>0</v>
      </c>
      <c r="AN207">
        <f>IF(Games[[#This Row],[Team]]="","",IF(Games[[#This Row],[Type]]="R",IF(Games[[#This Row],[Result]]&lt;0.5,1,0),0))</f>
        <v>1</v>
      </c>
      <c r="AO207">
        <f>IF(Games[[#This Row],[Team]]="","",IF(Games[[#This Row],[Type]]="R",IF(Games[[#This Row],[Result]]=0.5,1,0),0))</f>
        <v>0</v>
      </c>
    </row>
    <row r="208" spans="1:41" x14ac:dyDescent="0.35">
      <c r="A208" s="8">
        <v>35358</v>
      </c>
      <c r="B208">
        <v>1996</v>
      </c>
      <c r="C208" t="s">
        <v>197</v>
      </c>
      <c r="D208" t="s">
        <v>199</v>
      </c>
      <c r="E208" t="s">
        <v>116</v>
      </c>
      <c r="F208" t="s">
        <v>101</v>
      </c>
      <c r="G208" t="s">
        <v>200</v>
      </c>
      <c r="H208">
        <v>45</v>
      </c>
      <c r="I208">
        <v>34</v>
      </c>
      <c r="J208">
        <v>0</v>
      </c>
      <c r="K20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0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0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0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08">
        <f>IF(Games[[#This Row],[Team]]="","",IF(Games[[#This Row],[Conf]]=Games[[#This Row],[OppConf]],1,0))</f>
        <v>1</v>
      </c>
      <c r="P208">
        <f>IF(Games[[#This Row],[Team]]="","",IF(AND(Games[[#This Row],[Conf]]=Games[[#This Row],[OppConf]],Games[[#This Row],[Div]]=Games[[#This Row],[OppDiv]]),1,0))</f>
        <v>0</v>
      </c>
      <c r="Q208">
        <f>IF(Games[[#This Row],[Team]]="","",_xlfn.MINIFS(Games[Date],Games[Season],Games[[#This Row],[Season]]))</f>
        <v>35309</v>
      </c>
      <c r="R208">
        <f>IF(Games[[#This Row],[Team]]="","",INT((Games[[#This Row],[Date]]-(Games[[#This Row],[SeasonStart]]-MOD(WEEKDAY(Games[[#This Row],[SeasonStart]],2)-2,7)))/7)+1)</f>
        <v>8</v>
      </c>
      <c r="S208">
        <f>IF(Games[[#This Row],[Team]]="","",COUNTIFS(Games[Team],Games[[#This Row],[Team]],Games[Season],Games[[#This Row],[Season]],Games[Week],"&lt;="&amp;Games[[#This Row],[Week]]))</f>
        <v>7</v>
      </c>
      <c r="T208">
        <f>IF(Games[[#This Row],[Team]]="","",_xlfn.MAXIFS(Games[Week],Games[Team],Games[[#This Row],[Team]],Games[Season],Games[[#This Row],[Season]],Games[Week],"&lt;"&amp;Games[[#This Row],[Week]]))</f>
        <v>6</v>
      </c>
      <c r="U208">
        <f>IF(Games[[#This Row],[Team]]="","",_xlfn.MAXIFS(Games[Week],Games[Team],Games[[#This Row],[Opponent]],Games[Season],Games[[#This Row],[Season]],Games[Week],"&lt;"&amp;Games[[#This Row],[Week]]))</f>
        <v>7</v>
      </c>
      <c r="V20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20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0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20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1588.2909383799722</v>
      </c>
      <c r="Z20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1442.9269306580461</v>
      </c>
      <c r="AA20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0.80049690489025394</v>
      </c>
      <c r="AB208">
        <f>IF(Games[[#This Row],[Team]]="","",Games[[#This Row],[PointsFor]]-Games[[#This Row],[PointsAgainst]])</f>
        <v>11</v>
      </c>
      <c r="AC208">
        <f>IF(Games[[#This Row],[Team]]="","",IF(Games[[#This Row],[MOV]]&gt;0,1,IF(Games[[#This Row],[MOV]]=0,0.5,0)))</f>
        <v>1</v>
      </c>
      <c r="AD208">
        <f>IF(Games[[#This Row],[Team]]="","",--(OR(AND(Games[[#This Row],[ExpectedWin]]&gt;=0.5,Games[[#This Row],[Result]]=1),AND(Games[[#This Row],[ExpectedWin]]&lt;0.5,Games[[#This Row],[Result]]=0))))</f>
        <v>1</v>
      </c>
      <c r="AE208">
        <f>IF(Games[[#This Row],[Team]]="","",-(Games[[#This Row],[Result]]*LN(Games[[#This Row],[ExpectedWin]])+(1-Games[[#This Row],[Result]])*LN(1-Games[[#This Row],[ExpectedWin]])))</f>
        <v>0.22252261302348092</v>
      </c>
      <c r="AF208">
        <f>IF(Games[[#This Row],[Team]]="","",IF(Games[[#This Row],[Season]]&gt;=2021,17,16))</f>
        <v>16</v>
      </c>
      <c r="AG208">
        <f>IF(Games[[#This Row],[Team]]="","",KMax-(KMax-KFloor)*MIN(Games[[#This Row],[GamesPlayed]],Games[[#This Row],[SeasonLen]])/Games[[#This Row],[SeasonLen]])</f>
        <v>41.712499999999999</v>
      </c>
      <c r="AH208">
        <f>IF(Games[[#This Row],[Team]]="","",((ABS(Games[[#This Row],[MOV]])+3)^0.8)/(7.5+0.006*ABS(Games[[#This Row],[PreGmRate]]-Games[[#This Row],[OppPreGmRate]]))*IF(Games[[#This Row],[OT]]=1,0.7,1))</f>
        <v>0.98642407133991516</v>
      </c>
      <c r="AI20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8">
        <f>IF(Games[[#This Row],[Team]]="","",Games[[#This Row],[K]]*IF(Games[[#This Row],[DivG]]=1,DivMult,1)*IF(Games[[#This Row],[ConfG]]=1,ConfMult,1)*Games[[#This Row],[POMult]])</f>
        <v>42.546749999999996</v>
      </c>
      <c r="AK208">
        <f>IF(Games[[#This Row],[Team]]="","",(Games[[#This Row],[Keff]]*Games[[#This Row],[MOVMult]])*(Games[[#This Row],[Result]]-Games[[#This Row],[ExpectedWin]]))</f>
        <v>8.3729730013668284</v>
      </c>
      <c r="AL208">
        <f>IF(Games[[#This Row],[Team]]="","",Games[[#This Row],[PreGmRate]]+Games[[#This Row],[RatingChange]])</f>
        <v>1596.6639113813389</v>
      </c>
      <c r="AM208">
        <f>IF(Games[[#This Row],[Team]]="","",IF(Games[[#This Row],[Type]]="R",IF(Games[[#This Row],[Result]]&gt;0.5,1,0),0))</f>
        <v>1</v>
      </c>
      <c r="AN208">
        <f>IF(Games[[#This Row],[Team]]="","",IF(Games[[#This Row],[Type]]="R",IF(Games[[#This Row],[Result]]&lt;0.5,1,0),0))</f>
        <v>0</v>
      </c>
      <c r="AO208">
        <f>IF(Games[[#This Row],[Team]]="","",IF(Games[[#This Row],[Type]]="R",IF(Games[[#This Row],[Result]]=0.5,1,0),0))</f>
        <v>0</v>
      </c>
    </row>
    <row r="209" spans="1:41" x14ac:dyDescent="0.35">
      <c r="A209" s="8">
        <v>35358</v>
      </c>
      <c r="B209">
        <v>1996</v>
      </c>
      <c r="C209" t="s">
        <v>197</v>
      </c>
      <c r="D209" t="s">
        <v>199</v>
      </c>
      <c r="E209" t="s">
        <v>101</v>
      </c>
      <c r="F209" t="s">
        <v>116</v>
      </c>
      <c r="G209" t="s">
        <v>201</v>
      </c>
      <c r="H209">
        <v>34</v>
      </c>
      <c r="I209">
        <v>45</v>
      </c>
      <c r="J209">
        <v>0</v>
      </c>
      <c r="K20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0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0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0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09">
        <f>IF(Games[[#This Row],[Team]]="","",IF(Games[[#This Row],[Conf]]=Games[[#This Row],[OppConf]],1,0))</f>
        <v>1</v>
      </c>
      <c r="P209">
        <f>IF(Games[[#This Row],[Team]]="","",IF(AND(Games[[#This Row],[Conf]]=Games[[#This Row],[OppConf]],Games[[#This Row],[Div]]=Games[[#This Row],[OppDiv]]),1,0))</f>
        <v>0</v>
      </c>
      <c r="Q209">
        <f>IF(Games[[#This Row],[Team]]="","",_xlfn.MINIFS(Games[Date],Games[Season],Games[[#This Row],[Season]]))</f>
        <v>35309</v>
      </c>
      <c r="R209">
        <f>IF(Games[[#This Row],[Team]]="","",INT((Games[[#This Row],[Date]]-(Games[[#This Row],[SeasonStart]]-MOD(WEEKDAY(Games[[#This Row],[SeasonStart]],2)-2,7)))/7)+1)</f>
        <v>8</v>
      </c>
      <c r="S209">
        <f>IF(Games[[#This Row],[Team]]="","",COUNTIFS(Games[Team],Games[[#This Row],[Team]],Games[Season],Games[[#This Row],[Season]],Games[Week],"&lt;="&amp;Games[[#This Row],[Week]]))</f>
        <v>7</v>
      </c>
      <c r="T209">
        <f>IF(Games[[#This Row],[Team]]="","",_xlfn.MAXIFS(Games[Week],Games[Team],Games[[#This Row],[Team]],Games[Season],Games[[#This Row],[Season]],Games[Week],"&lt;"&amp;Games[[#This Row],[Week]]))</f>
        <v>7</v>
      </c>
      <c r="U209">
        <f>IF(Games[[#This Row],[Team]]="","",_xlfn.MAXIFS(Games[Week],Games[Team],Games[[#This Row],[Opponent]],Games[Season],Games[[#This Row],[Season]],Games[Week],"&lt;"&amp;Games[[#This Row],[Week]]))</f>
        <v>6</v>
      </c>
      <c r="V20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0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20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20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1442.9269306580461</v>
      </c>
      <c r="Z20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1588.2909383799722</v>
      </c>
      <c r="AA20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0.19950309510974609</v>
      </c>
      <c r="AB209">
        <f>IF(Games[[#This Row],[Team]]="","",Games[[#This Row],[PointsFor]]-Games[[#This Row],[PointsAgainst]])</f>
        <v>-11</v>
      </c>
      <c r="AC209">
        <f>IF(Games[[#This Row],[Team]]="","",IF(Games[[#This Row],[MOV]]&gt;0,1,IF(Games[[#This Row],[MOV]]=0,0.5,0)))</f>
        <v>0</v>
      </c>
      <c r="AD209">
        <f>IF(Games[[#This Row],[Team]]="","",--(OR(AND(Games[[#This Row],[ExpectedWin]]&gt;=0.5,Games[[#This Row],[Result]]=1),AND(Games[[#This Row],[ExpectedWin]]&lt;0.5,Games[[#This Row],[Result]]=0))))</f>
        <v>1</v>
      </c>
      <c r="AE209">
        <f>IF(Games[[#This Row],[Team]]="","",-(Games[[#This Row],[Result]]*LN(Games[[#This Row],[ExpectedWin]])+(1-Games[[#This Row],[Result]])*LN(1-Games[[#This Row],[ExpectedWin]])))</f>
        <v>0.22252261302348092</v>
      </c>
      <c r="AF209">
        <f>IF(Games[[#This Row],[Team]]="","",IF(Games[[#This Row],[Season]]&gt;=2021,17,16))</f>
        <v>16</v>
      </c>
      <c r="AG209">
        <f>IF(Games[[#This Row],[Team]]="","",KMax-(KMax-KFloor)*MIN(Games[[#This Row],[GamesPlayed]],Games[[#This Row],[SeasonLen]])/Games[[#This Row],[SeasonLen]])</f>
        <v>41.712499999999999</v>
      </c>
      <c r="AH209">
        <f>IF(Games[[#This Row],[Team]]="","",((ABS(Games[[#This Row],[MOV]])+3)^0.8)/(7.5+0.006*ABS(Games[[#This Row],[PreGmRate]]-Games[[#This Row],[OppPreGmRate]]))*IF(Games[[#This Row],[OT]]=1,0.7,1))</f>
        <v>0.98642407133991516</v>
      </c>
      <c r="AI20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9">
        <f>IF(Games[[#This Row],[Team]]="","",Games[[#This Row],[K]]*IF(Games[[#This Row],[DivG]]=1,DivMult,1)*IF(Games[[#This Row],[ConfG]]=1,ConfMult,1)*Games[[#This Row],[POMult]])</f>
        <v>42.546749999999996</v>
      </c>
      <c r="AK209">
        <f>IF(Games[[#This Row],[Team]]="","",(Games[[#This Row],[Keff]]*Games[[#This Row],[MOVMult]])*(Games[[#This Row],[Result]]-Games[[#This Row],[ExpectedWin]]))</f>
        <v>-8.3729730013668302</v>
      </c>
      <c r="AL209">
        <f>IF(Games[[#This Row],[Team]]="","",Games[[#This Row],[PreGmRate]]+Games[[#This Row],[RatingChange]])</f>
        <v>1434.5539576566794</v>
      </c>
      <c r="AM209">
        <f>IF(Games[[#This Row],[Team]]="","",IF(Games[[#This Row],[Type]]="R",IF(Games[[#This Row],[Result]]&gt;0.5,1,0),0))</f>
        <v>0</v>
      </c>
      <c r="AN209">
        <f>IF(Games[[#This Row],[Team]]="","",IF(Games[[#This Row],[Type]]="R",IF(Games[[#This Row],[Result]]&lt;0.5,1,0),0))</f>
        <v>1</v>
      </c>
      <c r="AO209">
        <f>IF(Games[[#This Row],[Team]]="","",IF(Games[[#This Row],[Type]]="R",IF(Games[[#This Row],[Result]]=0.5,1,0),0))</f>
        <v>0</v>
      </c>
    </row>
    <row r="210" spans="1:41" x14ac:dyDescent="0.35">
      <c r="A210" s="8">
        <v>35358</v>
      </c>
      <c r="B210">
        <v>1996</v>
      </c>
      <c r="C210" t="s">
        <v>197</v>
      </c>
      <c r="D210" t="s">
        <v>199</v>
      </c>
      <c r="E210" t="s">
        <v>153</v>
      </c>
      <c r="F210" t="s">
        <v>143</v>
      </c>
      <c r="G210" t="s">
        <v>200</v>
      </c>
      <c r="H210">
        <v>23</v>
      </c>
      <c r="I210">
        <v>13</v>
      </c>
      <c r="J210">
        <v>0</v>
      </c>
      <c r="K21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1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1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1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10">
        <f>IF(Games[[#This Row],[Team]]="","",IF(Games[[#This Row],[Conf]]=Games[[#This Row],[OppConf]],1,0))</f>
        <v>1</v>
      </c>
      <c r="P210">
        <f>IF(Games[[#This Row],[Team]]="","",IF(AND(Games[[#This Row],[Conf]]=Games[[#This Row],[OppConf]],Games[[#This Row],[Div]]=Games[[#This Row],[OppDiv]]),1,0))</f>
        <v>1</v>
      </c>
      <c r="Q210">
        <f>IF(Games[[#This Row],[Team]]="","",_xlfn.MINIFS(Games[Date],Games[Season],Games[[#This Row],[Season]]))</f>
        <v>35309</v>
      </c>
      <c r="R210">
        <f>IF(Games[[#This Row],[Team]]="","",INT((Games[[#This Row],[Date]]-(Games[[#This Row],[SeasonStart]]-MOD(WEEKDAY(Games[[#This Row],[SeasonStart]],2)-2,7)))/7)+1)</f>
        <v>8</v>
      </c>
      <c r="S210">
        <f>IF(Games[[#This Row],[Team]]="","",COUNTIFS(Games[Team],Games[[#This Row],[Team]],Games[Season],Games[[#This Row],[Season]],Games[Week],"&lt;="&amp;Games[[#This Row],[Week]]))</f>
        <v>7</v>
      </c>
      <c r="T210">
        <f>IF(Games[[#This Row],[Team]]="","",_xlfn.MAXIFS(Games[Week],Games[Team],Games[[#This Row],[Team]],Games[Season],Games[[#This Row],[Season]],Games[Week],"&lt;"&amp;Games[[#This Row],[Week]]))</f>
        <v>7</v>
      </c>
      <c r="U210">
        <f>IF(Games[[#This Row],[Team]]="","",_xlfn.MAXIFS(Games[Week],Games[Team],Games[[#This Row],[Opponent]],Games[Season],Games[[#This Row],[Season]],Games[Week],"&lt;"&amp;Games[[#This Row],[Week]]))</f>
        <v>7</v>
      </c>
      <c r="V21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1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1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1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1539.8806923268257</v>
      </c>
      <c r="Z21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1595.5776366363953</v>
      </c>
      <c r="AA21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0.52344477828994262</v>
      </c>
      <c r="AB210">
        <f>IF(Games[[#This Row],[Team]]="","",Games[[#This Row],[PointsFor]]-Games[[#This Row],[PointsAgainst]])</f>
        <v>10</v>
      </c>
      <c r="AC210">
        <f>IF(Games[[#This Row],[Team]]="","",IF(Games[[#This Row],[MOV]]&gt;0,1,IF(Games[[#This Row],[MOV]]=0,0.5,0)))</f>
        <v>1</v>
      </c>
      <c r="AD210">
        <f>IF(Games[[#This Row],[Team]]="","",--(OR(AND(Games[[#This Row],[ExpectedWin]]&gt;=0.5,Games[[#This Row],[Result]]=1),AND(Games[[#This Row],[ExpectedWin]]&lt;0.5,Games[[#This Row],[Result]]=0))))</f>
        <v>1</v>
      </c>
      <c r="AE210">
        <f>IF(Games[[#This Row],[Team]]="","",-(Games[[#This Row],[Result]]*LN(Games[[#This Row],[ExpectedWin]])+(1-Games[[#This Row],[Result]])*LN(1-Games[[#This Row],[ExpectedWin]])))</f>
        <v>0.64732373983259561</v>
      </c>
      <c r="AF210">
        <f>IF(Games[[#This Row],[Team]]="","",IF(Games[[#This Row],[Season]]&gt;=2021,17,16))</f>
        <v>16</v>
      </c>
      <c r="AG210">
        <f>IF(Games[[#This Row],[Team]]="","",KMax-(KMax-KFloor)*MIN(Games[[#This Row],[GamesPlayed]],Games[[#This Row],[SeasonLen]])/Games[[#This Row],[SeasonLen]])</f>
        <v>41.712499999999999</v>
      </c>
      <c r="AH210">
        <f>IF(Games[[#This Row],[Team]]="","",((ABS(Games[[#This Row],[MOV]])+3)^0.8)/(7.5+0.006*ABS(Games[[#This Row],[PreGmRate]]-Games[[#This Row],[OppPreGmRate]]))*IF(Games[[#This Row],[OT]]=1,0.7,1))</f>
        <v>0.99348438088429758</v>
      </c>
      <c r="AI21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0">
        <f>IF(Games[[#This Row],[Team]]="","",Games[[#This Row],[K]]*IF(Games[[#This Row],[DivG]]=1,DivMult,1)*IF(Games[[#This Row],[ConfG]]=1,ConfMult,1)*Games[[#This Row],[POMult]])</f>
        <v>46.801425000000002</v>
      </c>
      <c r="AK210">
        <f>IF(Games[[#This Row],[Team]]="","",(Games[[#This Row],[Keff]]*Games[[#This Row],[MOVMult]])*(Games[[#This Row],[Result]]-Games[[#This Row],[ExpectedWin]]))</f>
        <v>22.158142594308224</v>
      </c>
      <c r="AL210">
        <f>IF(Games[[#This Row],[Team]]="","",Games[[#This Row],[PreGmRate]]+Games[[#This Row],[RatingChange]])</f>
        <v>1562.0388349211339</v>
      </c>
      <c r="AM210">
        <f>IF(Games[[#This Row],[Team]]="","",IF(Games[[#This Row],[Type]]="R",IF(Games[[#This Row],[Result]]&gt;0.5,1,0),0))</f>
        <v>1</v>
      </c>
      <c r="AN210">
        <f>IF(Games[[#This Row],[Team]]="","",IF(Games[[#This Row],[Type]]="R",IF(Games[[#This Row],[Result]]&lt;0.5,1,0),0))</f>
        <v>0</v>
      </c>
      <c r="AO210">
        <f>IF(Games[[#This Row],[Team]]="","",IF(Games[[#This Row],[Type]]="R",IF(Games[[#This Row],[Result]]=0.5,1,0),0))</f>
        <v>0</v>
      </c>
    </row>
    <row r="211" spans="1:41" x14ac:dyDescent="0.35">
      <c r="A211" s="8">
        <v>35358</v>
      </c>
      <c r="B211">
        <v>1996</v>
      </c>
      <c r="C211" t="s">
        <v>197</v>
      </c>
      <c r="D211" t="s">
        <v>199</v>
      </c>
      <c r="E211" t="s">
        <v>143</v>
      </c>
      <c r="F211" t="s">
        <v>153</v>
      </c>
      <c r="G211" t="s">
        <v>201</v>
      </c>
      <c r="H211">
        <v>13</v>
      </c>
      <c r="I211">
        <v>23</v>
      </c>
      <c r="J211">
        <v>0</v>
      </c>
      <c r="K21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1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1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1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11">
        <f>IF(Games[[#This Row],[Team]]="","",IF(Games[[#This Row],[Conf]]=Games[[#This Row],[OppConf]],1,0))</f>
        <v>1</v>
      </c>
      <c r="P211">
        <f>IF(Games[[#This Row],[Team]]="","",IF(AND(Games[[#This Row],[Conf]]=Games[[#This Row],[OppConf]],Games[[#This Row],[Div]]=Games[[#This Row],[OppDiv]]),1,0))</f>
        <v>1</v>
      </c>
      <c r="Q211">
        <f>IF(Games[[#This Row],[Team]]="","",_xlfn.MINIFS(Games[Date],Games[Season],Games[[#This Row],[Season]]))</f>
        <v>35309</v>
      </c>
      <c r="R211">
        <f>IF(Games[[#This Row],[Team]]="","",INT((Games[[#This Row],[Date]]-(Games[[#This Row],[SeasonStart]]-MOD(WEEKDAY(Games[[#This Row],[SeasonStart]],2)-2,7)))/7)+1)</f>
        <v>8</v>
      </c>
      <c r="S211">
        <f>IF(Games[[#This Row],[Team]]="","",COUNTIFS(Games[Team],Games[[#This Row],[Team]],Games[Season],Games[[#This Row],[Season]],Games[Week],"&lt;="&amp;Games[[#This Row],[Week]]))</f>
        <v>7</v>
      </c>
      <c r="T211">
        <f>IF(Games[[#This Row],[Team]]="","",_xlfn.MAXIFS(Games[Week],Games[Team],Games[[#This Row],[Team]],Games[Season],Games[[#This Row],[Season]],Games[Week],"&lt;"&amp;Games[[#This Row],[Week]]))</f>
        <v>7</v>
      </c>
      <c r="U211">
        <f>IF(Games[[#This Row],[Team]]="","",_xlfn.MAXIFS(Games[Week],Games[Team],Games[[#This Row],[Opponent]],Games[Season],Games[[#This Row],[Season]],Games[Week],"&lt;"&amp;Games[[#This Row],[Week]]))</f>
        <v>7</v>
      </c>
      <c r="V21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1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1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1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1595.5776366363953</v>
      </c>
      <c r="Z21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1539.8806923268257</v>
      </c>
      <c r="AA21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0.47655522171005738</v>
      </c>
      <c r="AB211">
        <f>IF(Games[[#This Row],[Team]]="","",Games[[#This Row],[PointsFor]]-Games[[#This Row],[PointsAgainst]])</f>
        <v>-10</v>
      </c>
      <c r="AC211">
        <f>IF(Games[[#This Row],[Team]]="","",IF(Games[[#This Row],[MOV]]&gt;0,1,IF(Games[[#This Row],[MOV]]=0,0.5,0)))</f>
        <v>0</v>
      </c>
      <c r="AD211">
        <f>IF(Games[[#This Row],[Team]]="","",--(OR(AND(Games[[#This Row],[ExpectedWin]]&gt;=0.5,Games[[#This Row],[Result]]=1),AND(Games[[#This Row],[ExpectedWin]]&lt;0.5,Games[[#This Row],[Result]]=0))))</f>
        <v>1</v>
      </c>
      <c r="AE211">
        <f>IF(Games[[#This Row],[Team]]="","",-(Games[[#This Row],[Result]]*LN(Games[[#This Row],[ExpectedWin]])+(1-Games[[#This Row],[Result]])*LN(1-Games[[#This Row],[ExpectedWin]])))</f>
        <v>0.64732373983259561</v>
      </c>
      <c r="AF211">
        <f>IF(Games[[#This Row],[Team]]="","",IF(Games[[#This Row],[Season]]&gt;=2021,17,16))</f>
        <v>16</v>
      </c>
      <c r="AG211">
        <f>IF(Games[[#This Row],[Team]]="","",KMax-(KMax-KFloor)*MIN(Games[[#This Row],[GamesPlayed]],Games[[#This Row],[SeasonLen]])/Games[[#This Row],[SeasonLen]])</f>
        <v>41.712499999999999</v>
      </c>
      <c r="AH211">
        <f>IF(Games[[#This Row],[Team]]="","",((ABS(Games[[#This Row],[MOV]])+3)^0.8)/(7.5+0.006*ABS(Games[[#This Row],[PreGmRate]]-Games[[#This Row],[OppPreGmRate]]))*IF(Games[[#This Row],[OT]]=1,0.7,1))</f>
        <v>0.99348438088429758</v>
      </c>
      <c r="AI21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1">
        <f>IF(Games[[#This Row],[Team]]="","",Games[[#This Row],[K]]*IF(Games[[#This Row],[DivG]]=1,DivMult,1)*IF(Games[[#This Row],[ConfG]]=1,ConfMult,1)*Games[[#This Row],[POMult]])</f>
        <v>46.801425000000002</v>
      </c>
      <c r="AK211">
        <f>IF(Games[[#This Row],[Team]]="","",(Games[[#This Row],[Keff]]*Games[[#This Row],[MOVMult]])*(Games[[#This Row],[Result]]-Games[[#This Row],[ExpectedWin]]))</f>
        <v>-22.158142594308224</v>
      </c>
      <c r="AL211">
        <f>IF(Games[[#This Row],[Team]]="","",Games[[#This Row],[PreGmRate]]+Games[[#This Row],[RatingChange]])</f>
        <v>1573.4194940420871</v>
      </c>
      <c r="AM211">
        <f>IF(Games[[#This Row],[Team]]="","",IF(Games[[#This Row],[Type]]="R",IF(Games[[#This Row],[Result]]&gt;0.5,1,0),0))</f>
        <v>0</v>
      </c>
      <c r="AN211">
        <f>IF(Games[[#This Row],[Team]]="","",IF(Games[[#This Row],[Type]]="R",IF(Games[[#This Row],[Result]]&lt;0.5,1,0),0))</f>
        <v>1</v>
      </c>
      <c r="AO211">
        <f>IF(Games[[#This Row],[Team]]="","",IF(Games[[#This Row],[Type]]="R",IF(Games[[#This Row],[Result]]=0.5,1,0),0))</f>
        <v>0</v>
      </c>
    </row>
    <row r="212" spans="1:41" x14ac:dyDescent="0.35">
      <c r="A212" s="8">
        <v>35358</v>
      </c>
      <c r="B212">
        <v>1996</v>
      </c>
      <c r="C212" t="s">
        <v>197</v>
      </c>
      <c r="D212" t="s">
        <v>199</v>
      </c>
      <c r="E212" t="s">
        <v>150</v>
      </c>
      <c r="F212" t="s">
        <v>124</v>
      </c>
      <c r="G212" t="s">
        <v>200</v>
      </c>
      <c r="H212">
        <v>17</v>
      </c>
      <c r="I212">
        <v>14</v>
      </c>
      <c r="J212">
        <v>0</v>
      </c>
      <c r="K21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1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1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1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12">
        <f>IF(Games[[#This Row],[Team]]="","",IF(Games[[#This Row],[Conf]]=Games[[#This Row],[OppConf]],1,0))</f>
        <v>0</v>
      </c>
      <c r="P212">
        <f>IF(Games[[#This Row],[Team]]="","",IF(AND(Games[[#This Row],[Conf]]=Games[[#This Row],[OppConf]],Games[[#This Row],[Div]]=Games[[#This Row],[OppDiv]]),1,0))</f>
        <v>0</v>
      </c>
      <c r="Q212">
        <f>IF(Games[[#This Row],[Team]]="","",_xlfn.MINIFS(Games[Date],Games[Season],Games[[#This Row],[Season]]))</f>
        <v>35309</v>
      </c>
      <c r="R212">
        <f>IF(Games[[#This Row],[Team]]="","",INT((Games[[#This Row],[Date]]-(Games[[#This Row],[SeasonStart]]-MOD(WEEKDAY(Games[[#This Row],[SeasonStart]],2)-2,7)))/7)+1)</f>
        <v>8</v>
      </c>
      <c r="S212">
        <f>IF(Games[[#This Row],[Team]]="","",COUNTIFS(Games[Team],Games[[#This Row],[Team]],Games[Season],Games[[#This Row],[Season]],Games[Week],"&lt;="&amp;Games[[#This Row],[Week]]))</f>
        <v>7</v>
      </c>
      <c r="T212">
        <f>IF(Games[[#This Row],[Team]]="","",_xlfn.MAXIFS(Games[Week],Games[Team],Games[[#This Row],[Team]],Games[Season],Games[[#This Row],[Season]],Games[Week],"&lt;"&amp;Games[[#This Row],[Week]]))</f>
        <v>7</v>
      </c>
      <c r="U212">
        <f>IF(Games[[#This Row],[Team]]="","",_xlfn.MAXIFS(Games[Week],Games[Team],Games[[#This Row],[Opponent]],Games[Season],Games[[#This Row],[Season]],Games[Week],"&lt;"&amp;Games[[#This Row],[Week]]))</f>
        <v>7</v>
      </c>
      <c r="V21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1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1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1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1394.4748091851386</v>
      </c>
      <c r="Z21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1483.9576001963958</v>
      </c>
      <c r="AA21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0.47486145507330896</v>
      </c>
      <c r="AB212">
        <f>IF(Games[[#This Row],[Team]]="","",Games[[#This Row],[PointsFor]]-Games[[#This Row],[PointsAgainst]])</f>
        <v>3</v>
      </c>
      <c r="AC212">
        <f>IF(Games[[#This Row],[Team]]="","",IF(Games[[#This Row],[MOV]]&gt;0,1,IF(Games[[#This Row],[MOV]]=0,0.5,0)))</f>
        <v>1</v>
      </c>
      <c r="AD212">
        <f>IF(Games[[#This Row],[Team]]="","",--(OR(AND(Games[[#This Row],[ExpectedWin]]&gt;=0.5,Games[[#This Row],[Result]]=1),AND(Games[[#This Row],[ExpectedWin]]&lt;0.5,Games[[#This Row],[Result]]=0))))</f>
        <v>0</v>
      </c>
      <c r="AE212">
        <f>IF(Games[[#This Row],[Team]]="","",-(Games[[#This Row],[Result]]*LN(Games[[#This Row],[ExpectedWin]])+(1-Games[[#This Row],[Result]])*LN(1-Games[[#This Row],[ExpectedWin]])))</f>
        <v>0.74473219102236876</v>
      </c>
      <c r="AF212">
        <f>IF(Games[[#This Row],[Team]]="","",IF(Games[[#This Row],[Season]]&gt;=2021,17,16))</f>
        <v>16</v>
      </c>
      <c r="AG212">
        <f>IF(Games[[#This Row],[Team]]="","",KMax-(KMax-KFloor)*MIN(Games[[#This Row],[GamesPlayed]],Games[[#This Row],[SeasonLen]])/Games[[#This Row],[SeasonLen]])</f>
        <v>41.712499999999999</v>
      </c>
      <c r="AH212">
        <f>IF(Games[[#This Row],[Team]]="","",((ABS(Games[[#This Row],[MOV]])+3)^0.8)/(7.5+0.006*ABS(Games[[#This Row],[PreGmRate]]-Games[[#This Row],[OppPreGmRate]]))*IF(Games[[#This Row],[OT]]=1,0.7,1))</f>
        <v>0.5217141447886704</v>
      </c>
      <c r="AI21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2">
        <f>IF(Games[[#This Row],[Team]]="","",Games[[#This Row],[K]]*IF(Games[[#This Row],[DivG]]=1,DivMult,1)*IF(Games[[#This Row],[ConfG]]=1,ConfMult,1)*Games[[#This Row],[POMult]])</f>
        <v>41.712499999999999</v>
      </c>
      <c r="AK212">
        <f>IF(Games[[#This Row],[Team]]="","",(Games[[#This Row],[Keff]]*Games[[#This Row],[MOVMult]])*(Games[[#This Row],[Result]]-Games[[#This Row],[ExpectedWin]]))</f>
        <v>11.428065678730981</v>
      </c>
      <c r="AL212">
        <f>IF(Games[[#This Row],[Team]]="","",Games[[#This Row],[PreGmRate]]+Games[[#This Row],[RatingChange]])</f>
        <v>1405.9028748638696</v>
      </c>
      <c r="AM212">
        <f>IF(Games[[#This Row],[Team]]="","",IF(Games[[#This Row],[Type]]="R",IF(Games[[#This Row],[Result]]&gt;0.5,1,0),0))</f>
        <v>1</v>
      </c>
      <c r="AN212">
        <f>IF(Games[[#This Row],[Team]]="","",IF(Games[[#This Row],[Type]]="R",IF(Games[[#This Row],[Result]]&lt;0.5,1,0),0))</f>
        <v>0</v>
      </c>
      <c r="AO212">
        <f>IF(Games[[#This Row],[Team]]="","",IF(Games[[#This Row],[Type]]="R",IF(Games[[#This Row],[Result]]=0.5,1,0),0))</f>
        <v>0</v>
      </c>
    </row>
    <row r="213" spans="1:41" x14ac:dyDescent="0.35">
      <c r="A213" s="8">
        <v>35358</v>
      </c>
      <c r="B213">
        <v>1996</v>
      </c>
      <c r="C213" t="s">
        <v>197</v>
      </c>
      <c r="D213" t="s">
        <v>199</v>
      </c>
      <c r="E213" t="s">
        <v>124</v>
      </c>
      <c r="F213" t="s">
        <v>150</v>
      </c>
      <c r="G213" t="s">
        <v>201</v>
      </c>
      <c r="H213">
        <v>14</v>
      </c>
      <c r="I213">
        <v>17</v>
      </c>
      <c r="J213">
        <v>0</v>
      </c>
      <c r="K21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1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1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1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13">
        <f>IF(Games[[#This Row],[Team]]="","",IF(Games[[#This Row],[Conf]]=Games[[#This Row],[OppConf]],1,0))</f>
        <v>0</v>
      </c>
      <c r="P213">
        <f>IF(Games[[#This Row],[Team]]="","",IF(AND(Games[[#This Row],[Conf]]=Games[[#This Row],[OppConf]],Games[[#This Row],[Div]]=Games[[#This Row],[OppDiv]]),1,0))</f>
        <v>0</v>
      </c>
      <c r="Q213">
        <f>IF(Games[[#This Row],[Team]]="","",_xlfn.MINIFS(Games[Date],Games[Season],Games[[#This Row],[Season]]))</f>
        <v>35309</v>
      </c>
      <c r="R213">
        <f>IF(Games[[#This Row],[Team]]="","",INT((Games[[#This Row],[Date]]-(Games[[#This Row],[SeasonStart]]-MOD(WEEKDAY(Games[[#This Row],[SeasonStart]],2)-2,7)))/7)+1)</f>
        <v>8</v>
      </c>
      <c r="S213">
        <f>IF(Games[[#This Row],[Team]]="","",COUNTIFS(Games[Team],Games[[#This Row],[Team]],Games[Season],Games[[#This Row],[Season]],Games[Week],"&lt;="&amp;Games[[#This Row],[Week]]))</f>
        <v>8</v>
      </c>
      <c r="T213">
        <f>IF(Games[[#This Row],[Team]]="","",_xlfn.MAXIFS(Games[Week],Games[Team],Games[[#This Row],[Team]],Games[Season],Games[[#This Row],[Season]],Games[Week],"&lt;"&amp;Games[[#This Row],[Week]]))</f>
        <v>7</v>
      </c>
      <c r="U213">
        <f>IF(Games[[#This Row],[Team]]="","",_xlfn.MAXIFS(Games[Week],Games[Team],Games[[#This Row],[Opponent]],Games[Season],Games[[#This Row],[Season]],Games[Week],"&lt;"&amp;Games[[#This Row],[Week]]))</f>
        <v>7</v>
      </c>
      <c r="V21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1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1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1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1483.9576001963958</v>
      </c>
      <c r="Z21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1394.4748091851386</v>
      </c>
      <c r="AA21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0.52513854492669099</v>
      </c>
      <c r="AB213">
        <f>IF(Games[[#This Row],[Team]]="","",Games[[#This Row],[PointsFor]]-Games[[#This Row],[PointsAgainst]])</f>
        <v>-3</v>
      </c>
      <c r="AC213">
        <f>IF(Games[[#This Row],[Team]]="","",IF(Games[[#This Row],[MOV]]&gt;0,1,IF(Games[[#This Row],[MOV]]=0,0.5,0)))</f>
        <v>0</v>
      </c>
      <c r="AD213">
        <f>IF(Games[[#This Row],[Team]]="","",--(OR(AND(Games[[#This Row],[ExpectedWin]]&gt;=0.5,Games[[#This Row],[Result]]=1),AND(Games[[#This Row],[ExpectedWin]]&lt;0.5,Games[[#This Row],[Result]]=0))))</f>
        <v>0</v>
      </c>
      <c r="AE213">
        <f>IF(Games[[#This Row],[Team]]="","",-(Games[[#This Row],[Result]]*LN(Games[[#This Row],[ExpectedWin]])+(1-Games[[#This Row],[Result]])*LN(1-Games[[#This Row],[ExpectedWin]])))</f>
        <v>0.74473219102236865</v>
      </c>
      <c r="AF213">
        <f>IF(Games[[#This Row],[Team]]="","",IF(Games[[#This Row],[Season]]&gt;=2021,17,16))</f>
        <v>16</v>
      </c>
      <c r="AG213">
        <f>IF(Games[[#This Row],[Team]]="","",KMax-(KMax-KFloor)*MIN(Games[[#This Row],[GamesPlayed]],Games[[#This Row],[SeasonLen]])/Games[[#This Row],[SeasonLen]])</f>
        <v>41.1</v>
      </c>
      <c r="AH213">
        <f>IF(Games[[#This Row],[Team]]="","",((ABS(Games[[#This Row],[MOV]])+3)^0.8)/(7.5+0.006*ABS(Games[[#This Row],[PreGmRate]]-Games[[#This Row],[OppPreGmRate]]))*IF(Games[[#This Row],[OT]]=1,0.7,1))</f>
        <v>0.5217141447886704</v>
      </c>
      <c r="AI21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3">
        <f>IF(Games[[#This Row],[Team]]="","",Games[[#This Row],[K]]*IF(Games[[#This Row],[DivG]]=1,DivMult,1)*IF(Games[[#This Row],[ConfG]]=1,ConfMult,1)*Games[[#This Row],[POMult]])</f>
        <v>41.1</v>
      </c>
      <c r="AK213">
        <f>IF(Games[[#This Row],[Team]]="","",(Games[[#This Row],[Keff]]*Games[[#This Row],[MOVMult]])*(Games[[#This Row],[Result]]-Games[[#This Row],[ExpectedWin]]))</f>
        <v>-11.26025770202801</v>
      </c>
      <c r="AL213">
        <f>IF(Games[[#This Row],[Team]]="","",Games[[#This Row],[PreGmRate]]+Games[[#This Row],[RatingChange]])</f>
        <v>1472.6973424943678</v>
      </c>
      <c r="AM213">
        <f>IF(Games[[#This Row],[Team]]="","",IF(Games[[#This Row],[Type]]="R",IF(Games[[#This Row],[Result]]&gt;0.5,1,0),0))</f>
        <v>0</v>
      </c>
      <c r="AN213">
        <f>IF(Games[[#This Row],[Team]]="","",IF(Games[[#This Row],[Type]]="R",IF(Games[[#This Row],[Result]]&lt;0.5,1,0),0))</f>
        <v>1</v>
      </c>
      <c r="AO213">
        <f>IF(Games[[#This Row],[Team]]="","",IF(Games[[#This Row],[Type]]="R",IF(Games[[#This Row],[Result]]=0.5,1,0),0))</f>
        <v>0</v>
      </c>
    </row>
    <row r="214" spans="1:41" x14ac:dyDescent="0.35">
      <c r="A214" s="8">
        <v>35359</v>
      </c>
      <c r="B214">
        <v>1996</v>
      </c>
      <c r="C214" t="s">
        <v>197</v>
      </c>
      <c r="D214" t="s">
        <v>199</v>
      </c>
      <c r="E214" t="s">
        <v>140</v>
      </c>
      <c r="F214" t="s">
        <v>145</v>
      </c>
      <c r="G214" t="s">
        <v>201</v>
      </c>
      <c r="H214">
        <v>23</v>
      </c>
      <c r="I214">
        <v>14</v>
      </c>
      <c r="J214">
        <v>0</v>
      </c>
      <c r="K21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1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1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1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14">
        <f>IF(Games[[#This Row],[Team]]="","",IF(Games[[#This Row],[Conf]]=Games[[#This Row],[OppConf]],1,0))</f>
        <v>1</v>
      </c>
      <c r="P214">
        <f>IF(Games[[#This Row],[Team]]="","",IF(AND(Games[[#This Row],[Conf]]=Games[[#This Row],[OppConf]],Games[[#This Row],[Div]]=Games[[#This Row],[OppDiv]]),1,0))</f>
        <v>1</v>
      </c>
      <c r="Q214">
        <f>IF(Games[[#This Row],[Team]]="","",_xlfn.MINIFS(Games[Date],Games[Season],Games[[#This Row],[Season]]))</f>
        <v>35309</v>
      </c>
      <c r="R214">
        <f>IF(Games[[#This Row],[Team]]="","",INT((Games[[#This Row],[Date]]-(Games[[#This Row],[SeasonStart]]-MOD(WEEKDAY(Games[[#This Row],[SeasonStart]],2)-2,7)))/7)+1)</f>
        <v>8</v>
      </c>
      <c r="S214">
        <f>IF(Games[[#This Row],[Team]]="","",COUNTIFS(Games[Team],Games[[#This Row],[Team]],Games[Season],Games[[#This Row],[Season]],Games[Week],"&lt;="&amp;Games[[#This Row],[Week]]))</f>
        <v>8</v>
      </c>
      <c r="T214">
        <f>IF(Games[[#This Row],[Team]]="","",_xlfn.MAXIFS(Games[Week],Games[Team],Games[[#This Row],[Team]],Games[Season],Games[[#This Row],[Season]],Games[Week],"&lt;"&amp;Games[[#This Row],[Week]]))</f>
        <v>7</v>
      </c>
      <c r="U214">
        <f>IF(Games[[#This Row],[Team]]="","",_xlfn.MAXIFS(Games[Week],Games[Team],Games[[#This Row],[Opponent]],Games[Season],Games[[#This Row],[Season]],Games[Week],"&lt;"&amp;Games[[#This Row],[Week]]))</f>
        <v>6</v>
      </c>
      <c r="V21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21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15</v>
      </c>
      <c r="X21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21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1520.7204015395744</v>
      </c>
      <c r="Z21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1532.1918228271732</v>
      </c>
      <c r="AA21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0.35008735978825545</v>
      </c>
      <c r="AB214">
        <f>IF(Games[[#This Row],[Team]]="","",Games[[#This Row],[PointsFor]]-Games[[#This Row],[PointsAgainst]])</f>
        <v>9</v>
      </c>
      <c r="AC214">
        <f>IF(Games[[#This Row],[Team]]="","",IF(Games[[#This Row],[MOV]]&gt;0,1,IF(Games[[#This Row],[MOV]]=0,0.5,0)))</f>
        <v>1</v>
      </c>
      <c r="AD214">
        <f>IF(Games[[#This Row],[Team]]="","",--(OR(AND(Games[[#This Row],[ExpectedWin]]&gt;=0.5,Games[[#This Row],[Result]]=1),AND(Games[[#This Row],[ExpectedWin]]&lt;0.5,Games[[#This Row],[Result]]=0))))</f>
        <v>0</v>
      </c>
      <c r="AE214">
        <f>IF(Games[[#This Row],[Team]]="","",-(Games[[#This Row],[Result]]*LN(Games[[#This Row],[ExpectedWin]])+(1-Games[[#This Row],[Result]])*LN(1-Games[[#This Row],[ExpectedWin]])))</f>
        <v>1.0495725562484088</v>
      </c>
      <c r="AF214">
        <f>IF(Games[[#This Row],[Team]]="","",IF(Games[[#This Row],[Season]]&gt;=2021,17,16))</f>
        <v>16</v>
      </c>
      <c r="AG214">
        <f>IF(Games[[#This Row],[Team]]="","",KMax-(KMax-KFloor)*MIN(Games[[#This Row],[GamesPlayed]],Games[[#This Row],[SeasonLen]])/Games[[#This Row],[SeasonLen]])</f>
        <v>41.1</v>
      </c>
      <c r="AH214">
        <f>IF(Games[[#This Row],[Team]]="","",((ABS(Games[[#This Row],[MOV]])+3)^0.8)/(7.5+0.006*ABS(Games[[#This Row],[PreGmRate]]-Games[[#This Row],[OppPreGmRate]]))*IF(Games[[#This Row],[OT]]=1,0.7,1))</f>
        <v>0.96453131101811429</v>
      </c>
      <c r="AI21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4">
        <f>IF(Games[[#This Row],[Team]]="","",Games[[#This Row],[K]]*IF(Games[[#This Row],[DivG]]=1,DivMult,1)*IF(Games[[#This Row],[ConfG]]=1,ConfMult,1)*Games[[#This Row],[POMult]])</f>
        <v>46.114200000000011</v>
      </c>
      <c r="AK214">
        <f>IF(Games[[#This Row],[Team]]="","",(Games[[#This Row],[Keff]]*Games[[#This Row],[MOVMult]])*(Games[[#This Row],[Result]]-Games[[#This Row],[ExpectedWin]]))</f>
        <v>28.907197718473196</v>
      </c>
      <c r="AL214">
        <f>IF(Games[[#This Row],[Team]]="","",Games[[#This Row],[PreGmRate]]+Games[[#This Row],[RatingChange]])</f>
        <v>1549.6275992580477</v>
      </c>
      <c r="AM214">
        <f>IF(Games[[#This Row],[Team]]="","",IF(Games[[#This Row],[Type]]="R",IF(Games[[#This Row],[Result]]&gt;0.5,1,0),0))</f>
        <v>1</v>
      </c>
      <c r="AN214">
        <f>IF(Games[[#This Row],[Team]]="","",IF(Games[[#This Row],[Type]]="R",IF(Games[[#This Row],[Result]]&lt;0.5,1,0),0))</f>
        <v>0</v>
      </c>
      <c r="AO214">
        <f>IF(Games[[#This Row],[Team]]="","",IF(Games[[#This Row],[Type]]="R",IF(Games[[#This Row],[Result]]=0.5,1,0),0))</f>
        <v>0</v>
      </c>
    </row>
    <row r="215" spans="1:41" x14ac:dyDescent="0.35">
      <c r="A215" s="8">
        <v>35359</v>
      </c>
      <c r="B215">
        <v>1996</v>
      </c>
      <c r="C215" t="s">
        <v>197</v>
      </c>
      <c r="D215" t="s">
        <v>199</v>
      </c>
      <c r="E215" t="s">
        <v>145</v>
      </c>
      <c r="F215" t="s">
        <v>140</v>
      </c>
      <c r="G215" t="s">
        <v>200</v>
      </c>
      <c r="H215">
        <v>14</v>
      </c>
      <c r="I215">
        <v>23</v>
      </c>
      <c r="J215">
        <v>0</v>
      </c>
      <c r="K21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1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1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1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15">
        <f>IF(Games[[#This Row],[Team]]="","",IF(Games[[#This Row],[Conf]]=Games[[#This Row],[OppConf]],1,0))</f>
        <v>1</v>
      </c>
      <c r="P215">
        <f>IF(Games[[#This Row],[Team]]="","",IF(AND(Games[[#This Row],[Conf]]=Games[[#This Row],[OppConf]],Games[[#This Row],[Div]]=Games[[#This Row],[OppDiv]]),1,0))</f>
        <v>1</v>
      </c>
      <c r="Q215">
        <f>IF(Games[[#This Row],[Team]]="","",_xlfn.MINIFS(Games[Date],Games[Season],Games[[#This Row],[Season]]))</f>
        <v>35309</v>
      </c>
      <c r="R215">
        <f>IF(Games[[#This Row],[Team]]="","",INT((Games[[#This Row],[Date]]-(Games[[#This Row],[SeasonStart]]-MOD(WEEKDAY(Games[[#This Row],[SeasonStart]],2)-2,7)))/7)+1)</f>
        <v>8</v>
      </c>
      <c r="S215">
        <f>IF(Games[[#This Row],[Team]]="","",COUNTIFS(Games[Team],Games[[#This Row],[Team]],Games[Season],Games[[#This Row],[Season]],Games[Week],"&lt;="&amp;Games[[#This Row],[Week]]))</f>
        <v>7</v>
      </c>
      <c r="T215">
        <f>IF(Games[[#This Row],[Team]]="","",_xlfn.MAXIFS(Games[Week],Games[Team],Games[[#This Row],[Team]],Games[Season],Games[[#This Row],[Season]],Games[Week],"&lt;"&amp;Games[[#This Row],[Week]]))</f>
        <v>6</v>
      </c>
      <c r="U215">
        <f>IF(Games[[#This Row],[Team]]="","",_xlfn.MAXIFS(Games[Week],Games[Team],Games[[#This Row],[Opponent]],Games[Season],Games[[#This Row],[Season]],Games[Week],"&lt;"&amp;Games[[#This Row],[Week]]))</f>
        <v>7</v>
      </c>
      <c r="V21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15</v>
      </c>
      <c r="W21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21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21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1532.1918228271732</v>
      </c>
      <c r="Z21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1520.7204015395744</v>
      </c>
      <c r="AA21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0.64991264021174455</v>
      </c>
      <c r="AB215">
        <f>IF(Games[[#This Row],[Team]]="","",Games[[#This Row],[PointsFor]]-Games[[#This Row],[PointsAgainst]])</f>
        <v>-9</v>
      </c>
      <c r="AC215">
        <f>IF(Games[[#This Row],[Team]]="","",IF(Games[[#This Row],[MOV]]&gt;0,1,IF(Games[[#This Row],[MOV]]=0,0.5,0)))</f>
        <v>0</v>
      </c>
      <c r="AD215">
        <f>IF(Games[[#This Row],[Team]]="","",--(OR(AND(Games[[#This Row],[ExpectedWin]]&gt;=0.5,Games[[#This Row],[Result]]=1),AND(Games[[#This Row],[ExpectedWin]]&lt;0.5,Games[[#This Row],[Result]]=0))))</f>
        <v>0</v>
      </c>
      <c r="AE215">
        <f>IF(Games[[#This Row],[Team]]="","",-(Games[[#This Row],[Result]]*LN(Games[[#This Row],[ExpectedWin]])+(1-Games[[#This Row],[Result]])*LN(1-Games[[#This Row],[ExpectedWin]])))</f>
        <v>1.0495725562484088</v>
      </c>
      <c r="AF215">
        <f>IF(Games[[#This Row],[Team]]="","",IF(Games[[#This Row],[Season]]&gt;=2021,17,16))</f>
        <v>16</v>
      </c>
      <c r="AG215">
        <f>IF(Games[[#This Row],[Team]]="","",KMax-(KMax-KFloor)*MIN(Games[[#This Row],[GamesPlayed]],Games[[#This Row],[SeasonLen]])/Games[[#This Row],[SeasonLen]])</f>
        <v>41.712499999999999</v>
      </c>
      <c r="AH215">
        <f>IF(Games[[#This Row],[Team]]="","",((ABS(Games[[#This Row],[MOV]])+3)^0.8)/(7.5+0.006*ABS(Games[[#This Row],[PreGmRate]]-Games[[#This Row],[OppPreGmRate]]))*IF(Games[[#This Row],[OT]]=1,0.7,1))</f>
        <v>0.96453131101811429</v>
      </c>
      <c r="AI21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5">
        <f>IF(Games[[#This Row],[Team]]="","",Games[[#This Row],[K]]*IF(Games[[#This Row],[DivG]]=1,DivMult,1)*IF(Games[[#This Row],[ConfG]]=1,ConfMult,1)*Games[[#This Row],[POMult]])</f>
        <v>46.801425000000002</v>
      </c>
      <c r="AK215">
        <f>IF(Games[[#This Row],[Team]]="","",(Games[[#This Row],[Keff]]*Games[[#This Row],[MOVMult]])*(Games[[#This Row],[Result]]-Games[[#This Row],[ExpectedWin]]))</f>
        <v>-29.337992331674279</v>
      </c>
      <c r="AL215">
        <f>IF(Games[[#This Row],[Team]]="","",Games[[#This Row],[PreGmRate]]+Games[[#This Row],[RatingChange]])</f>
        <v>1502.8538304954989</v>
      </c>
      <c r="AM215">
        <f>IF(Games[[#This Row],[Team]]="","",IF(Games[[#This Row],[Type]]="R",IF(Games[[#This Row],[Result]]&gt;0.5,1,0),0))</f>
        <v>0</v>
      </c>
      <c r="AN215">
        <f>IF(Games[[#This Row],[Team]]="","",IF(Games[[#This Row],[Type]]="R",IF(Games[[#This Row],[Result]]&lt;0.5,1,0),0))</f>
        <v>1</v>
      </c>
      <c r="AO215">
        <f>IF(Games[[#This Row],[Team]]="","",IF(Games[[#This Row],[Type]]="R",IF(Games[[#This Row],[Result]]=0.5,1,0),0))</f>
        <v>0</v>
      </c>
    </row>
    <row r="216" spans="1:41" x14ac:dyDescent="0.35">
      <c r="A216" s="8">
        <v>35365</v>
      </c>
      <c r="B216">
        <v>1996</v>
      </c>
      <c r="C216" t="s">
        <v>197</v>
      </c>
      <c r="D216" t="s">
        <v>199</v>
      </c>
      <c r="E216" t="s">
        <v>143</v>
      </c>
      <c r="F216" t="s">
        <v>98</v>
      </c>
      <c r="G216" t="s">
        <v>201</v>
      </c>
      <c r="H216">
        <v>20</v>
      </c>
      <c r="I216">
        <v>17</v>
      </c>
      <c r="J216">
        <v>0</v>
      </c>
      <c r="K21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1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1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1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16">
        <f>IF(Games[[#This Row],[Team]]="","",IF(Games[[#This Row],[Conf]]=Games[[#This Row],[OppConf]],1,0))</f>
        <v>0</v>
      </c>
      <c r="P216">
        <f>IF(Games[[#This Row],[Team]]="","",IF(AND(Games[[#This Row],[Conf]]=Games[[#This Row],[OppConf]],Games[[#This Row],[Div]]=Games[[#This Row],[OppDiv]]),1,0))</f>
        <v>0</v>
      </c>
      <c r="Q216">
        <f>IF(Games[[#This Row],[Team]]="","",_xlfn.MINIFS(Games[Date],Games[Season],Games[[#This Row],[Season]]))</f>
        <v>35309</v>
      </c>
      <c r="R216">
        <f>IF(Games[[#This Row],[Team]]="","",INT((Games[[#This Row],[Date]]-(Games[[#This Row],[SeasonStart]]-MOD(WEEKDAY(Games[[#This Row],[SeasonStart]],2)-2,7)))/7)+1)</f>
        <v>9</v>
      </c>
      <c r="S216">
        <f>IF(Games[[#This Row],[Team]]="","",COUNTIFS(Games[Team],Games[[#This Row],[Team]],Games[Season],Games[[#This Row],[Season]],Games[Week],"&lt;="&amp;Games[[#This Row],[Week]]))</f>
        <v>8</v>
      </c>
      <c r="T216">
        <f>IF(Games[[#This Row],[Team]]="","",_xlfn.MAXIFS(Games[Week],Games[Team],Games[[#This Row],[Team]],Games[Season],Games[[#This Row],[Season]],Games[Week],"&lt;"&amp;Games[[#This Row],[Week]]))</f>
        <v>8</v>
      </c>
      <c r="U216">
        <f>IF(Games[[#This Row],[Team]]="","",_xlfn.MAXIFS(Games[Week],Games[Team],Games[[#This Row],[Opponent]],Games[Season],Games[[#This Row],[Season]],Games[Week],"&lt;"&amp;Games[[#This Row],[Week]]))</f>
        <v>8</v>
      </c>
      <c r="V21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1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1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1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1573.4194940420871</v>
      </c>
      <c r="Z21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1368.678164936752</v>
      </c>
      <c r="AA21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0.68224767270866682</v>
      </c>
      <c r="AB216">
        <f>IF(Games[[#This Row],[Team]]="","",Games[[#This Row],[PointsFor]]-Games[[#This Row],[PointsAgainst]])</f>
        <v>3</v>
      </c>
      <c r="AC216">
        <f>IF(Games[[#This Row],[Team]]="","",IF(Games[[#This Row],[MOV]]&gt;0,1,IF(Games[[#This Row],[MOV]]=0,0.5,0)))</f>
        <v>1</v>
      </c>
      <c r="AD216">
        <f>IF(Games[[#This Row],[Team]]="","",--(OR(AND(Games[[#This Row],[ExpectedWin]]&gt;=0.5,Games[[#This Row],[Result]]=1),AND(Games[[#This Row],[ExpectedWin]]&lt;0.5,Games[[#This Row],[Result]]=0))))</f>
        <v>1</v>
      </c>
      <c r="AE216">
        <f>IF(Games[[#This Row],[Team]]="","",-(Games[[#This Row],[Result]]*LN(Games[[#This Row],[ExpectedWin]])+(1-Games[[#This Row],[Result]])*LN(1-Games[[#This Row],[ExpectedWin]])))</f>
        <v>0.38236253059970254</v>
      </c>
      <c r="AF216">
        <f>IF(Games[[#This Row],[Team]]="","",IF(Games[[#This Row],[Season]]&gt;=2021,17,16))</f>
        <v>16</v>
      </c>
      <c r="AG216">
        <f>IF(Games[[#This Row],[Team]]="","",KMax-(KMax-KFloor)*MIN(Games[[#This Row],[GamesPlayed]],Games[[#This Row],[SeasonLen]])/Games[[#This Row],[SeasonLen]])</f>
        <v>41.1</v>
      </c>
      <c r="AH216">
        <f>IF(Games[[#This Row],[Team]]="","",((ABS(Games[[#This Row],[MOV]])+3)^0.8)/(7.5+0.006*ABS(Games[[#This Row],[PreGmRate]]-Games[[#This Row],[OppPreGmRate]]))*IF(Games[[#This Row],[OT]]=1,0.7,1))</f>
        <v>0.48037895451925977</v>
      </c>
      <c r="AI21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6">
        <f>IF(Games[[#This Row],[Team]]="","",Games[[#This Row],[K]]*IF(Games[[#This Row],[DivG]]=1,DivMult,1)*IF(Games[[#This Row],[ConfG]]=1,ConfMult,1)*Games[[#This Row],[POMult]])</f>
        <v>41.1</v>
      </c>
      <c r="AK216">
        <f>IF(Games[[#This Row],[Team]]="","",(Games[[#This Row],[Keff]]*Games[[#This Row],[MOVMult]])*(Games[[#This Row],[Result]]-Games[[#This Row],[ExpectedWin]]))</f>
        <v>6.2735669150691917</v>
      </c>
      <c r="AL216">
        <f>IF(Games[[#This Row],[Team]]="","",Games[[#This Row],[PreGmRate]]+Games[[#This Row],[RatingChange]])</f>
        <v>1579.6930609571564</v>
      </c>
      <c r="AM216">
        <f>IF(Games[[#This Row],[Team]]="","",IF(Games[[#This Row],[Type]]="R",IF(Games[[#This Row],[Result]]&gt;0.5,1,0),0))</f>
        <v>1</v>
      </c>
      <c r="AN216">
        <f>IF(Games[[#This Row],[Team]]="","",IF(Games[[#This Row],[Type]]="R",IF(Games[[#This Row],[Result]]&lt;0.5,1,0),0))</f>
        <v>0</v>
      </c>
      <c r="AO216">
        <f>IF(Games[[#This Row],[Team]]="","",IF(Games[[#This Row],[Type]]="R",IF(Games[[#This Row],[Result]]=0.5,1,0),0))</f>
        <v>0</v>
      </c>
    </row>
    <row r="217" spans="1:41" x14ac:dyDescent="0.35">
      <c r="A217" s="8">
        <v>35365</v>
      </c>
      <c r="B217">
        <v>1996</v>
      </c>
      <c r="C217" t="s">
        <v>197</v>
      </c>
      <c r="D217" t="s">
        <v>199</v>
      </c>
      <c r="E217" t="s">
        <v>98</v>
      </c>
      <c r="F217" t="s">
        <v>143</v>
      </c>
      <c r="G217" t="s">
        <v>200</v>
      </c>
      <c r="H217">
        <v>17</v>
      </c>
      <c r="I217">
        <v>20</v>
      </c>
      <c r="J217">
        <v>0</v>
      </c>
      <c r="K21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1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1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1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17">
        <f>IF(Games[[#This Row],[Team]]="","",IF(Games[[#This Row],[Conf]]=Games[[#This Row],[OppConf]],1,0))</f>
        <v>0</v>
      </c>
      <c r="P217">
        <f>IF(Games[[#This Row],[Team]]="","",IF(AND(Games[[#This Row],[Conf]]=Games[[#This Row],[OppConf]],Games[[#This Row],[Div]]=Games[[#This Row],[OppDiv]]),1,0))</f>
        <v>0</v>
      </c>
      <c r="Q217">
        <f>IF(Games[[#This Row],[Team]]="","",_xlfn.MINIFS(Games[Date],Games[Season],Games[[#This Row],[Season]]))</f>
        <v>35309</v>
      </c>
      <c r="R217">
        <f>IF(Games[[#This Row],[Team]]="","",INT((Games[[#This Row],[Date]]-(Games[[#This Row],[SeasonStart]]-MOD(WEEKDAY(Games[[#This Row],[SeasonStart]],2)-2,7)))/7)+1)</f>
        <v>9</v>
      </c>
      <c r="S217">
        <f>IF(Games[[#This Row],[Team]]="","",COUNTIFS(Games[Team],Games[[#This Row],[Team]],Games[Season],Games[[#This Row],[Season]],Games[Week],"&lt;="&amp;Games[[#This Row],[Week]]))</f>
        <v>8</v>
      </c>
      <c r="T217">
        <f>IF(Games[[#This Row],[Team]]="","",_xlfn.MAXIFS(Games[Week],Games[Team],Games[[#This Row],[Team]],Games[Season],Games[[#This Row],[Season]],Games[Week],"&lt;"&amp;Games[[#This Row],[Week]]))</f>
        <v>8</v>
      </c>
      <c r="U217">
        <f>IF(Games[[#This Row],[Team]]="","",_xlfn.MAXIFS(Games[Week],Games[Team],Games[[#This Row],[Opponent]],Games[Season],Games[[#This Row],[Season]],Games[Week],"&lt;"&amp;Games[[#This Row],[Week]]))</f>
        <v>8</v>
      </c>
      <c r="V21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1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1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1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1368.678164936752</v>
      </c>
      <c r="Z21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1573.4194940420871</v>
      </c>
      <c r="AA21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0.31775232729133318</v>
      </c>
      <c r="AB217">
        <f>IF(Games[[#This Row],[Team]]="","",Games[[#This Row],[PointsFor]]-Games[[#This Row],[PointsAgainst]])</f>
        <v>-3</v>
      </c>
      <c r="AC217">
        <f>IF(Games[[#This Row],[Team]]="","",IF(Games[[#This Row],[MOV]]&gt;0,1,IF(Games[[#This Row],[MOV]]=0,0.5,0)))</f>
        <v>0</v>
      </c>
      <c r="AD217">
        <f>IF(Games[[#This Row],[Team]]="","",--(OR(AND(Games[[#This Row],[ExpectedWin]]&gt;=0.5,Games[[#This Row],[Result]]=1),AND(Games[[#This Row],[ExpectedWin]]&lt;0.5,Games[[#This Row],[Result]]=0))))</f>
        <v>1</v>
      </c>
      <c r="AE217">
        <f>IF(Games[[#This Row],[Team]]="","",-(Games[[#This Row],[Result]]*LN(Games[[#This Row],[ExpectedWin]])+(1-Games[[#This Row],[Result]])*LN(1-Games[[#This Row],[ExpectedWin]])))</f>
        <v>0.38236253059970254</v>
      </c>
      <c r="AF217">
        <f>IF(Games[[#This Row],[Team]]="","",IF(Games[[#This Row],[Season]]&gt;=2021,17,16))</f>
        <v>16</v>
      </c>
      <c r="AG217">
        <f>IF(Games[[#This Row],[Team]]="","",KMax-(KMax-KFloor)*MIN(Games[[#This Row],[GamesPlayed]],Games[[#This Row],[SeasonLen]])/Games[[#This Row],[SeasonLen]])</f>
        <v>41.1</v>
      </c>
      <c r="AH217">
        <f>IF(Games[[#This Row],[Team]]="","",((ABS(Games[[#This Row],[MOV]])+3)^0.8)/(7.5+0.006*ABS(Games[[#This Row],[PreGmRate]]-Games[[#This Row],[OppPreGmRate]]))*IF(Games[[#This Row],[OT]]=1,0.7,1))</f>
        <v>0.48037895451925977</v>
      </c>
      <c r="AI21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7">
        <f>IF(Games[[#This Row],[Team]]="","",Games[[#This Row],[K]]*IF(Games[[#This Row],[DivG]]=1,DivMult,1)*IF(Games[[#This Row],[ConfG]]=1,ConfMult,1)*Games[[#This Row],[POMult]])</f>
        <v>41.1</v>
      </c>
      <c r="AK217">
        <f>IF(Games[[#This Row],[Team]]="","",(Games[[#This Row],[Keff]]*Games[[#This Row],[MOVMult]])*(Games[[#This Row],[Result]]-Games[[#This Row],[ExpectedWin]]))</f>
        <v>-6.2735669150691917</v>
      </c>
      <c r="AL217">
        <f>IF(Games[[#This Row],[Team]]="","",Games[[#This Row],[PreGmRate]]+Games[[#This Row],[RatingChange]])</f>
        <v>1362.4045980216827</v>
      </c>
      <c r="AM217">
        <f>IF(Games[[#This Row],[Team]]="","",IF(Games[[#This Row],[Type]]="R",IF(Games[[#This Row],[Result]]&gt;0.5,1,0),0))</f>
        <v>0</v>
      </c>
      <c r="AN217">
        <f>IF(Games[[#This Row],[Team]]="","",IF(Games[[#This Row],[Type]]="R",IF(Games[[#This Row],[Result]]&lt;0.5,1,0),0))</f>
        <v>1</v>
      </c>
      <c r="AO217">
        <f>IF(Games[[#This Row],[Team]]="","",IF(Games[[#This Row],[Type]]="R",IF(Games[[#This Row],[Result]]=0.5,1,0),0))</f>
        <v>0</v>
      </c>
    </row>
    <row r="218" spans="1:41" x14ac:dyDescent="0.35">
      <c r="A218" s="8">
        <v>35365</v>
      </c>
      <c r="B218">
        <v>1996</v>
      </c>
      <c r="C218" t="s">
        <v>197</v>
      </c>
      <c r="D218" t="s">
        <v>199</v>
      </c>
      <c r="E218" t="s">
        <v>141</v>
      </c>
      <c r="F218" t="s">
        <v>108</v>
      </c>
      <c r="G218" t="s">
        <v>200</v>
      </c>
      <c r="H218">
        <v>20</v>
      </c>
      <c r="I218">
        <v>9</v>
      </c>
      <c r="J218">
        <v>0</v>
      </c>
      <c r="K21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1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1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1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18">
        <f>IF(Games[[#This Row],[Team]]="","",IF(Games[[#This Row],[Conf]]=Games[[#This Row],[OppConf]],1,0))</f>
        <v>1</v>
      </c>
      <c r="P218">
        <f>IF(Games[[#This Row],[Team]]="","",IF(AND(Games[[#This Row],[Conf]]=Games[[#This Row],[OppConf]],Games[[#This Row],[Div]]=Games[[#This Row],[OppDiv]]),1,0))</f>
        <v>0</v>
      </c>
      <c r="Q218">
        <f>IF(Games[[#This Row],[Team]]="","",_xlfn.MINIFS(Games[Date],Games[Season],Games[[#This Row],[Season]]))</f>
        <v>35309</v>
      </c>
      <c r="R218">
        <f>IF(Games[[#This Row],[Team]]="","",INT((Games[[#This Row],[Date]]-(Games[[#This Row],[SeasonStart]]-MOD(WEEKDAY(Games[[#This Row],[SeasonStart]],2)-2,7)))/7)+1)</f>
        <v>9</v>
      </c>
      <c r="S218">
        <f>IF(Games[[#This Row],[Team]]="","",COUNTIFS(Games[Team],Games[[#This Row],[Team]],Games[Season],Games[[#This Row],[Season]],Games[Week],"&lt;="&amp;Games[[#This Row],[Week]]))</f>
        <v>8</v>
      </c>
      <c r="T218">
        <f>IF(Games[[#This Row],[Team]]="","",_xlfn.MAXIFS(Games[Week],Games[Team],Games[[#This Row],[Team]],Games[Season],Games[[#This Row],[Season]],Games[Week],"&lt;"&amp;Games[[#This Row],[Week]]))</f>
        <v>8</v>
      </c>
      <c r="U218">
        <f>IF(Games[[#This Row],[Team]]="","",_xlfn.MAXIFS(Games[Week],Games[Team],Games[[#This Row],[Opponent]],Games[Season],Games[[#This Row],[Season]],Games[Week],"&lt;"&amp;Games[[#This Row],[Week]]))</f>
        <v>8</v>
      </c>
      <c r="V21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1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1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1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1554.5247959154062</v>
      </c>
      <c r="Z21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1580.6024194315137</v>
      </c>
      <c r="AA21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0.56570542616017805</v>
      </c>
      <c r="AB218">
        <f>IF(Games[[#This Row],[Team]]="","",Games[[#This Row],[PointsFor]]-Games[[#This Row],[PointsAgainst]])</f>
        <v>11</v>
      </c>
      <c r="AC218">
        <f>IF(Games[[#This Row],[Team]]="","",IF(Games[[#This Row],[MOV]]&gt;0,1,IF(Games[[#This Row],[MOV]]=0,0.5,0)))</f>
        <v>1</v>
      </c>
      <c r="AD218">
        <f>IF(Games[[#This Row],[Team]]="","",--(OR(AND(Games[[#This Row],[ExpectedWin]]&gt;=0.5,Games[[#This Row],[Result]]=1),AND(Games[[#This Row],[ExpectedWin]]&lt;0.5,Games[[#This Row],[Result]]=0))))</f>
        <v>1</v>
      </c>
      <c r="AE218">
        <f>IF(Games[[#This Row],[Team]]="","",-(Games[[#This Row],[Result]]*LN(Games[[#This Row],[ExpectedWin]])+(1-Games[[#This Row],[Result]])*LN(1-Games[[#This Row],[ExpectedWin]])))</f>
        <v>0.56968178473952424</v>
      </c>
      <c r="AF218">
        <f>IF(Games[[#This Row],[Team]]="","",IF(Games[[#This Row],[Season]]&gt;=2021,17,16))</f>
        <v>16</v>
      </c>
      <c r="AG218">
        <f>IF(Games[[#This Row],[Team]]="","",KMax-(KMax-KFloor)*MIN(Games[[#This Row],[GamesPlayed]],Games[[#This Row],[SeasonLen]])/Games[[#This Row],[SeasonLen]])</f>
        <v>41.1</v>
      </c>
      <c r="AH218">
        <f>IF(Games[[#This Row],[Team]]="","",((ABS(Games[[#This Row],[MOV]])+3)^0.8)/(7.5+0.006*ABS(Games[[#This Row],[PreGmRate]]-Games[[#This Row],[OppPreGmRate]]))*IF(Games[[#This Row],[OT]]=1,0.7,1))</f>
        <v>1.0786339483844645</v>
      </c>
      <c r="AI21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8">
        <f>IF(Games[[#This Row],[Team]]="","",Games[[#This Row],[K]]*IF(Games[[#This Row],[DivG]]=1,DivMult,1)*IF(Games[[#This Row],[ConfG]]=1,ConfMult,1)*Games[[#This Row],[POMult]])</f>
        <v>41.922000000000004</v>
      </c>
      <c r="AK218">
        <f>IF(Games[[#This Row],[Team]]="","",(Games[[#This Row],[Keff]]*Games[[#This Row],[MOVMult]])*(Games[[#This Row],[Result]]-Games[[#This Row],[ExpectedWin]]))</f>
        <v>19.638145879663874</v>
      </c>
      <c r="AL218">
        <f>IF(Games[[#This Row],[Team]]="","",Games[[#This Row],[PreGmRate]]+Games[[#This Row],[RatingChange]])</f>
        <v>1574.1629417950701</v>
      </c>
      <c r="AM218">
        <f>IF(Games[[#This Row],[Team]]="","",IF(Games[[#This Row],[Type]]="R",IF(Games[[#This Row],[Result]]&gt;0.5,1,0),0))</f>
        <v>1</v>
      </c>
      <c r="AN218">
        <f>IF(Games[[#This Row],[Team]]="","",IF(Games[[#This Row],[Type]]="R",IF(Games[[#This Row],[Result]]&lt;0.5,1,0),0))</f>
        <v>0</v>
      </c>
      <c r="AO218">
        <f>IF(Games[[#This Row],[Team]]="","",IF(Games[[#This Row],[Type]]="R",IF(Games[[#This Row],[Result]]=0.5,1,0),0))</f>
        <v>0</v>
      </c>
    </row>
    <row r="219" spans="1:41" x14ac:dyDescent="0.35">
      <c r="A219" s="8">
        <v>35365</v>
      </c>
      <c r="B219">
        <v>1996</v>
      </c>
      <c r="C219" t="s">
        <v>197</v>
      </c>
      <c r="D219" t="s">
        <v>199</v>
      </c>
      <c r="E219" t="s">
        <v>108</v>
      </c>
      <c r="F219" t="s">
        <v>141</v>
      </c>
      <c r="G219" t="s">
        <v>201</v>
      </c>
      <c r="H219">
        <v>9</v>
      </c>
      <c r="I219">
        <v>20</v>
      </c>
      <c r="J219">
        <v>0</v>
      </c>
      <c r="K21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1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1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1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19">
        <f>IF(Games[[#This Row],[Team]]="","",IF(Games[[#This Row],[Conf]]=Games[[#This Row],[OppConf]],1,0))</f>
        <v>1</v>
      </c>
      <c r="P219">
        <f>IF(Games[[#This Row],[Team]]="","",IF(AND(Games[[#This Row],[Conf]]=Games[[#This Row],[OppConf]],Games[[#This Row],[Div]]=Games[[#This Row],[OppDiv]]),1,0))</f>
        <v>0</v>
      </c>
      <c r="Q219">
        <f>IF(Games[[#This Row],[Team]]="","",_xlfn.MINIFS(Games[Date],Games[Season],Games[[#This Row],[Season]]))</f>
        <v>35309</v>
      </c>
      <c r="R219">
        <f>IF(Games[[#This Row],[Team]]="","",INT((Games[[#This Row],[Date]]-(Games[[#This Row],[SeasonStart]]-MOD(WEEKDAY(Games[[#This Row],[SeasonStart]],2)-2,7)))/7)+1)</f>
        <v>9</v>
      </c>
      <c r="S219">
        <f>IF(Games[[#This Row],[Team]]="","",COUNTIFS(Games[Team],Games[[#This Row],[Team]],Games[Season],Games[[#This Row],[Season]],Games[Week],"&lt;="&amp;Games[[#This Row],[Week]]))</f>
        <v>8</v>
      </c>
      <c r="T219">
        <f>IF(Games[[#This Row],[Team]]="","",_xlfn.MAXIFS(Games[Week],Games[Team],Games[[#This Row],[Team]],Games[Season],Games[[#This Row],[Season]],Games[Week],"&lt;"&amp;Games[[#This Row],[Week]]))</f>
        <v>8</v>
      </c>
      <c r="U219">
        <f>IF(Games[[#This Row],[Team]]="","",_xlfn.MAXIFS(Games[Week],Games[Team],Games[[#This Row],[Opponent]],Games[Season],Games[[#This Row],[Season]],Games[Week],"&lt;"&amp;Games[[#This Row],[Week]]))</f>
        <v>8</v>
      </c>
      <c r="V21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1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1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1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1580.6024194315137</v>
      </c>
      <c r="Z21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1554.5247959154062</v>
      </c>
      <c r="AA21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0.43429457383982184</v>
      </c>
      <c r="AB219">
        <f>IF(Games[[#This Row],[Team]]="","",Games[[#This Row],[PointsFor]]-Games[[#This Row],[PointsAgainst]])</f>
        <v>-11</v>
      </c>
      <c r="AC219">
        <f>IF(Games[[#This Row],[Team]]="","",IF(Games[[#This Row],[MOV]]&gt;0,1,IF(Games[[#This Row],[MOV]]=0,0.5,0)))</f>
        <v>0</v>
      </c>
      <c r="AD219">
        <f>IF(Games[[#This Row],[Team]]="","",--(OR(AND(Games[[#This Row],[ExpectedWin]]&gt;=0.5,Games[[#This Row],[Result]]=1),AND(Games[[#This Row],[ExpectedWin]]&lt;0.5,Games[[#This Row],[Result]]=0))))</f>
        <v>1</v>
      </c>
      <c r="AE219">
        <f>IF(Games[[#This Row],[Team]]="","",-(Games[[#This Row],[Result]]*LN(Games[[#This Row],[ExpectedWin]])+(1-Games[[#This Row],[Result]])*LN(1-Games[[#This Row],[ExpectedWin]])))</f>
        <v>0.56968178473952402</v>
      </c>
      <c r="AF219">
        <f>IF(Games[[#This Row],[Team]]="","",IF(Games[[#This Row],[Season]]&gt;=2021,17,16))</f>
        <v>16</v>
      </c>
      <c r="AG219">
        <f>IF(Games[[#This Row],[Team]]="","",KMax-(KMax-KFloor)*MIN(Games[[#This Row],[GamesPlayed]],Games[[#This Row],[SeasonLen]])/Games[[#This Row],[SeasonLen]])</f>
        <v>41.1</v>
      </c>
      <c r="AH219">
        <f>IF(Games[[#This Row],[Team]]="","",((ABS(Games[[#This Row],[MOV]])+3)^0.8)/(7.5+0.006*ABS(Games[[#This Row],[PreGmRate]]-Games[[#This Row],[OppPreGmRate]]))*IF(Games[[#This Row],[OT]]=1,0.7,1))</f>
        <v>1.0786339483844645</v>
      </c>
      <c r="AI21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9">
        <f>IF(Games[[#This Row],[Team]]="","",Games[[#This Row],[K]]*IF(Games[[#This Row],[DivG]]=1,DivMult,1)*IF(Games[[#This Row],[ConfG]]=1,ConfMult,1)*Games[[#This Row],[POMult]])</f>
        <v>41.922000000000004</v>
      </c>
      <c r="AK219">
        <f>IF(Games[[#This Row],[Team]]="","",(Games[[#This Row],[Keff]]*Games[[#This Row],[MOVMult]])*(Games[[#This Row],[Result]]-Games[[#This Row],[ExpectedWin]]))</f>
        <v>-19.63814587966387</v>
      </c>
      <c r="AL219">
        <f>IF(Games[[#This Row],[Team]]="","",Games[[#This Row],[PreGmRate]]+Games[[#This Row],[RatingChange]])</f>
        <v>1560.9642735518498</v>
      </c>
      <c r="AM219">
        <f>IF(Games[[#This Row],[Team]]="","",IF(Games[[#This Row],[Type]]="R",IF(Games[[#This Row],[Result]]&gt;0.5,1,0),0))</f>
        <v>0</v>
      </c>
      <c r="AN219">
        <f>IF(Games[[#This Row],[Team]]="","",IF(Games[[#This Row],[Type]]="R",IF(Games[[#This Row],[Result]]&lt;0.5,1,0),0))</f>
        <v>1</v>
      </c>
      <c r="AO219">
        <f>IF(Games[[#This Row],[Team]]="","",IF(Games[[#This Row],[Type]]="R",IF(Games[[#This Row],[Result]]=0.5,1,0),0))</f>
        <v>0</v>
      </c>
    </row>
    <row r="220" spans="1:41" x14ac:dyDescent="0.35">
      <c r="A220" s="8">
        <v>35365</v>
      </c>
      <c r="B220">
        <v>1996</v>
      </c>
      <c r="C220" t="s">
        <v>197</v>
      </c>
      <c r="D220" t="s">
        <v>199</v>
      </c>
      <c r="E220" t="s">
        <v>112</v>
      </c>
      <c r="F220" t="s">
        <v>124</v>
      </c>
      <c r="G220" t="s">
        <v>200</v>
      </c>
      <c r="H220">
        <v>28</v>
      </c>
      <c r="I220">
        <v>21</v>
      </c>
      <c r="J220">
        <v>0</v>
      </c>
      <c r="K22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2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2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2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20">
        <f>IF(Games[[#This Row],[Team]]="","",IF(Games[[#This Row],[Conf]]=Games[[#This Row],[OppConf]],1,0))</f>
        <v>1</v>
      </c>
      <c r="P220">
        <f>IF(Games[[#This Row],[Team]]="","",IF(AND(Games[[#This Row],[Conf]]=Games[[#This Row],[OppConf]],Games[[#This Row],[Div]]=Games[[#This Row],[OppDiv]]),1,0))</f>
        <v>1</v>
      </c>
      <c r="Q220">
        <f>IF(Games[[#This Row],[Team]]="","",_xlfn.MINIFS(Games[Date],Games[Season],Games[[#This Row],[Season]]))</f>
        <v>35309</v>
      </c>
      <c r="R220">
        <f>IF(Games[[#This Row],[Team]]="","",INT((Games[[#This Row],[Date]]-(Games[[#This Row],[SeasonStart]]-MOD(WEEKDAY(Games[[#This Row],[SeasonStart]],2)-2,7)))/7)+1)</f>
        <v>9</v>
      </c>
      <c r="S220">
        <f>IF(Games[[#This Row],[Team]]="","",COUNTIFS(Games[Team],Games[[#This Row],[Team]],Games[Season],Games[[#This Row],[Season]],Games[Week],"&lt;="&amp;Games[[#This Row],[Week]]))</f>
        <v>8</v>
      </c>
      <c r="T220">
        <f>IF(Games[[#This Row],[Team]]="","",_xlfn.MAXIFS(Games[Week],Games[Team],Games[[#This Row],[Team]],Games[Season],Games[[#This Row],[Season]],Games[Week],"&lt;"&amp;Games[[#This Row],[Week]]))</f>
        <v>8</v>
      </c>
      <c r="U220">
        <f>IF(Games[[#This Row],[Team]]="","",_xlfn.MAXIFS(Games[Week],Games[Team],Games[[#This Row],[Opponent]],Games[Season],Games[[#This Row],[Season]],Games[Week],"&lt;"&amp;Games[[#This Row],[Week]]))</f>
        <v>8</v>
      </c>
      <c r="V22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2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2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2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1443.7209213718857</v>
      </c>
      <c r="Z22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1472.6973424943678</v>
      </c>
      <c r="AA22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0.56160135692358815</v>
      </c>
      <c r="AB220">
        <f>IF(Games[[#This Row],[Team]]="","",Games[[#This Row],[PointsFor]]-Games[[#This Row],[PointsAgainst]])</f>
        <v>7</v>
      </c>
      <c r="AC220">
        <f>IF(Games[[#This Row],[Team]]="","",IF(Games[[#This Row],[MOV]]&gt;0,1,IF(Games[[#This Row],[MOV]]=0,0.5,0)))</f>
        <v>1</v>
      </c>
      <c r="AD220">
        <f>IF(Games[[#This Row],[Team]]="","",--(OR(AND(Games[[#This Row],[ExpectedWin]]&gt;=0.5,Games[[#This Row],[Result]]=1),AND(Games[[#This Row],[ExpectedWin]]&lt;0.5,Games[[#This Row],[Result]]=0))))</f>
        <v>1</v>
      </c>
      <c r="AE220">
        <f>IF(Games[[#This Row],[Team]]="","",-(Games[[#This Row],[Result]]*LN(Games[[#This Row],[ExpectedWin]])+(1-Games[[#This Row],[Result]])*LN(1-Games[[#This Row],[ExpectedWin]])))</f>
        <v>0.57696301009897433</v>
      </c>
      <c r="AF220">
        <f>IF(Games[[#This Row],[Team]]="","",IF(Games[[#This Row],[Season]]&gt;=2021,17,16))</f>
        <v>16</v>
      </c>
      <c r="AG220">
        <f>IF(Games[[#This Row],[Team]]="","",KMax-(KMax-KFloor)*MIN(Games[[#This Row],[GamesPlayed]],Games[[#This Row],[SeasonLen]])/Games[[#This Row],[SeasonLen]])</f>
        <v>41.1</v>
      </c>
      <c r="AH220">
        <f>IF(Games[[#This Row],[Team]]="","",((ABS(Games[[#This Row],[MOV]])+3)^0.8)/(7.5+0.006*ABS(Games[[#This Row],[PreGmRate]]-Games[[#This Row],[OppPreGmRate]]))*IF(Games[[#This Row],[OT]]=1,0.7,1))</f>
        <v>0.8222165450170944</v>
      </c>
      <c r="AI22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0">
        <f>IF(Games[[#This Row],[Team]]="","",Games[[#This Row],[K]]*IF(Games[[#This Row],[DivG]]=1,DivMult,1)*IF(Games[[#This Row],[ConfG]]=1,ConfMult,1)*Games[[#This Row],[POMult]])</f>
        <v>46.114200000000011</v>
      </c>
      <c r="AK220">
        <f>IF(Games[[#This Row],[Team]]="","",(Games[[#This Row],[Keff]]*Games[[#This Row],[MOVMult]])*(Games[[#This Row],[Result]]-Games[[#This Row],[ExpectedWin]]))</f>
        <v>16.622260786057293</v>
      </c>
      <c r="AL220">
        <f>IF(Games[[#This Row],[Team]]="","",Games[[#This Row],[PreGmRate]]+Games[[#This Row],[RatingChange]])</f>
        <v>1460.3431821579429</v>
      </c>
      <c r="AM220">
        <f>IF(Games[[#This Row],[Team]]="","",IF(Games[[#This Row],[Type]]="R",IF(Games[[#This Row],[Result]]&gt;0.5,1,0),0))</f>
        <v>1</v>
      </c>
      <c r="AN220">
        <f>IF(Games[[#This Row],[Team]]="","",IF(Games[[#This Row],[Type]]="R",IF(Games[[#This Row],[Result]]&lt;0.5,1,0),0))</f>
        <v>0</v>
      </c>
      <c r="AO220">
        <f>IF(Games[[#This Row],[Team]]="","",IF(Games[[#This Row],[Type]]="R",IF(Games[[#This Row],[Result]]=0.5,1,0),0))</f>
        <v>0</v>
      </c>
    </row>
    <row r="221" spans="1:41" x14ac:dyDescent="0.35">
      <c r="A221" s="8">
        <v>35365</v>
      </c>
      <c r="B221">
        <v>1996</v>
      </c>
      <c r="C221" t="s">
        <v>197</v>
      </c>
      <c r="D221" t="s">
        <v>199</v>
      </c>
      <c r="E221" t="s">
        <v>124</v>
      </c>
      <c r="F221" t="s">
        <v>112</v>
      </c>
      <c r="G221" t="s">
        <v>201</v>
      </c>
      <c r="H221">
        <v>21</v>
      </c>
      <c r="I221">
        <v>28</v>
      </c>
      <c r="J221">
        <v>0</v>
      </c>
      <c r="K22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2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2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2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21">
        <f>IF(Games[[#This Row],[Team]]="","",IF(Games[[#This Row],[Conf]]=Games[[#This Row],[OppConf]],1,0))</f>
        <v>1</v>
      </c>
      <c r="P221">
        <f>IF(Games[[#This Row],[Team]]="","",IF(AND(Games[[#This Row],[Conf]]=Games[[#This Row],[OppConf]],Games[[#This Row],[Div]]=Games[[#This Row],[OppDiv]]),1,0))</f>
        <v>1</v>
      </c>
      <c r="Q221">
        <f>IF(Games[[#This Row],[Team]]="","",_xlfn.MINIFS(Games[Date],Games[Season],Games[[#This Row],[Season]]))</f>
        <v>35309</v>
      </c>
      <c r="R221">
        <f>IF(Games[[#This Row],[Team]]="","",INT((Games[[#This Row],[Date]]-(Games[[#This Row],[SeasonStart]]-MOD(WEEKDAY(Games[[#This Row],[SeasonStart]],2)-2,7)))/7)+1)</f>
        <v>9</v>
      </c>
      <c r="S221">
        <f>IF(Games[[#This Row],[Team]]="","",COUNTIFS(Games[Team],Games[[#This Row],[Team]],Games[Season],Games[[#This Row],[Season]],Games[Week],"&lt;="&amp;Games[[#This Row],[Week]]))</f>
        <v>9</v>
      </c>
      <c r="T221">
        <f>IF(Games[[#This Row],[Team]]="","",_xlfn.MAXIFS(Games[Week],Games[Team],Games[[#This Row],[Team]],Games[Season],Games[[#This Row],[Season]],Games[Week],"&lt;"&amp;Games[[#This Row],[Week]]))</f>
        <v>8</v>
      </c>
      <c r="U221">
        <f>IF(Games[[#This Row],[Team]]="","",_xlfn.MAXIFS(Games[Week],Games[Team],Games[[#This Row],[Opponent]],Games[Season],Games[[#This Row],[Season]],Games[Week],"&lt;"&amp;Games[[#This Row],[Week]]))</f>
        <v>8</v>
      </c>
      <c r="V22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2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2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2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1472.6973424943678</v>
      </c>
      <c r="Z22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1443.7209213718857</v>
      </c>
      <c r="AA22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0.43839864307641191</v>
      </c>
      <c r="AB221">
        <f>IF(Games[[#This Row],[Team]]="","",Games[[#This Row],[PointsFor]]-Games[[#This Row],[PointsAgainst]])</f>
        <v>-7</v>
      </c>
      <c r="AC221">
        <f>IF(Games[[#This Row],[Team]]="","",IF(Games[[#This Row],[MOV]]&gt;0,1,IF(Games[[#This Row],[MOV]]=0,0.5,0)))</f>
        <v>0</v>
      </c>
      <c r="AD221">
        <f>IF(Games[[#This Row],[Team]]="","",--(OR(AND(Games[[#This Row],[ExpectedWin]]&gt;=0.5,Games[[#This Row],[Result]]=1),AND(Games[[#This Row],[ExpectedWin]]&lt;0.5,Games[[#This Row],[Result]]=0))))</f>
        <v>1</v>
      </c>
      <c r="AE221">
        <f>IF(Games[[#This Row],[Team]]="","",-(Games[[#This Row],[Result]]*LN(Games[[#This Row],[ExpectedWin]])+(1-Games[[#This Row],[Result]])*LN(1-Games[[#This Row],[ExpectedWin]])))</f>
        <v>0.57696301009897455</v>
      </c>
      <c r="AF221">
        <f>IF(Games[[#This Row],[Team]]="","",IF(Games[[#This Row],[Season]]&gt;=2021,17,16))</f>
        <v>16</v>
      </c>
      <c r="AG221">
        <f>IF(Games[[#This Row],[Team]]="","",KMax-(KMax-KFloor)*MIN(Games[[#This Row],[GamesPlayed]],Games[[#This Row],[SeasonLen]])/Games[[#This Row],[SeasonLen]])</f>
        <v>40.487500000000004</v>
      </c>
      <c r="AH221">
        <f>IF(Games[[#This Row],[Team]]="","",((ABS(Games[[#This Row],[MOV]])+3)^0.8)/(7.5+0.006*ABS(Games[[#This Row],[PreGmRate]]-Games[[#This Row],[OppPreGmRate]]))*IF(Games[[#This Row],[OT]]=1,0.7,1))</f>
        <v>0.8222165450170944</v>
      </c>
      <c r="AI22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1">
        <f>IF(Games[[#This Row],[Team]]="","",Games[[#This Row],[K]]*IF(Games[[#This Row],[DivG]]=1,DivMult,1)*IF(Games[[#This Row],[ConfG]]=1,ConfMult,1)*Games[[#This Row],[POMult]])</f>
        <v>45.426975000000013</v>
      </c>
      <c r="AK221">
        <f>IF(Games[[#This Row],[Team]]="","",(Games[[#This Row],[Keff]]*Games[[#This Row],[MOVMult]])*(Games[[#This Row],[Result]]-Games[[#This Row],[ExpectedWin]]))</f>
        <v>-16.374544612542451</v>
      </c>
      <c r="AL221">
        <f>IF(Games[[#This Row],[Team]]="","",Games[[#This Row],[PreGmRate]]+Games[[#This Row],[RatingChange]])</f>
        <v>1456.3227978818254</v>
      </c>
      <c r="AM221">
        <f>IF(Games[[#This Row],[Team]]="","",IF(Games[[#This Row],[Type]]="R",IF(Games[[#This Row],[Result]]&gt;0.5,1,0),0))</f>
        <v>0</v>
      </c>
      <c r="AN221">
        <f>IF(Games[[#This Row],[Team]]="","",IF(Games[[#This Row],[Type]]="R",IF(Games[[#This Row],[Result]]&lt;0.5,1,0),0))</f>
        <v>1</v>
      </c>
      <c r="AO221">
        <f>IF(Games[[#This Row],[Team]]="","",IF(Games[[#This Row],[Type]]="R",IF(Games[[#This Row],[Result]]=0.5,1,0),0))</f>
        <v>0</v>
      </c>
    </row>
    <row r="222" spans="1:41" x14ac:dyDescent="0.35">
      <c r="A222" s="8">
        <v>35365</v>
      </c>
      <c r="B222">
        <v>1996</v>
      </c>
      <c r="C222" t="s">
        <v>197</v>
      </c>
      <c r="D222" t="s">
        <v>199</v>
      </c>
      <c r="E222" t="s">
        <v>154</v>
      </c>
      <c r="F222" t="s">
        <v>122</v>
      </c>
      <c r="G222" t="s">
        <v>200</v>
      </c>
      <c r="H222">
        <v>31</v>
      </c>
      <c r="I222">
        <v>16</v>
      </c>
      <c r="J222">
        <v>0</v>
      </c>
      <c r="K22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2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2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2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22">
        <f>IF(Games[[#This Row],[Team]]="","",IF(Games[[#This Row],[Conf]]=Games[[#This Row],[OppConf]],1,0))</f>
        <v>0</v>
      </c>
      <c r="P222">
        <f>IF(Games[[#This Row],[Team]]="","",IF(AND(Games[[#This Row],[Conf]]=Games[[#This Row],[OppConf]],Games[[#This Row],[Div]]=Games[[#This Row],[OppDiv]]),1,0))</f>
        <v>0</v>
      </c>
      <c r="Q222">
        <f>IF(Games[[#This Row],[Team]]="","",_xlfn.MINIFS(Games[Date],Games[Season],Games[[#This Row],[Season]]))</f>
        <v>35309</v>
      </c>
      <c r="R222">
        <f>IF(Games[[#This Row],[Team]]="","",INT((Games[[#This Row],[Date]]-(Games[[#This Row],[SeasonStart]]-MOD(WEEKDAY(Games[[#This Row],[SeasonStart]],2)-2,7)))/7)+1)</f>
        <v>9</v>
      </c>
      <c r="S222">
        <f>IF(Games[[#This Row],[Team]]="","",COUNTIFS(Games[Team],Games[[#This Row],[Team]],Games[Season],Games[[#This Row],[Season]],Games[Week],"&lt;="&amp;Games[[#This Row],[Week]]))</f>
        <v>8</v>
      </c>
      <c r="T222">
        <f>IF(Games[[#This Row],[Team]]="","",_xlfn.MAXIFS(Games[Week],Games[Team],Games[[#This Row],[Team]],Games[Season],Games[[#This Row],[Season]],Games[Week],"&lt;"&amp;Games[[#This Row],[Week]]))</f>
        <v>8</v>
      </c>
      <c r="U222">
        <f>IF(Games[[#This Row],[Team]]="","",_xlfn.MAXIFS(Games[Week],Games[Team],Games[[#This Row],[Opponent]],Games[Season],Games[[#This Row],[Season]],Games[Week],"&lt;"&amp;Games[[#This Row],[Week]]))</f>
        <v>8</v>
      </c>
      <c r="V22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2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2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2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1594.6464914076571</v>
      </c>
      <c r="Z22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1523.1659798744338</v>
      </c>
      <c r="AA22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0.69549582649658448</v>
      </c>
      <c r="AB222">
        <f>IF(Games[[#This Row],[Team]]="","",Games[[#This Row],[PointsFor]]-Games[[#This Row],[PointsAgainst]])</f>
        <v>15</v>
      </c>
      <c r="AC222">
        <f>IF(Games[[#This Row],[Team]]="","",IF(Games[[#This Row],[MOV]]&gt;0,1,IF(Games[[#This Row],[MOV]]=0,0.5,0)))</f>
        <v>1</v>
      </c>
      <c r="AD222">
        <f>IF(Games[[#This Row],[Team]]="","",--(OR(AND(Games[[#This Row],[ExpectedWin]]&gt;=0.5,Games[[#This Row],[Result]]=1),AND(Games[[#This Row],[ExpectedWin]]&lt;0.5,Games[[#This Row],[Result]]=0))))</f>
        <v>1</v>
      </c>
      <c r="AE222">
        <f>IF(Games[[#This Row],[Team]]="","",-(Games[[#This Row],[Result]]*LN(Games[[#This Row],[ExpectedWin]])+(1-Games[[#This Row],[Result]])*LN(1-Games[[#This Row],[ExpectedWin]])))</f>
        <v>0.36313026836046203</v>
      </c>
      <c r="AF222">
        <f>IF(Games[[#This Row],[Team]]="","",IF(Games[[#This Row],[Season]]&gt;=2021,17,16))</f>
        <v>16</v>
      </c>
      <c r="AG222">
        <f>IF(Games[[#This Row],[Team]]="","",KMax-(KMax-KFloor)*MIN(Games[[#This Row],[GamesPlayed]],Games[[#This Row],[SeasonLen]])/Games[[#This Row],[SeasonLen]])</f>
        <v>41.1</v>
      </c>
      <c r="AH222">
        <f>IF(Games[[#This Row],[Team]]="","",((ABS(Games[[#This Row],[MOV]])+3)^0.8)/(7.5+0.006*ABS(Games[[#This Row],[PreGmRate]]-Games[[#This Row],[OppPreGmRate]]))*IF(Games[[#This Row],[OT]]=1,0.7,1))</f>
        <v>1.273520648606999</v>
      </c>
      <c r="AI22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2">
        <f>IF(Games[[#This Row],[Team]]="","",Games[[#This Row],[K]]*IF(Games[[#This Row],[DivG]]=1,DivMult,1)*IF(Games[[#This Row],[ConfG]]=1,ConfMult,1)*Games[[#This Row],[POMult]])</f>
        <v>41.1</v>
      </c>
      <c r="AK222">
        <f>IF(Games[[#This Row],[Team]]="","",(Games[[#This Row],[Keff]]*Games[[#This Row],[MOVMult]])*(Games[[#This Row],[Result]]-Games[[#This Row],[ExpectedWin]]))</f>
        <v>15.938265689542286</v>
      </c>
      <c r="AL222">
        <f>IF(Games[[#This Row],[Team]]="","",Games[[#This Row],[PreGmRate]]+Games[[#This Row],[RatingChange]])</f>
        <v>1610.5847570971994</v>
      </c>
      <c r="AM222">
        <f>IF(Games[[#This Row],[Team]]="","",IF(Games[[#This Row],[Type]]="R",IF(Games[[#This Row],[Result]]&gt;0.5,1,0),0))</f>
        <v>1</v>
      </c>
      <c r="AN222">
        <f>IF(Games[[#This Row],[Team]]="","",IF(Games[[#This Row],[Type]]="R",IF(Games[[#This Row],[Result]]&lt;0.5,1,0),0))</f>
        <v>0</v>
      </c>
      <c r="AO222">
        <f>IF(Games[[#This Row],[Team]]="","",IF(Games[[#This Row],[Type]]="R",IF(Games[[#This Row],[Result]]=0.5,1,0),0))</f>
        <v>0</v>
      </c>
    </row>
    <row r="223" spans="1:41" x14ac:dyDescent="0.35">
      <c r="A223" s="8">
        <v>35365</v>
      </c>
      <c r="B223">
        <v>1996</v>
      </c>
      <c r="C223" t="s">
        <v>197</v>
      </c>
      <c r="D223" t="s">
        <v>199</v>
      </c>
      <c r="E223" t="s">
        <v>122</v>
      </c>
      <c r="F223" t="s">
        <v>154</v>
      </c>
      <c r="G223" t="s">
        <v>201</v>
      </c>
      <c r="H223">
        <v>16</v>
      </c>
      <c r="I223">
        <v>31</v>
      </c>
      <c r="J223">
        <v>0</v>
      </c>
      <c r="K22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2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2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2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23">
        <f>IF(Games[[#This Row],[Team]]="","",IF(Games[[#This Row],[Conf]]=Games[[#This Row],[OppConf]],1,0))</f>
        <v>0</v>
      </c>
      <c r="P223">
        <f>IF(Games[[#This Row],[Team]]="","",IF(AND(Games[[#This Row],[Conf]]=Games[[#This Row],[OppConf]],Games[[#This Row],[Div]]=Games[[#This Row],[OppDiv]]),1,0))</f>
        <v>0</v>
      </c>
      <c r="Q223">
        <f>IF(Games[[#This Row],[Team]]="","",_xlfn.MINIFS(Games[Date],Games[Season],Games[[#This Row],[Season]]))</f>
        <v>35309</v>
      </c>
      <c r="R223">
        <f>IF(Games[[#This Row],[Team]]="","",INT((Games[[#This Row],[Date]]-(Games[[#This Row],[SeasonStart]]-MOD(WEEKDAY(Games[[#This Row],[SeasonStart]],2)-2,7)))/7)+1)</f>
        <v>9</v>
      </c>
      <c r="S223">
        <f>IF(Games[[#This Row],[Team]]="","",COUNTIFS(Games[Team],Games[[#This Row],[Team]],Games[Season],Games[[#This Row],[Season]],Games[Week],"&lt;="&amp;Games[[#This Row],[Week]]))</f>
        <v>8</v>
      </c>
      <c r="T223">
        <f>IF(Games[[#This Row],[Team]]="","",_xlfn.MAXIFS(Games[Week],Games[Team],Games[[#This Row],[Team]],Games[Season],Games[[#This Row],[Season]],Games[Week],"&lt;"&amp;Games[[#This Row],[Week]]))</f>
        <v>8</v>
      </c>
      <c r="U223">
        <f>IF(Games[[#This Row],[Team]]="","",_xlfn.MAXIFS(Games[Week],Games[Team],Games[[#This Row],[Opponent]],Games[Season],Games[[#This Row],[Season]],Games[Week],"&lt;"&amp;Games[[#This Row],[Week]]))</f>
        <v>8</v>
      </c>
      <c r="V22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2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2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2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1523.1659798744338</v>
      </c>
      <c r="Z22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1594.6464914076571</v>
      </c>
      <c r="AA22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0.30450417350341552</v>
      </c>
      <c r="AB223">
        <f>IF(Games[[#This Row],[Team]]="","",Games[[#This Row],[PointsFor]]-Games[[#This Row],[PointsAgainst]])</f>
        <v>-15</v>
      </c>
      <c r="AC223">
        <f>IF(Games[[#This Row],[Team]]="","",IF(Games[[#This Row],[MOV]]&gt;0,1,IF(Games[[#This Row],[MOV]]=0,0.5,0)))</f>
        <v>0</v>
      </c>
      <c r="AD223">
        <f>IF(Games[[#This Row],[Team]]="","",--(OR(AND(Games[[#This Row],[ExpectedWin]]&gt;=0.5,Games[[#This Row],[Result]]=1),AND(Games[[#This Row],[ExpectedWin]]&lt;0.5,Games[[#This Row],[Result]]=0))))</f>
        <v>1</v>
      </c>
      <c r="AE223">
        <f>IF(Games[[#This Row],[Team]]="","",-(Games[[#This Row],[Result]]*LN(Games[[#This Row],[ExpectedWin]])+(1-Games[[#This Row],[Result]])*LN(1-Games[[#This Row],[ExpectedWin]])))</f>
        <v>0.36313026836046203</v>
      </c>
      <c r="AF223">
        <f>IF(Games[[#This Row],[Team]]="","",IF(Games[[#This Row],[Season]]&gt;=2021,17,16))</f>
        <v>16</v>
      </c>
      <c r="AG223">
        <f>IF(Games[[#This Row],[Team]]="","",KMax-(KMax-KFloor)*MIN(Games[[#This Row],[GamesPlayed]],Games[[#This Row],[SeasonLen]])/Games[[#This Row],[SeasonLen]])</f>
        <v>41.1</v>
      </c>
      <c r="AH223">
        <f>IF(Games[[#This Row],[Team]]="","",((ABS(Games[[#This Row],[MOV]])+3)^0.8)/(7.5+0.006*ABS(Games[[#This Row],[PreGmRate]]-Games[[#This Row],[OppPreGmRate]]))*IF(Games[[#This Row],[OT]]=1,0.7,1))</f>
        <v>1.273520648606999</v>
      </c>
      <c r="AI22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3">
        <f>IF(Games[[#This Row],[Team]]="","",Games[[#This Row],[K]]*IF(Games[[#This Row],[DivG]]=1,DivMult,1)*IF(Games[[#This Row],[ConfG]]=1,ConfMult,1)*Games[[#This Row],[POMult]])</f>
        <v>41.1</v>
      </c>
      <c r="AK223">
        <f>IF(Games[[#This Row],[Team]]="","",(Games[[#This Row],[Keff]]*Games[[#This Row],[MOVMult]])*(Games[[#This Row],[Result]]-Games[[#This Row],[ExpectedWin]]))</f>
        <v>-15.938265689542286</v>
      </c>
      <c r="AL223">
        <f>IF(Games[[#This Row],[Team]]="","",Games[[#This Row],[PreGmRate]]+Games[[#This Row],[RatingChange]])</f>
        <v>1507.2277141848915</v>
      </c>
      <c r="AM223">
        <f>IF(Games[[#This Row],[Team]]="","",IF(Games[[#This Row],[Type]]="R",IF(Games[[#This Row],[Result]]&gt;0.5,1,0),0))</f>
        <v>0</v>
      </c>
      <c r="AN223">
        <f>IF(Games[[#This Row],[Team]]="","",IF(Games[[#This Row],[Type]]="R",IF(Games[[#This Row],[Result]]&lt;0.5,1,0),0))</f>
        <v>1</v>
      </c>
      <c r="AO223">
        <f>IF(Games[[#This Row],[Team]]="","",IF(Games[[#This Row],[Type]]="R",IF(Games[[#This Row],[Result]]=0.5,1,0),0))</f>
        <v>0</v>
      </c>
    </row>
    <row r="224" spans="1:41" x14ac:dyDescent="0.35">
      <c r="A224" s="8">
        <v>35365</v>
      </c>
      <c r="B224">
        <v>1996</v>
      </c>
      <c r="C224" t="s">
        <v>197</v>
      </c>
      <c r="D224" t="s">
        <v>199</v>
      </c>
      <c r="E224" t="s">
        <v>136</v>
      </c>
      <c r="F224" t="s">
        <v>118</v>
      </c>
      <c r="G224" t="s">
        <v>201</v>
      </c>
      <c r="H224">
        <v>35</v>
      </c>
      <c r="I224">
        <v>7</v>
      </c>
      <c r="J224">
        <v>0</v>
      </c>
      <c r="K22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2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2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2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24">
        <f>IF(Games[[#This Row],[Team]]="","",IF(Games[[#This Row],[Conf]]=Games[[#This Row],[OppConf]],1,0))</f>
        <v>1</v>
      </c>
      <c r="P224">
        <f>IF(Games[[#This Row],[Team]]="","",IF(AND(Games[[#This Row],[Conf]]=Games[[#This Row],[OppConf]],Games[[#This Row],[Div]]=Games[[#This Row],[OppDiv]]),1,0))</f>
        <v>0</v>
      </c>
      <c r="Q224">
        <f>IF(Games[[#This Row],[Team]]="","",_xlfn.MINIFS(Games[Date],Games[Season],Games[[#This Row],[Season]]))</f>
        <v>35309</v>
      </c>
      <c r="R224">
        <f>IF(Games[[#This Row],[Team]]="","",INT((Games[[#This Row],[Date]]-(Games[[#This Row],[SeasonStart]]-MOD(WEEKDAY(Games[[#This Row],[SeasonStart]],2)-2,7)))/7)+1)</f>
        <v>9</v>
      </c>
      <c r="S224">
        <f>IF(Games[[#This Row],[Team]]="","",COUNTIFS(Games[Team],Games[[#This Row],[Team]],Games[Season],Games[[#This Row],[Season]],Games[Week],"&lt;="&amp;Games[[#This Row],[Week]]))</f>
        <v>8</v>
      </c>
      <c r="T224">
        <f>IF(Games[[#This Row],[Team]]="","",_xlfn.MAXIFS(Games[Week],Games[Team],Games[[#This Row],[Team]],Games[Season],Games[[#This Row],[Season]],Games[Week],"&lt;"&amp;Games[[#This Row],[Week]]))</f>
        <v>8</v>
      </c>
      <c r="U224">
        <f>IF(Games[[#This Row],[Team]]="","",_xlfn.MAXIFS(Games[Week],Games[Team],Games[[#This Row],[Opponent]],Games[Season],Games[[#This Row],[Season]],Games[Week],"&lt;"&amp;Games[[#This Row],[Week]]))</f>
        <v>7</v>
      </c>
      <c r="V22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2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22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22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1412.4442384278286</v>
      </c>
      <c r="Z22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1535.8089834934326</v>
      </c>
      <c r="AA22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0.22049828358261442</v>
      </c>
      <c r="AB224">
        <f>IF(Games[[#This Row],[Team]]="","",Games[[#This Row],[PointsFor]]-Games[[#This Row],[PointsAgainst]])</f>
        <v>28</v>
      </c>
      <c r="AC224">
        <f>IF(Games[[#This Row],[Team]]="","",IF(Games[[#This Row],[MOV]]&gt;0,1,IF(Games[[#This Row],[MOV]]=0,0.5,0)))</f>
        <v>1</v>
      </c>
      <c r="AD224">
        <f>IF(Games[[#This Row],[Team]]="","",--(OR(AND(Games[[#This Row],[ExpectedWin]]&gt;=0.5,Games[[#This Row],[Result]]=1),AND(Games[[#This Row],[ExpectedWin]]&lt;0.5,Games[[#This Row],[Result]]=0))))</f>
        <v>0</v>
      </c>
      <c r="AE224">
        <f>IF(Games[[#This Row],[Team]]="","",-(Games[[#This Row],[Result]]*LN(Games[[#This Row],[ExpectedWin]])+(1-Games[[#This Row],[Result]])*LN(1-Games[[#This Row],[ExpectedWin]])))</f>
        <v>1.5118653683313639</v>
      </c>
      <c r="AF224">
        <f>IF(Games[[#This Row],[Team]]="","",IF(Games[[#This Row],[Season]]&gt;=2021,17,16))</f>
        <v>16</v>
      </c>
      <c r="AG224">
        <f>IF(Games[[#This Row],[Team]]="","",KMax-(KMax-KFloor)*MIN(Games[[#This Row],[GamesPlayed]],Games[[#This Row],[SeasonLen]])/Games[[#This Row],[SeasonLen]])</f>
        <v>41.1</v>
      </c>
      <c r="AH224">
        <f>IF(Games[[#This Row],[Team]]="","",((ABS(Games[[#This Row],[MOV]])+3)^0.8)/(7.5+0.006*ABS(Games[[#This Row],[PreGmRate]]-Games[[#This Row],[OppPreGmRate]]))*IF(Games[[#This Row],[OT]]=1,0.7,1))</f>
        <v>1.8930069569402461</v>
      </c>
      <c r="AI22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4">
        <f>IF(Games[[#This Row],[Team]]="","",Games[[#This Row],[K]]*IF(Games[[#This Row],[DivG]]=1,DivMult,1)*IF(Games[[#This Row],[ConfG]]=1,ConfMult,1)*Games[[#This Row],[POMult]])</f>
        <v>41.922000000000004</v>
      </c>
      <c r="AK224">
        <f>IF(Games[[#This Row],[Team]]="","",(Games[[#This Row],[Keff]]*Games[[#This Row],[MOVMult]])*(Games[[#This Row],[Result]]-Games[[#This Row],[ExpectedWin]]))</f>
        <v>61.860194259823167</v>
      </c>
      <c r="AL224">
        <f>IF(Games[[#This Row],[Team]]="","",Games[[#This Row],[PreGmRate]]+Games[[#This Row],[RatingChange]])</f>
        <v>1474.3044326876518</v>
      </c>
      <c r="AM224">
        <f>IF(Games[[#This Row],[Team]]="","",IF(Games[[#This Row],[Type]]="R",IF(Games[[#This Row],[Result]]&gt;0.5,1,0),0))</f>
        <v>1</v>
      </c>
      <c r="AN224">
        <f>IF(Games[[#This Row],[Team]]="","",IF(Games[[#This Row],[Type]]="R",IF(Games[[#This Row],[Result]]&lt;0.5,1,0),0))</f>
        <v>0</v>
      </c>
      <c r="AO224">
        <f>IF(Games[[#This Row],[Team]]="","",IF(Games[[#This Row],[Type]]="R",IF(Games[[#This Row],[Result]]=0.5,1,0),0))</f>
        <v>0</v>
      </c>
    </row>
    <row r="225" spans="1:41" x14ac:dyDescent="0.35">
      <c r="A225" s="8">
        <v>35365</v>
      </c>
      <c r="B225">
        <v>1996</v>
      </c>
      <c r="C225" t="s">
        <v>197</v>
      </c>
      <c r="D225" t="s">
        <v>199</v>
      </c>
      <c r="E225" t="s">
        <v>118</v>
      </c>
      <c r="F225" t="s">
        <v>136</v>
      </c>
      <c r="G225" t="s">
        <v>200</v>
      </c>
      <c r="H225">
        <v>7</v>
      </c>
      <c r="I225">
        <v>35</v>
      </c>
      <c r="J225">
        <v>0</v>
      </c>
      <c r="K22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2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2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2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25">
        <f>IF(Games[[#This Row],[Team]]="","",IF(Games[[#This Row],[Conf]]=Games[[#This Row],[OppConf]],1,0))</f>
        <v>1</v>
      </c>
      <c r="P225">
        <f>IF(Games[[#This Row],[Team]]="","",IF(AND(Games[[#This Row],[Conf]]=Games[[#This Row],[OppConf]],Games[[#This Row],[Div]]=Games[[#This Row],[OppDiv]]),1,0))</f>
        <v>0</v>
      </c>
      <c r="Q225">
        <f>IF(Games[[#This Row],[Team]]="","",_xlfn.MINIFS(Games[Date],Games[Season],Games[[#This Row],[Season]]))</f>
        <v>35309</v>
      </c>
      <c r="R225">
        <f>IF(Games[[#This Row],[Team]]="","",INT((Games[[#This Row],[Date]]-(Games[[#This Row],[SeasonStart]]-MOD(WEEKDAY(Games[[#This Row],[SeasonStart]],2)-2,7)))/7)+1)</f>
        <v>9</v>
      </c>
      <c r="S225">
        <f>IF(Games[[#This Row],[Team]]="","",COUNTIFS(Games[Team],Games[[#This Row],[Team]],Games[Season],Games[[#This Row],[Season]],Games[Week],"&lt;="&amp;Games[[#This Row],[Week]]))</f>
        <v>8</v>
      </c>
      <c r="T225">
        <f>IF(Games[[#This Row],[Team]]="","",_xlfn.MAXIFS(Games[Week],Games[Team],Games[[#This Row],[Team]],Games[Season],Games[[#This Row],[Season]],Games[Week],"&lt;"&amp;Games[[#This Row],[Week]]))</f>
        <v>7</v>
      </c>
      <c r="U225">
        <f>IF(Games[[#This Row],[Team]]="","",_xlfn.MAXIFS(Games[Week],Games[Team],Games[[#This Row],[Opponent]],Games[Season],Games[[#This Row],[Season]],Games[Week],"&lt;"&amp;Games[[#This Row],[Week]]))</f>
        <v>8</v>
      </c>
      <c r="V22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22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2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22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1535.8089834934326</v>
      </c>
      <c r="Z22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1412.4442384278286</v>
      </c>
      <c r="AA22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0.77950171641738564</v>
      </c>
      <c r="AB225">
        <f>IF(Games[[#This Row],[Team]]="","",Games[[#This Row],[PointsFor]]-Games[[#This Row],[PointsAgainst]])</f>
        <v>-28</v>
      </c>
      <c r="AC225">
        <f>IF(Games[[#This Row],[Team]]="","",IF(Games[[#This Row],[MOV]]&gt;0,1,IF(Games[[#This Row],[MOV]]=0,0.5,0)))</f>
        <v>0</v>
      </c>
      <c r="AD225">
        <f>IF(Games[[#This Row],[Team]]="","",--(OR(AND(Games[[#This Row],[ExpectedWin]]&gt;=0.5,Games[[#This Row],[Result]]=1),AND(Games[[#This Row],[ExpectedWin]]&lt;0.5,Games[[#This Row],[Result]]=0))))</f>
        <v>0</v>
      </c>
      <c r="AE225">
        <f>IF(Games[[#This Row],[Team]]="","",-(Games[[#This Row],[Result]]*LN(Games[[#This Row],[ExpectedWin]])+(1-Games[[#This Row],[Result]])*LN(1-Games[[#This Row],[ExpectedWin]])))</f>
        <v>1.5118653683313641</v>
      </c>
      <c r="AF225">
        <f>IF(Games[[#This Row],[Team]]="","",IF(Games[[#This Row],[Season]]&gt;=2021,17,16))</f>
        <v>16</v>
      </c>
      <c r="AG225">
        <f>IF(Games[[#This Row],[Team]]="","",KMax-(KMax-KFloor)*MIN(Games[[#This Row],[GamesPlayed]],Games[[#This Row],[SeasonLen]])/Games[[#This Row],[SeasonLen]])</f>
        <v>41.1</v>
      </c>
      <c r="AH225">
        <f>IF(Games[[#This Row],[Team]]="","",((ABS(Games[[#This Row],[MOV]])+3)^0.8)/(7.5+0.006*ABS(Games[[#This Row],[PreGmRate]]-Games[[#This Row],[OppPreGmRate]]))*IF(Games[[#This Row],[OT]]=1,0.7,1))</f>
        <v>1.8930069569402461</v>
      </c>
      <c r="AI22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5">
        <f>IF(Games[[#This Row],[Team]]="","",Games[[#This Row],[K]]*IF(Games[[#This Row],[DivG]]=1,DivMult,1)*IF(Games[[#This Row],[ConfG]]=1,ConfMult,1)*Games[[#This Row],[POMult]])</f>
        <v>41.922000000000004</v>
      </c>
      <c r="AK225">
        <f>IF(Games[[#This Row],[Team]]="","",(Games[[#This Row],[Keff]]*Games[[#This Row],[MOVMult]])*(Games[[#This Row],[Result]]-Games[[#This Row],[ExpectedWin]]))</f>
        <v>-61.860194259823167</v>
      </c>
      <c r="AL225">
        <f>IF(Games[[#This Row],[Team]]="","",Games[[#This Row],[PreGmRate]]+Games[[#This Row],[RatingChange]])</f>
        <v>1473.9487892336094</v>
      </c>
      <c r="AM225">
        <f>IF(Games[[#This Row],[Team]]="","",IF(Games[[#This Row],[Type]]="R",IF(Games[[#This Row],[Result]]&gt;0.5,1,0),0))</f>
        <v>0</v>
      </c>
      <c r="AN225">
        <f>IF(Games[[#This Row],[Team]]="","",IF(Games[[#This Row],[Type]]="R",IF(Games[[#This Row],[Result]]&lt;0.5,1,0),0))</f>
        <v>1</v>
      </c>
      <c r="AO225">
        <f>IF(Games[[#This Row],[Team]]="","",IF(Games[[#This Row],[Type]]="R",IF(Games[[#This Row],[Result]]=0.5,1,0),0))</f>
        <v>0</v>
      </c>
    </row>
    <row r="226" spans="1:41" x14ac:dyDescent="0.35">
      <c r="A226" s="8">
        <v>35365</v>
      </c>
      <c r="B226">
        <v>1996</v>
      </c>
      <c r="C226" t="s">
        <v>197</v>
      </c>
      <c r="D226" t="s">
        <v>199</v>
      </c>
      <c r="E226" t="s">
        <v>120</v>
      </c>
      <c r="F226" t="s">
        <v>151</v>
      </c>
      <c r="G226" t="s">
        <v>200</v>
      </c>
      <c r="H226">
        <v>13</v>
      </c>
      <c r="I226">
        <v>7</v>
      </c>
      <c r="J226">
        <v>0</v>
      </c>
      <c r="K22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2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2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2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26">
        <f>IF(Games[[#This Row],[Team]]="","",IF(Games[[#This Row],[Conf]]=Games[[#This Row],[OppConf]],1,0))</f>
        <v>1</v>
      </c>
      <c r="P226">
        <f>IF(Games[[#This Row],[Team]]="","",IF(AND(Games[[#This Row],[Conf]]=Games[[#This Row],[OppConf]],Games[[#This Row],[Div]]=Games[[#This Row],[OppDiv]]),1,0))</f>
        <v>1</v>
      </c>
      <c r="Q226">
        <f>IF(Games[[#This Row],[Team]]="","",_xlfn.MINIFS(Games[Date],Games[Season],Games[[#This Row],[Season]]))</f>
        <v>35309</v>
      </c>
      <c r="R226">
        <f>IF(Games[[#This Row],[Team]]="","",INT((Games[[#This Row],[Date]]-(Games[[#This Row],[SeasonStart]]-MOD(WEEKDAY(Games[[#This Row],[SeasonStart]],2)-2,7)))/7)+1)</f>
        <v>9</v>
      </c>
      <c r="S226">
        <f>IF(Games[[#This Row],[Team]]="","",COUNTIFS(Games[Team],Games[[#This Row],[Team]],Games[Season],Games[[#This Row],[Season]],Games[Week],"&lt;="&amp;Games[[#This Row],[Week]]))</f>
        <v>8</v>
      </c>
      <c r="T226">
        <f>IF(Games[[#This Row],[Team]]="","",_xlfn.MAXIFS(Games[Week],Games[Team],Games[[#This Row],[Team]],Games[Season],Games[[#This Row],[Season]],Games[Week],"&lt;"&amp;Games[[#This Row],[Week]]))</f>
        <v>7</v>
      </c>
      <c r="U226">
        <f>IF(Games[[#This Row],[Team]]="","",_xlfn.MAXIFS(Games[Week],Games[Team],Games[[#This Row],[Opponent]],Games[Season],Games[[#This Row],[Season]],Games[Week],"&lt;"&amp;Games[[#This Row],[Week]]))</f>
        <v>8</v>
      </c>
      <c r="V22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13</v>
      </c>
      <c r="W22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2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22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1669.5891503839357</v>
      </c>
      <c r="Z22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1372.9453964620752</v>
      </c>
      <c r="AA22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0.9055300900565082</v>
      </c>
      <c r="AB226">
        <f>IF(Games[[#This Row],[Team]]="","",Games[[#This Row],[PointsFor]]-Games[[#This Row],[PointsAgainst]])</f>
        <v>6</v>
      </c>
      <c r="AC226">
        <f>IF(Games[[#This Row],[Team]]="","",IF(Games[[#This Row],[MOV]]&gt;0,1,IF(Games[[#This Row],[MOV]]=0,0.5,0)))</f>
        <v>1</v>
      </c>
      <c r="AD226">
        <f>IF(Games[[#This Row],[Team]]="","",--(OR(AND(Games[[#This Row],[ExpectedWin]]&gt;=0.5,Games[[#This Row],[Result]]=1),AND(Games[[#This Row],[ExpectedWin]]&lt;0.5,Games[[#This Row],[Result]]=0))))</f>
        <v>1</v>
      </c>
      <c r="AE226">
        <f>IF(Games[[#This Row],[Team]]="","",-(Games[[#This Row],[Result]]*LN(Games[[#This Row],[ExpectedWin]])+(1-Games[[#This Row],[Result]])*LN(1-Games[[#This Row],[ExpectedWin]])))</f>
        <v>9.9234771888853254E-2</v>
      </c>
      <c r="AF226">
        <f>IF(Games[[#This Row],[Team]]="","",IF(Games[[#This Row],[Season]]&gt;=2021,17,16))</f>
        <v>16</v>
      </c>
      <c r="AG226">
        <f>IF(Games[[#This Row],[Team]]="","",KMax-(KMax-KFloor)*MIN(Games[[#This Row],[GamesPlayed]],Games[[#This Row],[SeasonLen]])/Games[[#This Row],[SeasonLen]])</f>
        <v>41.1</v>
      </c>
      <c r="AH226">
        <f>IF(Games[[#This Row],[Team]]="","",((ABS(Games[[#This Row],[MOV]])+3)^0.8)/(7.5+0.006*ABS(Games[[#This Row],[PreGmRate]]-Games[[#This Row],[OppPreGmRate]]))*IF(Games[[#This Row],[OT]]=1,0.7,1))</f>
        <v>0.62496035044584397</v>
      </c>
      <c r="AI22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6">
        <f>IF(Games[[#This Row],[Team]]="","",Games[[#This Row],[K]]*IF(Games[[#This Row],[DivG]]=1,DivMult,1)*IF(Games[[#This Row],[ConfG]]=1,ConfMult,1)*Games[[#This Row],[POMult]])</f>
        <v>46.114200000000011</v>
      </c>
      <c r="AK226">
        <f>IF(Games[[#This Row],[Team]]="","",(Games[[#This Row],[Keff]]*Games[[#This Row],[MOVMult]])*(Games[[#This Row],[Result]]-Games[[#This Row],[ExpectedWin]]))</f>
        <v>2.722579971208551</v>
      </c>
      <c r="AL226">
        <f>IF(Games[[#This Row],[Team]]="","",Games[[#This Row],[PreGmRate]]+Games[[#This Row],[RatingChange]])</f>
        <v>1672.3117303551442</v>
      </c>
      <c r="AM226">
        <f>IF(Games[[#This Row],[Team]]="","",IF(Games[[#This Row],[Type]]="R",IF(Games[[#This Row],[Result]]&gt;0.5,1,0),0))</f>
        <v>1</v>
      </c>
      <c r="AN226">
        <f>IF(Games[[#This Row],[Team]]="","",IF(Games[[#This Row],[Type]]="R",IF(Games[[#This Row],[Result]]&lt;0.5,1,0),0))</f>
        <v>0</v>
      </c>
      <c r="AO226">
        <f>IF(Games[[#This Row],[Team]]="","",IF(Games[[#This Row],[Type]]="R",IF(Games[[#This Row],[Result]]=0.5,1,0),0))</f>
        <v>0</v>
      </c>
    </row>
    <row r="227" spans="1:41" x14ac:dyDescent="0.35">
      <c r="A227" s="8">
        <v>35365</v>
      </c>
      <c r="B227">
        <v>1996</v>
      </c>
      <c r="C227" t="s">
        <v>197</v>
      </c>
      <c r="D227" t="s">
        <v>199</v>
      </c>
      <c r="E227" t="s">
        <v>151</v>
      </c>
      <c r="F227" t="s">
        <v>120</v>
      </c>
      <c r="G227" t="s">
        <v>201</v>
      </c>
      <c r="H227">
        <v>7</v>
      </c>
      <c r="I227">
        <v>13</v>
      </c>
      <c r="J227">
        <v>0</v>
      </c>
      <c r="K22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2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2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2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27">
        <f>IF(Games[[#This Row],[Team]]="","",IF(Games[[#This Row],[Conf]]=Games[[#This Row],[OppConf]],1,0))</f>
        <v>1</v>
      </c>
      <c r="P227">
        <f>IF(Games[[#This Row],[Team]]="","",IF(AND(Games[[#This Row],[Conf]]=Games[[#This Row],[OppConf]],Games[[#This Row],[Div]]=Games[[#This Row],[OppDiv]]),1,0))</f>
        <v>1</v>
      </c>
      <c r="Q227">
        <f>IF(Games[[#This Row],[Team]]="","",_xlfn.MINIFS(Games[Date],Games[Season],Games[[#This Row],[Season]]))</f>
        <v>35309</v>
      </c>
      <c r="R227">
        <f>IF(Games[[#This Row],[Team]]="","",INT((Games[[#This Row],[Date]]-(Games[[#This Row],[SeasonStart]]-MOD(WEEKDAY(Games[[#This Row],[SeasonStart]],2)-2,7)))/7)+1)</f>
        <v>9</v>
      </c>
      <c r="S227">
        <f>IF(Games[[#This Row],[Team]]="","",COUNTIFS(Games[Team],Games[[#This Row],[Team]],Games[Season],Games[[#This Row],[Season]],Games[Week],"&lt;="&amp;Games[[#This Row],[Week]]))</f>
        <v>8</v>
      </c>
      <c r="T227">
        <f>IF(Games[[#This Row],[Team]]="","",_xlfn.MAXIFS(Games[Week],Games[Team],Games[[#This Row],[Team]],Games[Season],Games[[#This Row],[Season]],Games[Week],"&lt;"&amp;Games[[#This Row],[Week]]))</f>
        <v>8</v>
      </c>
      <c r="U227">
        <f>IF(Games[[#This Row],[Team]]="","",_xlfn.MAXIFS(Games[Week],Games[Team],Games[[#This Row],[Opponent]],Games[Season],Games[[#This Row],[Season]],Games[Week],"&lt;"&amp;Games[[#This Row],[Week]]))</f>
        <v>7</v>
      </c>
      <c r="V22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2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13</v>
      </c>
      <c r="X22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22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1372.9453964620752</v>
      </c>
      <c r="Z22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1669.5891503839357</v>
      </c>
      <c r="AA22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9.4469909943491873E-2</v>
      </c>
      <c r="AB227">
        <f>IF(Games[[#This Row],[Team]]="","",Games[[#This Row],[PointsFor]]-Games[[#This Row],[PointsAgainst]])</f>
        <v>-6</v>
      </c>
      <c r="AC227">
        <f>IF(Games[[#This Row],[Team]]="","",IF(Games[[#This Row],[MOV]]&gt;0,1,IF(Games[[#This Row],[MOV]]=0,0.5,0)))</f>
        <v>0</v>
      </c>
      <c r="AD227">
        <f>IF(Games[[#This Row],[Team]]="","",--(OR(AND(Games[[#This Row],[ExpectedWin]]&gt;=0.5,Games[[#This Row],[Result]]=1),AND(Games[[#This Row],[ExpectedWin]]&lt;0.5,Games[[#This Row],[Result]]=0))))</f>
        <v>1</v>
      </c>
      <c r="AE227">
        <f>IF(Games[[#This Row],[Team]]="","",-(Games[[#This Row],[Result]]*LN(Games[[#This Row],[ExpectedWin]])+(1-Games[[#This Row],[Result]])*LN(1-Games[[#This Row],[ExpectedWin]])))</f>
        <v>9.9234771888853379E-2</v>
      </c>
      <c r="AF227">
        <f>IF(Games[[#This Row],[Team]]="","",IF(Games[[#This Row],[Season]]&gt;=2021,17,16))</f>
        <v>16</v>
      </c>
      <c r="AG227">
        <f>IF(Games[[#This Row],[Team]]="","",KMax-(KMax-KFloor)*MIN(Games[[#This Row],[GamesPlayed]],Games[[#This Row],[SeasonLen]])/Games[[#This Row],[SeasonLen]])</f>
        <v>41.1</v>
      </c>
      <c r="AH227">
        <f>IF(Games[[#This Row],[Team]]="","",((ABS(Games[[#This Row],[MOV]])+3)^0.8)/(7.5+0.006*ABS(Games[[#This Row],[PreGmRate]]-Games[[#This Row],[OppPreGmRate]]))*IF(Games[[#This Row],[OT]]=1,0.7,1))</f>
        <v>0.62496035044584397</v>
      </c>
      <c r="AI22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7">
        <f>IF(Games[[#This Row],[Team]]="","",Games[[#This Row],[K]]*IF(Games[[#This Row],[DivG]]=1,DivMult,1)*IF(Games[[#This Row],[ConfG]]=1,ConfMult,1)*Games[[#This Row],[POMult]])</f>
        <v>46.114200000000011</v>
      </c>
      <c r="AK227">
        <f>IF(Games[[#This Row],[Team]]="","",(Games[[#This Row],[Keff]]*Games[[#This Row],[MOVMult]])*(Games[[#This Row],[Result]]-Games[[#This Row],[ExpectedWin]]))</f>
        <v>-2.7225799712085528</v>
      </c>
      <c r="AL227">
        <f>IF(Games[[#This Row],[Team]]="","",Games[[#This Row],[PreGmRate]]+Games[[#This Row],[RatingChange]])</f>
        <v>1370.2228164908668</v>
      </c>
      <c r="AM227">
        <f>IF(Games[[#This Row],[Team]]="","",IF(Games[[#This Row],[Type]]="R",IF(Games[[#This Row],[Result]]&gt;0.5,1,0),0))</f>
        <v>0</v>
      </c>
      <c r="AN227">
        <f>IF(Games[[#This Row],[Team]]="","",IF(Games[[#This Row],[Type]]="R",IF(Games[[#This Row],[Result]]&lt;0.5,1,0),0))</f>
        <v>1</v>
      </c>
      <c r="AO227">
        <f>IF(Games[[#This Row],[Team]]="","",IF(Games[[#This Row],[Type]]="R",IF(Games[[#This Row],[Result]]=0.5,1,0),0))</f>
        <v>0</v>
      </c>
    </row>
    <row r="228" spans="1:41" x14ac:dyDescent="0.35">
      <c r="A228" s="8">
        <v>35365</v>
      </c>
      <c r="B228">
        <v>1996</v>
      </c>
      <c r="C228" t="s">
        <v>197</v>
      </c>
      <c r="D228" t="s">
        <v>199</v>
      </c>
      <c r="E228" t="s">
        <v>148</v>
      </c>
      <c r="F228" t="s">
        <v>153</v>
      </c>
      <c r="G228" t="s">
        <v>201</v>
      </c>
      <c r="H228">
        <v>10</v>
      </c>
      <c r="I228">
        <v>9</v>
      </c>
      <c r="J228">
        <v>0</v>
      </c>
      <c r="K22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2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2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2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28">
        <f>IF(Games[[#This Row],[Team]]="","",IF(Games[[#This Row],[Conf]]=Games[[#This Row],[OppConf]],1,0))</f>
        <v>0</v>
      </c>
      <c r="P228">
        <f>IF(Games[[#This Row],[Team]]="","",IF(AND(Games[[#This Row],[Conf]]=Games[[#This Row],[OppConf]],Games[[#This Row],[Div]]=Games[[#This Row],[OppDiv]]),1,0))</f>
        <v>0</v>
      </c>
      <c r="Q228">
        <f>IF(Games[[#This Row],[Team]]="","",_xlfn.MINIFS(Games[Date],Games[Season],Games[[#This Row],[Season]]))</f>
        <v>35309</v>
      </c>
      <c r="R228">
        <f>IF(Games[[#This Row],[Team]]="","",INT((Games[[#This Row],[Date]]-(Games[[#This Row],[SeasonStart]]-MOD(WEEKDAY(Games[[#This Row],[SeasonStart]],2)-2,7)))/7)+1)</f>
        <v>9</v>
      </c>
      <c r="S228">
        <f>IF(Games[[#This Row],[Team]]="","",COUNTIFS(Games[Team],Games[[#This Row],[Team]],Games[Season],Games[[#This Row],[Season]],Games[Week],"&lt;="&amp;Games[[#This Row],[Week]]))</f>
        <v>8</v>
      </c>
      <c r="T228">
        <f>IF(Games[[#This Row],[Team]]="","",_xlfn.MAXIFS(Games[Week],Games[Team],Games[[#This Row],[Team]],Games[Season],Games[[#This Row],[Season]],Games[Week],"&lt;"&amp;Games[[#This Row],[Week]]))</f>
        <v>8</v>
      </c>
      <c r="U228">
        <f>IF(Games[[#This Row],[Team]]="","",_xlfn.MAXIFS(Games[Week],Games[Team],Games[[#This Row],[Opponent]],Games[Season],Games[[#This Row],[Season]],Games[Week],"&lt;"&amp;Games[[#This Row],[Week]]))</f>
        <v>8</v>
      </c>
      <c r="V22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2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2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2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1593.9753011411406</v>
      </c>
      <c r="Z22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1562.0388349211339</v>
      </c>
      <c r="AA22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0.44259813695554118</v>
      </c>
      <c r="AB228">
        <f>IF(Games[[#This Row],[Team]]="","",Games[[#This Row],[PointsFor]]-Games[[#This Row],[PointsAgainst]])</f>
        <v>1</v>
      </c>
      <c r="AC228">
        <f>IF(Games[[#This Row],[Team]]="","",IF(Games[[#This Row],[MOV]]&gt;0,1,IF(Games[[#This Row],[MOV]]=0,0.5,0)))</f>
        <v>1</v>
      </c>
      <c r="AD228">
        <f>IF(Games[[#This Row],[Team]]="","",--(OR(AND(Games[[#This Row],[ExpectedWin]]&gt;=0.5,Games[[#This Row],[Result]]=1),AND(Games[[#This Row],[ExpectedWin]]&lt;0.5,Games[[#This Row],[Result]]=0))))</f>
        <v>0</v>
      </c>
      <c r="AE228">
        <f>IF(Games[[#This Row],[Team]]="","",-(Games[[#This Row],[Result]]*LN(Games[[#This Row],[ExpectedWin]])+(1-Games[[#This Row],[Result]])*LN(1-Games[[#This Row],[ExpectedWin]])))</f>
        <v>0.815093060692752</v>
      </c>
      <c r="AF228">
        <f>IF(Games[[#This Row],[Team]]="","",IF(Games[[#This Row],[Season]]&gt;=2021,17,16))</f>
        <v>16</v>
      </c>
      <c r="AG228">
        <f>IF(Games[[#This Row],[Team]]="","",KMax-(KMax-KFloor)*MIN(Games[[#This Row],[GamesPlayed]],Games[[#This Row],[SeasonLen]])/Games[[#This Row],[SeasonLen]])</f>
        <v>41.1</v>
      </c>
      <c r="AH228">
        <f>IF(Games[[#This Row],[Team]]="","",((ABS(Games[[#This Row],[MOV]])+3)^0.8)/(7.5+0.006*ABS(Games[[#This Row],[PreGmRate]]-Games[[#This Row],[OppPreGmRate]]))*IF(Games[[#This Row],[OT]]=1,0.7,1))</f>
        <v>0.39412160338432606</v>
      </c>
      <c r="AI22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8">
        <f>IF(Games[[#This Row],[Team]]="","",Games[[#This Row],[K]]*IF(Games[[#This Row],[DivG]]=1,DivMult,1)*IF(Games[[#This Row],[ConfG]]=1,ConfMult,1)*Games[[#This Row],[POMult]])</f>
        <v>41.1</v>
      </c>
      <c r="AK228">
        <f>IF(Games[[#This Row],[Team]]="","",(Games[[#This Row],[Keff]]*Games[[#This Row],[MOVMult]])*(Games[[#This Row],[Result]]-Games[[#This Row],[ExpectedWin]]))</f>
        <v>9.0290171672914479</v>
      </c>
      <c r="AL228">
        <f>IF(Games[[#This Row],[Team]]="","",Games[[#This Row],[PreGmRate]]+Games[[#This Row],[RatingChange]])</f>
        <v>1603.0043183084319</v>
      </c>
      <c r="AM228">
        <f>IF(Games[[#This Row],[Team]]="","",IF(Games[[#This Row],[Type]]="R",IF(Games[[#This Row],[Result]]&gt;0.5,1,0),0))</f>
        <v>1</v>
      </c>
      <c r="AN228">
        <f>IF(Games[[#This Row],[Team]]="","",IF(Games[[#This Row],[Type]]="R",IF(Games[[#This Row],[Result]]&lt;0.5,1,0),0))</f>
        <v>0</v>
      </c>
      <c r="AO228">
        <f>IF(Games[[#This Row],[Team]]="","",IF(Games[[#This Row],[Type]]="R",IF(Games[[#This Row],[Result]]=0.5,1,0),0))</f>
        <v>0</v>
      </c>
    </row>
    <row r="229" spans="1:41" x14ac:dyDescent="0.35">
      <c r="A229" s="8">
        <v>35365</v>
      </c>
      <c r="B229">
        <v>1996</v>
      </c>
      <c r="C229" t="s">
        <v>197</v>
      </c>
      <c r="D229" t="s">
        <v>199</v>
      </c>
      <c r="E229" t="s">
        <v>153</v>
      </c>
      <c r="F229" t="s">
        <v>148</v>
      </c>
      <c r="G229" t="s">
        <v>200</v>
      </c>
      <c r="H229">
        <v>9</v>
      </c>
      <c r="I229">
        <v>10</v>
      </c>
      <c r="J229">
        <v>0</v>
      </c>
      <c r="K22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2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2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2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29">
        <f>IF(Games[[#This Row],[Team]]="","",IF(Games[[#This Row],[Conf]]=Games[[#This Row],[OppConf]],1,0))</f>
        <v>0</v>
      </c>
      <c r="P229">
        <f>IF(Games[[#This Row],[Team]]="","",IF(AND(Games[[#This Row],[Conf]]=Games[[#This Row],[OppConf]],Games[[#This Row],[Div]]=Games[[#This Row],[OppDiv]]),1,0))</f>
        <v>0</v>
      </c>
      <c r="Q229">
        <f>IF(Games[[#This Row],[Team]]="","",_xlfn.MINIFS(Games[Date],Games[Season],Games[[#This Row],[Season]]))</f>
        <v>35309</v>
      </c>
      <c r="R229">
        <f>IF(Games[[#This Row],[Team]]="","",INT((Games[[#This Row],[Date]]-(Games[[#This Row],[SeasonStart]]-MOD(WEEKDAY(Games[[#This Row],[SeasonStart]],2)-2,7)))/7)+1)</f>
        <v>9</v>
      </c>
      <c r="S229">
        <f>IF(Games[[#This Row],[Team]]="","",COUNTIFS(Games[Team],Games[[#This Row],[Team]],Games[Season],Games[[#This Row],[Season]],Games[Week],"&lt;="&amp;Games[[#This Row],[Week]]))</f>
        <v>8</v>
      </c>
      <c r="T229">
        <f>IF(Games[[#This Row],[Team]]="","",_xlfn.MAXIFS(Games[Week],Games[Team],Games[[#This Row],[Team]],Games[Season],Games[[#This Row],[Season]],Games[Week],"&lt;"&amp;Games[[#This Row],[Week]]))</f>
        <v>8</v>
      </c>
      <c r="U229">
        <f>IF(Games[[#This Row],[Team]]="","",_xlfn.MAXIFS(Games[Week],Games[Team],Games[[#This Row],[Opponent]],Games[Season],Games[[#This Row],[Season]],Games[Week],"&lt;"&amp;Games[[#This Row],[Week]]))</f>
        <v>8</v>
      </c>
      <c r="V22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2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2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2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1562.0388349211339</v>
      </c>
      <c r="Z22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1593.9753011411406</v>
      </c>
      <c r="AA22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0.55740186304445882</v>
      </c>
      <c r="AB229">
        <f>IF(Games[[#This Row],[Team]]="","",Games[[#This Row],[PointsFor]]-Games[[#This Row],[PointsAgainst]])</f>
        <v>-1</v>
      </c>
      <c r="AC229">
        <f>IF(Games[[#This Row],[Team]]="","",IF(Games[[#This Row],[MOV]]&gt;0,1,IF(Games[[#This Row],[MOV]]=0,0.5,0)))</f>
        <v>0</v>
      </c>
      <c r="AD229">
        <f>IF(Games[[#This Row],[Team]]="","",--(OR(AND(Games[[#This Row],[ExpectedWin]]&gt;=0.5,Games[[#This Row],[Result]]=1),AND(Games[[#This Row],[ExpectedWin]]&lt;0.5,Games[[#This Row],[Result]]=0))))</f>
        <v>0</v>
      </c>
      <c r="AE229">
        <f>IF(Games[[#This Row],[Team]]="","",-(Games[[#This Row],[Result]]*LN(Games[[#This Row],[ExpectedWin]])+(1-Games[[#This Row],[Result]])*LN(1-Games[[#This Row],[ExpectedWin]])))</f>
        <v>0.815093060692752</v>
      </c>
      <c r="AF229">
        <f>IF(Games[[#This Row],[Team]]="","",IF(Games[[#This Row],[Season]]&gt;=2021,17,16))</f>
        <v>16</v>
      </c>
      <c r="AG229">
        <f>IF(Games[[#This Row],[Team]]="","",KMax-(KMax-KFloor)*MIN(Games[[#This Row],[GamesPlayed]],Games[[#This Row],[SeasonLen]])/Games[[#This Row],[SeasonLen]])</f>
        <v>41.1</v>
      </c>
      <c r="AH229">
        <f>IF(Games[[#This Row],[Team]]="","",((ABS(Games[[#This Row],[MOV]])+3)^0.8)/(7.5+0.006*ABS(Games[[#This Row],[PreGmRate]]-Games[[#This Row],[OppPreGmRate]]))*IF(Games[[#This Row],[OT]]=1,0.7,1))</f>
        <v>0.39412160338432606</v>
      </c>
      <c r="AI22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9">
        <f>IF(Games[[#This Row],[Team]]="","",Games[[#This Row],[K]]*IF(Games[[#This Row],[DivG]]=1,DivMult,1)*IF(Games[[#This Row],[ConfG]]=1,ConfMult,1)*Games[[#This Row],[POMult]])</f>
        <v>41.1</v>
      </c>
      <c r="AK229">
        <f>IF(Games[[#This Row],[Team]]="","",(Games[[#This Row],[Keff]]*Games[[#This Row],[MOVMult]])*(Games[[#This Row],[Result]]-Games[[#This Row],[ExpectedWin]]))</f>
        <v>-9.0290171672914479</v>
      </c>
      <c r="AL229">
        <f>IF(Games[[#This Row],[Team]]="","",Games[[#This Row],[PreGmRate]]+Games[[#This Row],[RatingChange]])</f>
        <v>1553.0098177538425</v>
      </c>
      <c r="AM229">
        <f>IF(Games[[#This Row],[Team]]="","",IF(Games[[#This Row],[Type]]="R",IF(Games[[#This Row],[Result]]&gt;0.5,1,0),0))</f>
        <v>0</v>
      </c>
      <c r="AN229">
        <f>IF(Games[[#This Row],[Team]]="","",IF(Games[[#This Row],[Type]]="R",IF(Games[[#This Row],[Result]]&lt;0.5,1,0),0))</f>
        <v>1</v>
      </c>
      <c r="AO229">
        <f>IF(Games[[#This Row],[Team]]="","",IF(Games[[#This Row],[Type]]="R",IF(Games[[#This Row],[Result]]=0.5,1,0),0))</f>
        <v>0</v>
      </c>
    </row>
    <row r="230" spans="1:41" x14ac:dyDescent="0.35">
      <c r="A230" s="8">
        <v>35365</v>
      </c>
      <c r="B230">
        <v>1996</v>
      </c>
      <c r="C230" t="s">
        <v>197</v>
      </c>
      <c r="D230" t="s">
        <v>199</v>
      </c>
      <c r="E230" t="s">
        <v>101</v>
      </c>
      <c r="F230" t="s">
        <v>150</v>
      </c>
      <c r="G230" t="s">
        <v>200</v>
      </c>
      <c r="H230">
        <v>37</v>
      </c>
      <c r="I230">
        <v>31</v>
      </c>
      <c r="J230">
        <v>1</v>
      </c>
      <c r="K23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3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3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3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30">
        <f>IF(Games[[#This Row],[Team]]="","",IF(Games[[#This Row],[Conf]]=Games[[#This Row],[OppConf]],1,0))</f>
        <v>0</v>
      </c>
      <c r="P230">
        <f>IF(Games[[#This Row],[Team]]="","",IF(AND(Games[[#This Row],[Conf]]=Games[[#This Row],[OppConf]],Games[[#This Row],[Div]]=Games[[#This Row],[OppDiv]]),1,0))</f>
        <v>0</v>
      </c>
      <c r="Q230">
        <f>IF(Games[[#This Row],[Team]]="","",_xlfn.MINIFS(Games[Date],Games[Season],Games[[#This Row],[Season]]))</f>
        <v>35309</v>
      </c>
      <c r="R230">
        <f>IF(Games[[#This Row],[Team]]="","",INT((Games[[#This Row],[Date]]-(Games[[#This Row],[SeasonStart]]-MOD(WEEKDAY(Games[[#This Row],[SeasonStart]],2)-2,7)))/7)+1)</f>
        <v>9</v>
      </c>
      <c r="S230">
        <f>IF(Games[[#This Row],[Team]]="","",COUNTIFS(Games[Team],Games[[#This Row],[Team]],Games[Season],Games[[#This Row],[Season]],Games[Week],"&lt;="&amp;Games[[#This Row],[Week]]))</f>
        <v>8</v>
      </c>
      <c r="T230">
        <f>IF(Games[[#This Row],[Team]]="","",_xlfn.MAXIFS(Games[Week],Games[Team],Games[[#This Row],[Team]],Games[Season],Games[[#This Row],[Season]],Games[Week],"&lt;"&amp;Games[[#This Row],[Week]]))</f>
        <v>8</v>
      </c>
      <c r="U230">
        <f>IF(Games[[#This Row],[Team]]="","",_xlfn.MAXIFS(Games[Week],Games[Team],Games[[#This Row],[Opponent]],Games[Season],Games[[#This Row],[Season]],Games[Week],"&lt;"&amp;Games[[#This Row],[Week]]))</f>
        <v>8</v>
      </c>
      <c r="V23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3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3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3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1434.5539576566794</v>
      </c>
      <c r="Z23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1405.9028748638696</v>
      </c>
      <c r="AA23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0.64092800148318274</v>
      </c>
      <c r="AB230">
        <f>IF(Games[[#This Row],[Team]]="","",Games[[#This Row],[PointsFor]]-Games[[#This Row],[PointsAgainst]])</f>
        <v>6</v>
      </c>
      <c r="AC230">
        <f>IF(Games[[#This Row],[Team]]="","",IF(Games[[#This Row],[MOV]]&gt;0,1,IF(Games[[#This Row],[MOV]]=0,0.5,0)))</f>
        <v>1</v>
      </c>
      <c r="AD230">
        <f>IF(Games[[#This Row],[Team]]="","",--(OR(AND(Games[[#This Row],[ExpectedWin]]&gt;=0.5,Games[[#This Row],[Result]]=1),AND(Games[[#This Row],[ExpectedWin]]&lt;0.5,Games[[#This Row],[Result]]=0))))</f>
        <v>1</v>
      </c>
      <c r="AE230">
        <f>IF(Games[[#This Row],[Team]]="","",-(Games[[#This Row],[Result]]*LN(Games[[#This Row],[ExpectedWin]])+(1-Games[[#This Row],[Result]])*LN(1-Games[[#This Row],[ExpectedWin]])))</f>
        <v>0.44483815054919745</v>
      </c>
      <c r="AF230">
        <f>IF(Games[[#This Row],[Team]]="","",IF(Games[[#This Row],[Season]]&gt;=2021,17,16))</f>
        <v>16</v>
      </c>
      <c r="AG230">
        <f>IF(Games[[#This Row],[Team]]="","",KMax-(KMax-KFloor)*MIN(Games[[#This Row],[GamesPlayed]],Games[[#This Row],[SeasonLen]])/Games[[#This Row],[SeasonLen]])</f>
        <v>41.1</v>
      </c>
      <c r="AH230">
        <f>IF(Games[[#This Row],[Team]]="","",((ABS(Games[[#This Row],[MOV]])+3)^0.8)/(7.5+0.006*ABS(Games[[#This Row],[PreGmRate]]-Games[[#This Row],[OppPreGmRate]]))*IF(Games[[#This Row],[OT]]=1,0.7,1))</f>
        <v>0.52916211844772221</v>
      </c>
      <c r="AI23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0">
        <f>IF(Games[[#This Row],[Team]]="","",Games[[#This Row],[K]]*IF(Games[[#This Row],[DivG]]=1,DivMult,1)*IF(Games[[#This Row],[ConfG]]=1,ConfMult,1)*Games[[#This Row],[POMult]])</f>
        <v>41.1</v>
      </c>
      <c r="AK230">
        <f>IF(Games[[#This Row],[Team]]="","",(Games[[#This Row],[Keff]]*Games[[#This Row],[MOVMult]])*(Games[[#This Row],[Result]]-Games[[#This Row],[ExpectedWin]]))</f>
        <v>7.8093000057681143</v>
      </c>
      <c r="AL230">
        <f>IF(Games[[#This Row],[Team]]="","",Games[[#This Row],[PreGmRate]]+Games[[#This Row],[RatingChange]])</f>
        <v>1442.3632576624475</v>
      </c>
      <c r="AM230">
        <f>IF(Games[[#This Row],[Team]]="","",IF(Games[[#This Row],[Type]]="R",IF(Games[[#This Row],[Result]]&gt;0.5,1,0),0))</f>
        <v>1</v>
      </c>
      <c r="AN230">
        <f>IF(Games[[#This Row],[Team]]="","",IF(Games[[#This Row],[Type]]="R",IF(Games[[#This Row],[Result]]&lt;0.5,1,0),0))</f>
        <v>0</v>
      </c>
      <c r="AO230">
        <f>IF(Games[[#This Row],[Team]]="","",IF(Games[[#This Row],[Type]]="R",IF(Games[[#This Row],[Result]]=0.5,1,0),0))</f>
        <v>0</v>
      </c>
    </row>
    <row r="231" spans="1:41" x14ac:dyDescent="0.35">
      <c r="A231" s="8">
        <v>35365</v>
      </c>
      <c r="B231">
        <v>1996</v>
      </c>
      <c r="C231" t="s">
        <v>197</v>
      </c>
      <c r="D231" t="s">
        <v>199</v>
      </c>
      <c r="E231" t="s">
        <v>150</v>
      </c>
      <c r="F231" t="s">
        <v>101</v>
      </c>
      <c r="G231" t="s">
        <v>201</v>
      </c>
      <c r="H231">
        <v>31</v>
      </c>
      <c r="I231">
        <v>37</v>
      </c>
      <c r="J231">
        <v>1</v>
      </c>
      <c r="K23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3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3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3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31">
        <f>IF(Games[[#This Row],[Team]]="","",IF(Games[[#This Row],[Conf]]=Games[[#This Row],[OppConf]],1,0))</f>
        <v>0</v>
      </c>
      <c r="P231">
        <f>IF(Games[[#This Row],[Team]]="","",IF(AND(Games[[#This Row],[Conf]]=Games[[#This Row],[OppConf]],Games[[#This Row],[Div]]=Games[[#This Row],[OppDiv]]),1,0))</f>
        <v>0</v>
      </c>
      <c r="Q231">
        <f>IF(Games[[#This Row],[Team]]="","",_xlfn.MINIFS(Games[Date],Games[Season],Games[[#This Row],[Season]]))</f>
        <v>35309</v>
      </c>
      <c r="R231">
        <f>IF(Games[[#This Row],[Team]]="","",INT((Games[[#This Row],[Date]]-(Games[[#This Row],[SeasonStart]]-MOD(WEEKDAY(Games[[#This Row],[SeasonStart]],2)-2,7)))/7)+1)</f>
        <v>9</v>
      </c>
      <c r="S231">
        <f>IF(Games[[#This Row],[Team]]="","",COUNTIFS(Games[Team],Games[[#This Row],[Team]],Games[Season],Games[[#This Row],[Season]],Games[Week],"&lt;="&amp;Games[[#This Row],[Week]]))</f>
        <v>8</v>
      </c>
      <c r="T231">
        <f>IF(Games[[#This Row],[Team]]="","",_xlfn.MAXIFS(Games[Week],Games[Team],Games[[#This Row],[Team]],Games[Season],Games[[#This Row],[Season]],Games[Week],"&lt;"&amp;Games[[#This Row],[Week]]))</f>
        <v>8</v>
      </c>
      <c r="U231">
        <f>IF(Games[[#This Row],[Team]]="","",_xlfn.MAXIFS(Games[Week],Games[Team],Games[[#This Row],[Opponent]],Games[Season],Games[[#This Row],[Season]],Games[Week],"&lt;"&amp;Games[[#This Row],[Week]]))</f>
        <v>8</v>
      </c>
      <c r="V23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3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3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3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1405.9028748638696</v>
      </c>
      <c r="Z23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1434.5539576566794</v>
      </c>
      <c r="AA23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0.35907199851681731</v>
      </c>
      <c r="AB231">
        <f>IF(Games[[#This Row],[Team]]="","",Games[[#This Row],[PointsFor]]-Games[[#This Row],[PointsAgainst]])</f>
        <v>-6</v>
      </c>
      <c r="AC231">
        <f>IF(Games[[#This Row],[Team]]="","",IF(Games[[#This Row],[MOV]]&gt;0,1,IF(Games[[#This Row],[MOV]]=0,0.5,0)))</f>
        <v>0</v>
      </c>
      <c r="AD231">
        <f>IF(Games[[#This Row],[Team]]="","",--(OR(AND(Games[[#This Row],[ExpectedWin]]&gt;=0.5,Games[[#This Row],[Result]]=1),AND(Games[[#This Row],[ExpectedWin]]&lt;0.5,Games[[#This Row],[Result]]=0))))</f>
        <v>1</v>
      </c>
      <c r="AE231">
        <f>IF(Games[[#This Row],[Team]]="","",-(Games[[#This Row],[Result]]*LN(Games[[#This Row],[ExpectedWin]])+(1-Games[[#This Row],[Result]])*LN(1-Games[[#This Row],[ExpectedWin]])))</f>
        <v>0.44483815054919762</v>
      </c>
      <c r="AF231">
        <f>IF(Games[[#This Row],[Team]]="","",IF(Games[[#This Row],[Season]]&gt;=2021,17,16))</f>
        <v>16</v>
      </c>
      <c r="AG231">
        <f>IF(Games[[#This Row],[Team]]="","",KMax-(KMax-KFloor)*MIN(Games[[#This Row],[GamesPlayed]],Games[[#This Row],[SeasonLen]])/Games[[#This Row],[SeasonLen]])</f>
        <v>41.1</v>
      </c>
      <c r="AH231">
        <f>IF(Games[[#This Row],[Team]]="","",((ABS(Games[[#This Row],[MOV]])+3)^0.8)/(7.5+0.006*ABS(Games[[#This Row],[PreGmRate]]-Games[[#This Row],[OppPreGmRate]]))*IF(Games[[#This Row],[OT]]=1,0.7,1))</f>
        <v>0.52916211844772221</v>
      </c>
      <c r="AI23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1">
        <f>IF(Games[[#This Row],[Team]]="","",Games[[#This Row],[K]]*IF(Games[[#This Row],[DivG]]=1,DivMult,1)*IF(Games[[#This Row],[ConfG]]=1,ConfMult,1)*Games[[#This Row],[POMult]])</f>
        <v>41.1</v>
      </c>
      <c r="AK231">
        <f>IF(Games[[#This Row],[Team]]="","",(Games[[#This Row],[Keff]]*Games[[#This Row],[MOVMult]])*(Games[[#This Row],[Result]]-Games[[#This Row],[ExpectedWin]]))</f>
        <v>-7.8093000057681152</v>
      </c>
      <c r="AL231">
        <f>IF(Games[[#This Row],[Team]]="","",Games[[#This Row],[PreGmRate]]+Games[[#This Row],[RatingChange]])</f>
        <v>1398.0935748581014</v>
      </c>
      <c r="AM231">
        <f>IF(Games[[#This Row],[Team]]="","",IF(Games[[#This Row],[Type]]="R",IF(Games[[#This Row],[Result]]&gt;0.5,1,0),0))</f>
        <v>0</v>
      </c>
      <c r="AN231">
        <f>IF(Games[[#This Row],[Team]]="","",IF(Games[[#This Row],[Type]]="R",IF(Games[[#This Row],[Result]]&lt;0.5,1,0),0))</f>
        <v>1</v>
      </c>
      <c r="AO231">
        <f>IF(Games[[#This Row],[Team]]="","",IF(Games[[#This Row],[Type]]="R",IF(Games[[#This Row],[Result]]=0.5,1,0),0))</f>
        <v>0</v>
      </c>
    </row>
    <row r="232" spans="1:41" x14ac:dyDescent="0.35">
      <c r="A232" s="8">
        <v>35365</v>
      </c>
      <c r="B232">
        <v>1996</v>
      </c>
      <c r="C232" t="s">
        <v>197</v>
      </c>
      <c r="D232" t="s">
        <v>199</v>
      </c>
      <c r="E232" t="s">
        <v>138</v>
      </c>
      <c r="F232" t="s">
        <v>93</v>
      </c>
      <c r="G232" t="s">
        <v>201</v>
      </c>
      <c r="H232">
        <v>31</v>
      </c>
      <c r="I232">
        <v>21</v>
      </c>
      <c r="J232">
        <v>0</v>
      </c>
      <c r="K23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3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3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3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32">
        <f>IF(Games[[#This Row],[Team]]="","",IF(Games[[#This Row],[Conf]]=Games[[#This Row],[OppConf]],1,0))</f>
        <v>0</v>
      </c>
      <c r="P232">
        <f>IF(Games[[#This Row],[Team]]="","",IF(AND(Games[[#This Row],[Conf]]=Games[[#This Row],[OppConf]],Games[[#This Row],[Div]]=Games[[#This Row],[OppDiv]]),1,0))</f>
        <v>0</v>
      </c>
      <c r="Q232">
        <f>IF(Games[[#This Row],[Team]]="","",_xlfn.MINIFS(Games[Date],Games[Season],Games[[#This Row],[Season]]))</f>
        <v>35309</v>
      </c>
      <c r="R232">
        <f>IF(Games[[#This Row],[Team]]="","",INT((Games[[#This Row],[Date]]-(Games[[#This Row],[SeasonStart]]-MOD(WEEKDAY(Games[[#This Row],[SeasonStart]],2)-2,7)))/7)+1)</f>
        <v>9</v>
      </c>
      <c r="S232">
        <f>IF(Games[[#This Row],[Team]]="","",COUNTIFS(Games[Team],Games[[#This Row],[Team]],Games[Season],Games[[#This Row],[Season]],Games[Week],"&lt;="&amp;Games[[#This Row],[Week]]))</f>
        <v>9</v>
      </c>
      <c r="T232">
        <f>IF(Games[[#This Row],[Team]]="","",_xlfn.MAXIFS(Games[Week],Games[Team],Games[[#This Row],[Team]],Games[Season],Games[[#This Row],[Season]],Games[Week],"&lt;"&amp;Games[[#This Row],[Week]]))</f>
        <v>8</v>
      </c>
      <c r="U232">
        <f>IF(Games[[#This Row],[Team]]="","",_xlfn.MAXIFS(Games[Week],Games[Team],Games[[#This Row],[Opponent]],Games[Season],Games[[#This Row],[Season]],Games[Week],"&lt;"&amp;Games[[#This Row],[Week]]))</f>
        <v>8</v>
      </c>
      <c r="V23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3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3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3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1338.2829906211921</v>
      </c>
      <c r="Z23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1434.4849435833457</v>
      </c>
      <c r="AA23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0.2752297960612739</v>
      </c>
      <c r="AB232">
        <f>IF(Games[[#This Row],[Team]]="","",Games[[#This Row],[PointsFor]]-Games[[#This Row],[PointsAgainst]])</f>
        <v>10</v>
      </c>
      <c r="AC232">
        <f>IF(Games[[#This Row],[Team]]="","",IF(Games[[#This Row],[MOV]]&gt;0,1,IF(Games[[#This Row],[MOV]]=0,0.5,0)))</f>
        <v>1</v>
      </c>
      <c r="AD232">
        <f>IF(Games[[#This Row],[Team]]="","",--(OR(AND(Games[[#This Row],[ExpectedWin]]&gt;=0.5,Games[[#This Row],[Result]]=1),AND(Games[[#This Row],[ExpectedWin]]&lt;0.5,Games[[#This Row],[Result]]=0))))</f>
        <v>0</v>
      </c>
      <c r="AE232">
        <f>IF(Games[[#This Row],[Team]]="","",-(Games[[#This Row],[Result]]*LN(Games[[#This Row],[ExpectedWin]])+(1-Games[[#This Row],[Result]])*LN(1-Games[[#This Row],[ExpectedWin]])))</f>
        <v>1.2901489082122943</v>
      </c>
      <c r="AF232">
        <f>IF(Games[[#This Row],[Team]]="","",IF(Games[[#This Row],[Season]]&gt;=2021,17,16))</f>
        <v>16</v>
      </c>
      <c r="AG232">
        <f>IF(Games[[#This Row],[Team]]="","",KMax-(KMax-KFloor)*MIN(Games[[#This Row],[GamesPlayed]],Games[[#This Row],[SeasonLen]])/Games[[#This Row],[SeasonLen]])</f>
        <v>40.487500000000004</v>
      </c>
      <c r="AH232">
        <f>IF(Games[[#This Row],[Team]]="","",((ABS(Games[[#This Row],[MOV]])+3)^0.8)/(7.5+0.006*ABS(Games[[#This Row],[PreGmRate]]-Games[[#This Row],[OppPreGmRate]]))*IF(Games[[#This Row],[OT]]=1,0.7,1))</f>
        <v>0.96359206542941345</v>
      </c>
      <c r="AI23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2">
        <f>IF(Games[[#This Row],[Team]]="","",Games[[#This Row],[K]]*IF(Games[[#This Row],[DivG]]=1,DivMult,1)*IF(Games[[#This Row],[ConfG]]=1,ConfMult,1)*Games[[#This Row],[POMult]])</f>
        <v>40.487500000000004</v>
      </c>
      <c r="AK232">
        <f>IF(Games[[#This Row],[Team]]="","",(Games[[#This Row],[Keff]]*Games[[#This Row],[MOVMult]])*(Games[[#This Row],[Result]]-Games[[#This Row],[ExpectedWin]]))</f>
        <v>28.27577433466589</v>
      </c>
      <c r="AL232">
        <f>IF(Games[[#This Row],[Team]]="","",Games[[#This Row],[PreGmRate]]+Games[[#This Row],[RatingChange]])</f>
        <v>1366.5587649558579</v>
      </c>
      <c r="AM232">
        <f>IF(Games[[#This Row],[Team]]="","",IF(Games[[#This Row],[Type]]="R",IF(Games[[#This Row],[Result]]&gt;0.5,1,0),0))</f>
        <v>1</v>
      </c>
      <c r="AN232">
        <f>IF(Games[[#This Row],[Team]]="","",IF(Games[[#This Row],[Type]]="R",IF(Games[[#This Row],[Result]]&lt;0.5,1,0),0))</f>
        <v>0</v>
      </c>
      <c r="AO232">
        <f>IF(Games[[#This Row],[Team]]="","",IF(Games[[#This Row],[Type]]="R",IF(Games[[#This Row],[Result]]=0.5,1,0),0))</f>
        <v>0</v>
      </c>
    </row>
    <row r="233" spans="1:41" x14ac:dyDescent="0.35">
      <c r="A233" s="8">
        <v>35365</v>
      </c>
      <c r="B233">
        <v>1996</v>
      </c>
      <c r="C233" t="s">
        <v>197</v>
      </c>
      <c r="D233" t="s">
        <v>199</v>
      </c>
      <c r="E233" t="s">
        <v>93</v>
      </c>
      <c r="F233" t="s">
        <v>138</v>
      </c>
      <c r="G233" t="s">
        <v>200</v>
      </c>
      <c r="H233">
        <v>21</v>
      </c>
      <c r="I233">
        <v>31</v>
      </c>
      <c r="J233">
        <v>0</v>
      </c>
      <c r="K23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3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3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3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33">
        <f>IF(Games[[#This Row],[Team]]="","",IF(Games[[#This Row],[Conf]]=Games[[#This Row],[OppConf]],1,0))</f>
        <v>0</v>
      </c>
      <c r="P233">
        <f>IF(Games[[#This Row],[Team]]="","",IF(AND(Games[[#This Row],[Conf]]=Games[[#This Row],[OppConf]],Games[[#This Row],[Div]]=Games[[#This Row],[OppDiv]]),1,0))</f>
        <v>0</v>
      </c>
      <c r="Q233">
        <f>IF(Games[[#This Row],[Team]]="","",_xlfn.MINIFS(Games[Date],Games[Season],Games[[#This Row],[Season]]))</f>
        <v>35309</v>
      </c>
      <c r="R233">
        <f>IF(Games[[#This Row],[Team]]="","",INT((Games[[#This Row],[Date]]-(Games[[#This Row],[SeasonStart]]-MOD(WEEKDAY(Games[[#This Row],[SeasonStart]],2)-2,7)))/7)+1)</f>
        <v>9</v>
      </c>
      <c r="S233">
        <f>IF(Games[[#This Row],[Team]]="","",COUNTIFS(Games[Team],Games[[#This Row],[Team]],Games[Season],Games[[#This Row],[Season]],Games[Week],"&lt;="&amp;Games[[#This Row],[Week]]))</f>
        <v>8</v>
      </c>
      <c r="T233">
        <f>IF(Games[[#This Row],[Team]]="","",_xlfn.MAXIFS(Games[Week],Games[Team],Games[[#This Row],[Team]],Games[Season],Games[[#This Row],[Season]],Games[Week],"&lt;"&amp;Games[[#This Row],[Week]]))</f>
        <v>8</v>
      </c>
      <c r="U233">
        <f>IF(Games[[#This Row],[Team]]="","",_xlfn.MAXIFS(Games[Week],Games[Team],Games[[#This Row],[Opponent]],Games[Season],Games[[#This Row],[Season]],Games[Week],"&lt;"&amp;Games[[#This Row],[Week]]))</f>
        <v>8</v>
      </c>
      <c r="V23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3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3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3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1434.4849435833457</v>
      </c>
      <c r="Z23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1338.2829906211921</v>
      </c>
      <c r="AA23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0.72477020393872615</v>
      </c>
      <c r="AB233">
        <f>IF(Games[[#This Row],[Team]]="","",Games[[#This Row],[PointsFor]]-Games[[#This Row],[PointsAgainst]])</f>
        <v>-10</v>
      </c>
      <c r="AC233">
        <f>IF(Games[[#This Row],[Team]]="","",IF(Games[[#This Row],[MOV]]&gt;0,1,IF(Games[[#This Row],[MOV]]=0,0.5,0)))</f>
        <v>0</v>
      </c>
      <c r="AD233">
        <f>IF(Games[[#This Row],[Team]]="","",--(OR(AND(Games[[#This Row],[ExpectedWin]]&gt;=0.5,Games[[#This Row],[Result]]=1),AND(Games[[#This Row],[ExpectedWin]]&lt;0.5,Games[[#This Row],[Result]]=0))))</f>
        <v>0</v>
      </c>
      <c r="AE233">
        <f>IF(Games[[#This Row],[Team]]="","",-(Games[[#This Row],[Result]]*LN(Games[[#This Row],[ExpectedWin]])+(1-Games[[#This Row],[Result]])*LN(1-Games[[#This Row],[ExpectedWin]])))</f>
        <v>1.2901489082122946</v>
      </c>
      <c r="AF233">
        <f>IF(Games[[#This Row],[Team]]="","",IF(Games[[#This Row],[Season]]&gt;=2021,17,16))</f>
        <v>16</v>
      </c>
      <c r="AG233">
        <f>IF(Games[[#This Row],[Team]]="","",KMax-(KMax-KFloor)*MIN(Games[[#This Row],[GamesPlayed]],Games[[#This Row],[SeasonLen]])/Games[[#This Row],[SeasonLen]])</f>
        <v>41.1</v>
      </c>
      <c r="AH233">
        <f>IF(Games[[#This Row],[Team]]="","",((ABS(Games[[#This Row],[MOV]])+3)^0.8)/(7.5+0.006*ABS(Games[[#This Row],[PreGmRate]]-Games[[#This Row],[OppPreGmRate]]))*IF(Games[[#This Row],[OT]]=1,0.7,1))</f>
        <v>0.96359206542941345</v>
      </c>
      <c r="AI23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3">
        <f>IF(Games[[#This Row],[Team]]="","",Games[[#This Row],[K]]*IF(Games[[#This Row],[DivG]]=1,DivMult,1)*IF(Games[[#This Row],[ConfG]]=1,ConfMult,1)*Games[[#This Row],[POMult]])</f>
        <v>41.1</v>
      </c>
      <c r="AK233">
        <f>IF(Games[[#This Row],[Team]]="","",(Games[[#This Row],[Keff]]*Games[[#This Row],[MOVMult]])*(Games[[#This Row],[Result]]-Games[[#This Row],[ExpectedWin]]))</f>
        <v>-28.70353381055309</v>
      </c>
      <c r="AL233">
        <f>IF(Games[[#This Row],[Team]]="","",Games[[#This Row],[PreGmRate]]+Games[[#This Row],[RatingChange]])</f>
        <v>1405.7814097727926</v>
      </c>
      <c r="AM233">
        <f>IF(Games[[#This Row],[Team]]="","",IF(Games[[#This Row],[Type]]="R",IF(Games[[#This Row],[Result]]&gt;0.5,1,0),0))</f>
        <v>0</v>
      </c>
      <c r="AN233">
        <f>IF(Games[[#This Row],[Team]]="","",IF(Games[[#This Row],[Type]]="R",IF(Games[[#This Row],[Result]]&lt;0.5,1,0),0))</f>
        <v>1</v>
      </c>
      <c r="AO233">
        <f>IF(Games[[#This Row],[Team]]="","",IF(Games[[#This Row],[Type]]="R",IF(Games[[#This Row],[Result]]=0.5,1,0),0))</f>
        <v>0</v>
      </c>
    </row>
    <row r="234" spans="1:41" x14ac:dyDescent="0.35">
      <c r="A234" s="8">
        <v>35365</v>
      </c>
      <c r="B234">
        <v>1996</v>
      </c>
      <c r="C234" t="s">
        <v>197</v>
      </c>
      <c r="D234" t="s">
        <v>199</v>
      </c>
      <c r="E234" t="s">
        <v>114</v>
      </c>
      <c r="F234" t="s">
        <v>128</v>
      </c>
      <c r="G234" t="s">
        <v>201</v>
      </c>
      <c r="H234">
        <v>29</v>
      </c>
      <c r="I234">
        <v>10</v>
      </c>
      <c r="J234">
        <v>0</v>
      </c>
      <c r="K23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3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3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3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34">
        <f>IF(Games[[#This Row],[Team]]="","",IF(Games[[#This Row],[Conf]]=Games[[#This Row],[OppConf]],1,0))</f>
        <v>0</v>
      </c>
      <c r="P234">
        <f>IF(Games[[#This Row],[Team]]="","",IF(AND(Games[[#This Row],[Conf]]=Games[[#This Row],[OppConf]],Games[[#This Row],[Div]]=Games[[#This Row],[OppDiv]]),1,0))</f>
        <v>0</v>
      </c>
      <c r="Q234">
        <f>IF(Games[[#This Row],[Team]]="","",_xlfn.MINIFS(Games[Date],Games[Season],Games[[#This Row],[Season]]))</f>
        <v>35309</v>
      </c>
      <c r="R234">
        <f>IF(Games[[#This Row],[Team]]="","",INT((Games[[#This Row],[Date]]-(Games[[#This Row],[SeasonStart]]-MOD(WEEKDAY(Games[[#This Row],[SeasonStart]],2)-2,7)))/7)+1)</f>
        <v>9</v>
      </c>
      <c r="S234">
        <f>IF(Games[[#This Row],[Team]]="","",COUNTIFS(Games[Team],Games[[#This Row],[Team]],Games[Season],Games[[#This Row],[Season]],Games[Week],"&lt;="&amp;Games[[#This Row],[Week]]))</f>
        <v>8</v>
      </c>
      <c r="T234">
        <f>IF(Games[[#This Row],[Team]]="","",_xlfn.MAXIFS(Games[Week],Games[Team],Games[[#This Row],[Team]],Games[Season],Games[[#This Row],[Season]],Games[Week],"&lt;"&amp;Games[[#This Row],[Week]]))</f>
        <v>8</v>
      </c>
      <c r="U234">
        <f>IF(Games[[#This Row],[Team]]="","",_xlfn.MAXIFS(Games[Week],Games[Team],Games[[#This Row],[Opponent]],Games[Season],Games[[#This Row],[Season]],Games[Week],"&lt;"&amp;Games[[#This Row],[Week]]))</f>
        <v>8</v>
      </c>
      <c r="V23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3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3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3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1539.3568960314699</v>
      </c>
      <c r="Z23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1562.9601776874401</v>
      </c>
      <c r="AA23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0.365786289058947</v>
      </c>
      <c r="AB234">
        <f>IF(Games[[#This Row],[Team]]="","",Games[[#This Row],[PointsFor]]-Games[[#This Row],[PointsAgainst]])</f>
        <v>19</v>
      </c>
      <c r="AC234">
        <f>IF(Games[[#This Row],[Team]]="","",IF(Games[[#This Row],[MOV]]&gt;0,1,IF(Games[[#This Row],[MOV]]=0,0.5,0)))</f>
        <v>1</v>
      </c>
      <c r="AD234">
        <f>IF(Games[[#This Row],[Team]]="","",--(OR(AND(Games[[#This Row],[ExpectedWin]]&gt;=0.5,Games[[#This Row],[Result]]=1),AND(Games[[#This Row],[ExpectedWin]]&lt;0.5,Games[[#This Row],[Result]]=0))))</f>
        <v>0</v>
      </c>
      <c r="AE234">
        <f>IF(Games[[#This Row],[Team]]="","",-(Games[[#This Row],[Result]]*LN(Games[[#This Row],[ExpectedWin]])+(1-Games[[#This Row],[Result]])*LN(1-Games[[#This Row],[ExpectedWin]])))</f>
        <v>1.0057060257974237</v>
      </c>
      <c r="AF234">
        <f>IF(Games[[#This Row],[Team]]="","",IF(Games[[#This Row],[Season]]&gt;=2021,17,16))</f>
        <v>16</v>
      </c>
      <c r="AG234">
        <f>IF(Games[[#This Row],[Team]]="","",KMax-(KMax-KFloor)*MIN(Games[[#This Row],[GamesPlayed]],Games[[#This Row],[SeasonLen]])/Games[[#This Row],[SeasonLen]])</f>
        <v>41.1</v>
      </c>
      <c r="AH234">
        <f>IF(Games[[#This Row],[Team]]="","",((ABS(Games[[#This Row],[MOV]])+3)^0.8)/(7.5+0.006*ABS(Games[[#This Row],[PreGmRate]]-Games[[#This Row],[OppPreGmRate]]))*IF(Games[[#This Row],[OT]]=1,0.7,1))</f>
        <v>1.5515033757116434</v>
      </c>
      <c r="AI23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4">
        <f>IF(Games[[#This Row],[Team]]="","",Games[[#This Row],[K]]*IF(Games[[#This Row],[DivG]]=1,DivMult,1)*IF(Games[[#This Row],[ConfG]]=1,ConfMult,1)*Games[[#This Row],[POMult]])</f>
        <v>41.1</v>
      </c>
      <c r="AK234">
        <f>IF(Games[[#This Row],[Team]]="","",(Games[[#This Row],[Keff]]*Games[[#This Row],[MOVMult]])*(Games[[#This Row],[Result]]-Games[[#This Row],[ExpectedWin]]))</f>
        <v>40.441771722698512</v>
      </c>
      <c r="AL234">
        <f>IF(Games[[#This Row],[Team]]="","",Games[[#This Row],[PreGmRate]]+Games[[#This Row],[RatingChange]])</f>
        <v>1579.7986677541685</v>
      </c>
      <c r="AM234">
        <f>IF(Games[[#This Row],[Team]]="","",IF(Games[[#This Row],[Type]]="R",IF(Games[[#This Row],[Result]]&gt;0.5,1,0),0))</f>
        <v>1</v>
      </c>
      <c r="AN234">
        <f>IF(Games[[#This Row],[Team]]="","",IF(Games[[#This Row],[Type]]="R",IF(Games[[#This Row],[Result]]&lt;0.5,1,0),0))</f>
        <v>0</v>
      </c>
      <c r="AO234">
        <f>IF(Games[[#This Row],[Team]]="","",IF(Games[[#This Row],[Type]]="R",IF(Games[[#This Row],[Result]]=0.5,1,0),0))</f>
        <v>0</v>
      </c>
    </row>
    <row r="235" spans="1:41" x14ac:dyDescent="0.35">
      <c r="A235" s="8">
        <v>35365</v>
      </c>
      <c r="B235">
        <v>1996</v>
      </c>
      <c r="C235" t="s">
        <v>197</v>
      </c>
      <c r="D235" t="s">
        <v>199</v>
      </c>
      <c r="E235" t="s">
        <v>128</v>
      </c>
      <c r="F235" t="s">
        <v>114</v>
      </c>
      <c r="G235" t="s">
        <v>200</v>
      </c>
      <c r="H235">
        <v>10</v>
      </c>
      <c r="I235">
        <v>29</v>
      </c>
      <c r="J235">
        <v>0</v>
      </c>
      <c r="K23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3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3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3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35">
        <f>IF(Games[[#This Row],[Team]]="","",IF(Games[[#This Row],[Conf]]=Games[[#This Row],[OppConf]],1,0))</f>
        <v>0</v>
      </c>
      <c r="P235">
        <f>IF(Games[[#This Row],[Team]]="","",IF(AND(Games[[#This Row],[Conf]]=Games[[#This Row],[OppConf]],Games[[#This Row],[Div]]=Games[[#This Row],[OppDiv]]),1,0))</f>
        <v>0</v>
      </c>
      <c r="Q235">
        <f>IF(Games[[#This Row],[Team]]="","",_xlfn.MINIFS(Games[Date],Games[Season],Games[[#This Row],[Season]]))</f>
        <v>35309</v>
      </c>
      <c r="R235">
        <f>IF(Games[[#This Row],[Team]]="","",INT((Games[[#This Row],[Date]]-(Games[[#This Row],[SeasonStart]]-MOD(WEEKDAY(Games[[#This Row],[SeasonStart]],2)-2,7)))/7)+1)</f>
        <v>9</v>
      </c>
      <c r="S235">
        <f>IF(Games[[#This Row],[Team]]="","",COUNTIFS(Games[Team],Games[[#This Row],[Team]],Games[Season],Games[[#This Row],[Season]],Games[Week],"&lt;="&amp;Games[[#This Row],[Week]]))</f>
        <v>8</v>
      </c>
      <c r="T235">
        <f>IF(Games[[#This Row],[Team]]="","",_xlfn.MAXIFS(Games[Week],Games[Team],Games[[#This Row],[Team]],Games[Season],Games[[#This Row],[Season]],Games[Week],"&lt;"&amp;Games[[#This Row],[Week]]))</f>
        <v>8</v>
      </c>
      <c r="U235">
        <f>IF(Games[[#This Row],[Team]]="","",_xlfn.MAXIFS(Games[Week],Games[Team],Games[[#This Row],[Opponent]],Games[Season],Games[[#This Row],[Season]],Games[Week],"&lt;"&amp;Games[[#This Row],[Week]]))</f>
        <v>8</v>
      </c>
      <c r="V23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3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3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3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1562.9601776874401</v>
      </c>
      <c r="Z23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1539.3568960314699</v>
      </c>
      <c r="AA23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0.63421371094105294</v>
      </c>
      <c r="AB235">
        <f>IF(Games[[#This Row],[Team]]="","",Games[[#This Row],[PointsFor]]-Games[[#This Row],[PointsAgainst]])</f>
        <v>-19</v>
      </c>
      <c r="AC235">
        <f>IF(Games[[#This Row],[Team]]="","",IF(Games[[#This Row],[MOV]]&gt;0,1,IF(Games[[#This Row],[MOV]]=0,0.5,0)))</f>
        <v>0</v>
      </c>
      <c r="AD235">
        <f>IF(Games[[#This Row],[Team]]="","",--(OR(AND(Games[[#This Row],[ExpectedWin]]&gt;=0.5,Games[[#This Row],[Result]]=1),AND(Games[[#This Row],[ExpectedWin]]&lt;0.5,Games[[#This Row],[Result]]=0))))</f>
        <v>0</v>
      </c>
      <c r="AE235">
        <f>IF(Games[[#This Row],[Team]]="","",-(Games[[#This Row],[Result]]*LN(Games[[#This Row],[ExpectedWin]])+(1-Games[[#This Row],[Result]])*LN(1-Games[[#This Row],[ExpectedWin]])))</f>
        <v>1.0057060257974237</v>
      </c>
      <c r="AF235">
        <f>IF(Games[[#This Row],[Team]]="","",IF(Games[[#This Row],[Season]]&gt;=2021,17,16))</f>
        <v>16</v>
      </c>
      <c r="AG235">
        <f>IF(Games[[#This Row],[Team]]="","",KMax-(KMax-KFloor)*MIN(Games[[#This Row],[GamesPlayed]],Games[[#This Row],[SeasonLen]])/Games[[#This Row],[SeasonLen]])</f>
        <v>41.1</v>
      </c>
      <c r="AH235">
        <f>IF(Games[[#This Row],[Team]]="","",((ABS(Games[[#This Row],[MOV]])+3)^0.8)/(7.5+0.006*ABS(Games[[#This Row],[PreGmRate]]-Games[[#This Row],[OppPreGmRate]]))*IF(Games[[#This Row],[OT]]=1,0.7,1))</f>
        <v>1.5515033757116434</v>
      </c>
      <c r="AI23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5">
        <f>IF(Games[[#This Row],[Team]]="","",Games[[#This Row],[K]]*IF(Games[[#This Row],[DivG]]=1,DivMult,1)*IF(Games[[#This Row],[ConfG]]=1,ConfMult,1)*Games[[#This Row],[POMult]])</f>
        <v>41.1</v>
      </c>
      <c r="AK235">
        <f>IF(Games[[#This Row],[Team]]="","",(Games[[#This Row],[Keff]]*Games[[#This Row],[MOVMult]])*(Games[[#This Row],[Result]]-Games[[#This Row],[ExpectedWin]]))</f>
        <v>-40.441771722698505</v>
      </c>
      <c r="AL235">
        <f>IF(Games[[#This Row],[Team]]="","",Games[[#This Row],[PreGmRate]]+Games[[#This Row],[RatingChange]])</f>
        <v>1522.5184059647415</v>
      </c>
      <c r="AM235">
        <f>IF(Games[[#This Row],[Team]]="","",IF(Games[[#This Row],[Type]]="R",IF(Games[[#This Row],[Result]]&gt;0.5,1,0),0))</f>
        <v>0</v>
      </c>
      <c r="AN235">
        <f>IF(Games[[#This Row],[Team]]="","",IF(Games[[#This Row],[Type]]="R",IF(Games[[#This Row],[Result]]&lt;0.5,1,0),0))</f>
        <v>1</v>
      </c>
      <c r="AO235">
        <f>IF(Games[[#This Row],[Team]]="","",IF(Games[[#This Row],[Type]]="R",IF(Games[[#This Row],[Result]]=0.5,1,0),0))</f>
        <v>0</v>
      </c>
    </row>
    <row r="236" spans="1:41" x14ac:dyDescent="0.35">
      <c r="A236" s="8">
        <v>35365</v>
      </c>
      <c r="B236">
        <v>1996</v>
      </c>
      <c r="C236" t="s">
        <v>197</v>
      </c>
      <c r="D236" t="s">
        <v>199</v>
      </c>
      <c r="E236" t="s">
        <v>116</v>
      </c>
      <c r="F236" t="s">
        <v>126</v>
      </c>
      <c r="G236" t="s">
        <v>200</v>
      </c>
      <c r="H236">
        <v>34</v>
      </c>
      <c r="I236">
        <v>7</v>
      </c>
      <c r="J236">
        <v>0</v>
      </c>
      <c r="K23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3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3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3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36">
        <f>IF(Games[[#This Row],[Team]]="","",IF(Games[[#This Row],[Conf]]=Games[[#This Row],[OppConf]],1,0))</f>
        <v>1</v>
      </c>
      <c r="P236">
        <f>IF(Games[[#This Row],[Team]]="","",IF(AND(Games[[#This Row],[Conf]]=Games[[#This Row],[OppConf]],Games[[#This Row],[Div]]=Games[[#This Row],[OppDiv]]),1,0))</f>
        <v>1</v>
      </c>
      <c r="Q236">
        <f>IF(Games[[#This Row],[Team]]="","",_xlfn.MINIFS(Games[Date],Games[Season],Games[[#This Row],[Season]]))</f>
        <v>35309</v>
      </c>
      <c r="R236">
        <f>IF(Games[[#This Row],[Team]]="","",INT((Games[[#This Row],[Date]]-(Games[[#This Row],[SeasonStart]]-MOD(WEEKDAY(Games[[#This Row],[SeasonStart]],2)-2,7)))/7)+1)</f>
        <v>9</v>
      </c>
      <c r="S236">
        <f>IF(Games[[#This Row],[Team]]="","",COUNTIFS(Games[Team],Games[[#This Row],[Team]],Games[Season],Games[[#This Row],[Season]],Games[Week],"&lt;="&amp;Games[[#This Row],[Week]]))</f>
        <v>8</v>
      </c>
      <c r="T236">
        <f>IF(Games[[#This Row],[Team]]="","",_xlfn.MAXIFS(Games[Week],Games[Team],Games[[#This Row],[Team]],Games[Season],Games[[#This Row],[Season]],Games[Week],"&lt;"&amp;Games[[#This Row],[Week]]))</f>
        <v>8</v>
      </c>
      <c r="U236">
        <f>IF(Games[[#This Row],[Team]]="","",_xlfn.MAXIFS(Games[Week],Games[Team],Games[[#This Row],[Opponent]],Games[Season],Games[[#This Row],[Season]],Games[Week],"&lt;"&amp;Games[[#This Row],[Week]]))</f>
        <v>8</v>
      </c>
      <c r="V23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3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10</v>
      </c>
      <c r="X23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23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1596.6639113813389</v>
      </c>
      <c r="Z23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1557.7496664018074</v>
      </c>
      <c r="AA23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0.64655604194597438</v>
      </c>
      <c r="AB236">
        <f>IF(Games[[#This Row],[Team]]="","",Games[[#This Row],[PointsFor]]-Games[[#This Row],[PointsAgainst]])</f>
        <v>27</v>
      </c>
      <c r="AC236">
        <f>IF(Games[[#This Row],[Team]]="","",IF(Games[[#This Row],[MOV]]&gt;0,1,IF(Games[[#This Row],[MOV]]=0,0.5,0)))</f>
        <v>1</v>
      </c>
      <c r="AD236">
        <f>IF(Games[[#This Row],[Team]]="","",--(OR(AND(Games[[#This Row],[ExpectedWin]]&gt;=0.5,Games[[#This Row],[Result]]=1),AND(Games[[#This Row],[ExpectedWin]]&lt;0.5,Games[[#This Row],[Result]]=0))))</f>
        <v>1</v>
      </c>
      <c r="AE236">
        <f>IF(Games[[#This Row],[Team]]="","",-(Games[[#This Row],[Result]]*LN(Games[[#This Row],[ExpectedWin]])+(1-Games[[#This Row],[Result]])*LN(1-Games[[#This Row],[ExpectedWin]])))</f>
        <v>0.43609539938257963</v>
      </c>
      <c r="AF236">
        <f>IF(Games[[#This Row],[Team]]="","",IF(Games[[#This Row],[Season]]&gt;=2021,17,16))</f>
        <v>16</v>
      </c>
      <c r="AG236">
        <f>IF(Games[[#This Row],[Team]]="","",KMax-(KMax-KFloor)*MIN(Games[[#This Row],[GamesPlayed]],Games[[#This Row],[SeasonLen]])/Games[[#This Row],[SeasonLen]])</f>
        <v>41.1</v>
      </c>
      <c r="AH236">
        <f>IF(Games[[#This Row],[Team]]="","",((ABS(Games[[#This Row],[MOV]])+3)^0.8)/(7.5+0.006*ABS(Games[[#This Row],[PreGmRate]]-Games[[#This Row],[OppPreGmRate]]))*IF(Games[[#This Row],[OT]]=1,0.7,1))</f>
        <v>1.964815293511484</v>
      </c>
      <c r="AI23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6">
        <f>IF(Games[[#This Row],[Team]]="","",Games[[#This Row],[K]]*IF(Games[[#This Row],[DivG]]=1,DivMult,1)*IF(Games[[#This Row],[ConfG]]=1,ConfMult,1)*Games[[#This Row],[POMult]])</f>
        <v>46.114200000000011</v>
      </c>
      <c r="AK236">
        <f>IF(Games[[#This Row],[Team]]="","",(Games[[#This Row],[Keff]]*Games[[#This Row],[MOVMult]])*(Games[[#This Row],[Result]]-Games[[#This Row],[ExpectedWin]]))</f>
        <v>32.024102761609718</v>
      </c>
      <c r="AL236">
        <f>IF(Games[[#This Row],[Team]]="","",Games[[#This Row],[PreGmRate]]+Games[[#This Row],[RatingChange]])</f>
        <v>1628.6880141429488</v>
      </c>
      <c r="AM236">
        <f>IF(Games[[#This Row],[Team]]="","",IF(Games[[#This Row],[Type]]="R",IF(Games[[#This Row],[Result]]&gt;0.5,1,0),0))</f>
        <v>1</v>
      </c>
      <c r="AN236">
        <f>IF(Games[[#This Row],[Team]]="","",IF(Games[[#This Row],[Type]]="R",IF(Games[[#This Row],[Result]]&lt;0.5,1,0),0))</f>
        <v>0</v>
      </c>
      <c r="AO236">
        <f>IF(Games[[#This Row],[Team]]="","",IF(Games[[#This Row],[Type]]="R",IF(Games[[#This Row],[Result]]=0.5,1,0),0))</f>
        <v>0</v>
      </c>
    </row>
    <row r="237" spans="1:41" x14ac:dyDescent="0.35">
      <c r="A237" s="8">
        <v>35365</v>
      </c>
      <c r="B237">
        <v>1996</v>
      </c>
      <c r="C237" t="s">
        <v>197</v>
      </c>
      <c r="D237" t="s">
        <v>199</v>
      </c>
      <c r="E237" t="s">
        <v>126</v>
      </c>
      <c r="F237" t="s">
        <v>116</v>
      </c>
      <c r="G237" t="s">
        <v>201</v>
      </c>
      <c r="H237">
        <v>7</v>
      </c>
      <c r="I237">
        <v>34</v>
      </c>
      <c r="J237">
        <v>0</v>
      </c>
      <c r="K23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3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3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3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37">
        <f>IF(Games[[#This Row],[Team]]="","",IF(Games[[#This Row],[Conf]]=Games[[#This Row],[OppConf]],1,0))</f>
        <v>1</v>
      </c>
      <c r="P237">
        <f>IF(Games[[#This Row],[Team]]="","",IF(AND(Games[[#This Row],[Conf]]=Games[[#This Row],[OppConf]],Games[[#This Row],[Div]]=Games[[#This Row],[OppDiv]]),1,0))</f>
        <v>1</v>
      </c>
      <c r="Q237">
        <f>IF(Games[[#This Row],[Team]]="","",_xlfn.MINIFS(Games[Date],Games[Season],Games[[#This Row],[Season]]))</f>
        <v>35309</v>
      </c>
      <c r="R237">
        <f>IF(Games[[#This Row],[Team]]="","",INT((Games[[#This Row],[Date]]-(Games[[#This Row],[SeasonStart]]-MOD(WEEKDAY(Games[[#This Row],[SeasonStart]],2)-2,7)))/7)+1)</f>
        <v>9</v>
      </c>
      <c r="S237">
        <f>IF(Games[[#This Row],[Team]]="","",COUNTIFS(Games[Team],Games[[#This Row],[Team]],Games[Season],Games[[#This Row],[Season]],Games[Week],"&lt;="&amp;Games[[#This Row],[Week]]))</f>
        <v>8</v>
      </c>
      <c r="T237">
        <f>IF(Games[[#This Row],[Team]]="","",_xlfn.MAXIFS(Games[Week],Games[Team],Games[[#This Row],[Team]],Games[Season],Games[[#This Row],[Season]],Games[Week],"&lt;"&amp;Games[[#This Row],[Week]]))</f>
        <v>8</v>
      </c>
      <c r="U237">
        <f>IF(Games[[#This Row],[Team]]="","",_xlfn.MAXIFS(Games[Week],Games[Team],Games[[#This Row],[Opponent]],Games[Season],Games[[#This Row],[Season]],Games[Week],"&lt;"&amp;Games[[#This Row],[Week]]))</f>
        <v>8</v>
      </c>
      <c r="V23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10</v>
      </c>
      <c r="W23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3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23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1557.7496664018074</v>
      </c>
      <c r="Z23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1596.6639113813389</v>
      </c>
      <c r="AA23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0.35344395805402568</v>
      </c>
      <c r="AB237">
        <f>IF(Games[[#This Row],[Team]]="","",Games[[#This Row],[PointsFor]]-Games[[#This Row],[PointsAgainst]])</f>
        <v>-27</v>
      </c>
      <c r="AC237">
        <f>IF(Games[[#This Row],[Team]]="","",IF(Games[[#This Row],[MOV]]&gt;0,1,IF(Games[[#This Row],[MOV]]=0,0.5,0)))</f>
        <v>0</v>
      </c>
      <c r="AD237">
        <f>IF(Games[[#This Row],[Team]]="","",--(OR(AND(Games[[#This Row],[ExpectedWin]]&gt;=0.5,Games[[#This Row],[Result]]=1),AND(Games[[#This Row],[ExpectedWin]]&lt;0.5,Games[[#This Row],[Result]]=0))))</f>
        <v>1</v>
      </c>
      <c r="AE237">
        <f>IF(Games[[#This Row],[Team]]="","",-(Games[[#This Row],[Result]]*LN(Games[[#This Row],[ExpectedWin]])+(1-Games[[#This Row],[Result]])*LN(1-Games[[#This Row],[ExpectedWin]])))</f>
        <v>0.43609539938257963</v>
      </c>
      <c r="AF237">
        <f>IF(Games[[#This Row],[Team]]="","",IF(Games[[#This Row],[Season]]&gt;=2021,17,16))</f>
        <v>16</v>
      </c>
      <c r="AG237">
        <f>IF(Games[[#This Row],[Team]]="","",KMax-(KMax-KFloor)*MIN(Games[[#This Row],[GamesPlayed]],Games[[#This Row],[SeasonLen]])/Games[[#This Row],[SeasonLen]])</f>
        <v>41.1</v>
      </c>
      <c r="AH237">
        <f>IF(Games[[#This Row],[Team]]="","",((ABS(Games[[#This Row],[MOV]])+3)^0.8)/(7.5+0.006*ABS(Games[[#This Row],[PreGmRate]]-Games[[#This Row],[OppPreGmRate]]))*IF(Games[[#This Row],[OT]]=1,0.7,1))</f>
        <v>1.964815293511484</v>
      </c>
      <c r="AI23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7">
        <f>IF(Games[[#This Row],[Team]]="","",Games[[#This Row],[K]]*IF(Games[[#This Row],[DivG]]=1,DivMult,1)*IF(Games[[#This Row],[ConfG]]=1,ConfMult,1)*Games[[#This Row],[POMult]])</f>
        <v>46.114200000000011</v>
      </c>
      <c r="AK237">
        <f>IF(Games[[#This Row],[Team]]="","",(Games[[#This Row],[Keff]]*Games[[#This Row],[MOVMult]])*(Games[[#This Row],[Result]]-Games[[#This Row],[ExpectedWin]]))</f>
        <v>-32.024102761609726</v>
      </c>
      <c r="AL237">
        <f>IF(Games[[#This Row],[Team]]="","",Games[[#This Row],[PreGmRate]]+Games[[#This Row],[RatingChange]])</f>
        <v>1525.7255636401976</v>
      </c>
      <c r="AM237">
        <f>IF(Games[[#This Row],[Team]]="","",IF(Games[[#This Row],[Type]]="R",IF(Games[[#This Row],[Result]]&gt;0.5,1,0),0))</f>
        <v>0</v>
      </c>
      <c r="AN237">
        <f>IF(Games[[#This Row],[Team]]="","",IF(Games[[#This Row],[Type]]="R",IF(Games[[#This Row],[Result]]&lt;0.5,1,0),0))</f>
        <v>1</v>
      </c>
      <c r="AO237">
        <f>IF(Games[[#This Row],[Team]]="","",IF(Games[[#This Row],[Type]]="R",IF(Games[[#This Row],[Result]]=0.5,1,0),0))</f>
        <v>0</v>
      </c>
    </row>
    <row r="238" spans="1:41" x14ac:dyDescent="0.35">
      <c r="A238" s="8">
        <v>35365</v>
      </c>
      <c r="B238">
        <v>1996</v>
      </c>
      <c r="C238" t="s">
        <v>197</v>
      </c>
      <c r="D238" t="s">
        <v>199</v>
      </c>
      <c r="E238" t="s">
        <v>146</v>
      </c>
      <c r="F238" t="s">
        <v>145</v>
      </c>
      <c r="G238" t="s">
        <v>200</v>
      </c>
      <c r="H238">
        <v>32</v>
      </c>
      <c r="I238">
        <v>13</v>
      </c>
      <c r="J238">
        <v>0</v>
      </c>
      <c r="K23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3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3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3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38">
        <f>IF(Games[[#This Row],[Team]]="","",IF(Games[[#This Row],[Conf]]=Games[[#This Row],[OppConf]],1,0))</f>
        <v>1</v>
      </c>
      <c r="P238">
        <f>IF(Games[[#This Row],[Team]]="","",IF(AND(Games[[#This Row],[Conf]]=Games[[#This Row],[OppConf]],Games[[#This Row],[Div]]=Games[[#This Row],[OppDiv]]),1,0))</f>
        <v>1</v>
      </c>
      <c r="Q238">
        <f>IF(Games[[#This Row],[Team]]="","",_xlfn.MINIFS(Games[Date],Games[Season],Games[[#This Row],[Season]]))</f>
        <v>35309</v>
      </c>
      <c r="R238">
        <f>IF(Games[[#This Row],[Team]]="","",INT((Games[[#This Row],[Date]]-(Games[[#This Row],[SeasonStart]]-MOD(WEEKDAY(Games[[#This Row],[SeasonStart]],2)-2,7)))/7)+1)</f>
        <v>9</v>
      </c>
      <c r="S238">
        <f>IF(Games[[#This Row],[Team]]="","",COUNTIFS(Games[Team],Games[[#This Row],[Team]],Games[Season],Games[[#This Row],[Season]],Games[Week],"&lt;="&amp;Games[[#This Row],[Week]]))</f>
        <v>8</v>
      </c>
      <c r="T238">
        <f>IF(Games[[#This Row],[Team]]="","",_xlfn.MAXIFS(Games[Week],Games[Team],Games[[#This Row],[Team]],Games[Season],Games[[#This Row],[Season]],Games[Week],"&lt;"&amp;Games[[#This Row],[Week]]))</f>
        <v>8</v>
      </c>
      <c r="U238">
        <f>IF(Games[[#This Row],[Team]]="","",_xlfn.MAXIFS(Games[Week],Games[Team],Games[[#This Row],[Opponent]],Games[Season],Games[[#This Row],[Season]],Games[Week],"&lt;"&amp;Games[[#This Row],[Week]]))</f>
        <v>8</v>
      </c>
      <c r="V23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10</v>
      </c>
      <c r="W23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23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23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1410.9554052475889</v>
      </c>
      <c r="Z23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1502.8538304954989</v>
      </c>
      <c r="AA23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0.48000922040396177</v>
      </c>
      <c r="AB238">
        <f>IF(Games[[#This Row],[Team]]="","",Games[[#This Row],[PointsFor]]-Games[[#This Row],[PointsAgainst]])</f>
        <v>19</v>
      </c>
      <c r="AC238">
        <f>IF(Games[[#This Row],[Team]]="","",IF(Games[[#This Row],[MOV]]&gt;0,1,IF(Games[[#This Row],[MOV]]=0,0.5,0)))</f>
        <v>1</v>
      </c>
      <c r="AD238">
        <f>IF(Games[[#This Row],[Team]]="","",--(OR(AND(Games[[#This Row],[ExpectedWin]]&gt;=0.5,Games[[#This Row],[Result]]=1),AND(Games[[#This Row],[ExpectedWin]]&lt;0.5,Games[[#This Row],[Result]]=0))))</f>
        <v>0</v>
      </c>
      <c r="AE238">
        <f>IF(Games[[#This Row],[Team]]="","",-(Games[[#This Row],[Result]]*LN(Games[[#This Row],[ExpectedWin]])+(1-Games[[#This Row],[Result]])*LN(1-Games[[#This Row],[ExpectedWin]])))</f>
        <v>0.73394996608977392</v>
      </c>
      <c r="AF238">
        <f>IF(Games[[#This Row],[Team]]="","",IF(Games[[#This Row],[Season]]&gt;=2021,17,16))</f>
        <v>16</v>
      </c>
      <c r="AG238">
        <f>IF(Games[[#This Row],[Team]]="","",KMax-(KMax-KFloor)*MIN(Games[[#This Row],[GamesPlayed]],Games[[#This Row],[SeasonLen]])/Games[[#This Row],[SeasonLen]])</f>
        <v>41.1</v>
      </c>
      <c r="AH238">
        <f>IF(Games[[#This Row],[Team]]="","",((ABS(Games[[#This Row],[MOV]])+3)^0.8)/(7.5+0.006*ABS(Games[[#This Row],[PreGmRate]]-Games[[#This Row],[OppPreGmRate]]))*IF(Games[[#This Row],[OT]]=1,0.7,1))</f>
        <v>1.4725405094961697</v>
      </c>
      <c r="AI23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8">
        <f>IF(Games[[#This Row],[Team]]="","",Games[[#This Row],[K]]*IF(Games[[#This Row],[DivG]]=1,DivMult,1)*IF(Games[[#This Row],[ConfG]]=1,ConfMult,1)*Games[[#This Row],[POMult]])</f>
        <v>46.114200000000011</v>
      </c>
      <c r="AK238">
        <f>IF(Games[[#This Row],[Team]]="","",(Games[[#This Row],[Keff]]*Games[[#This Row],[MOVMult]])*(Games[[#This Row],[Result]]-Games[[#This Row],[ExpectedWin]]))</f>
        <v>35.309988220979143</v>
      </c>
      <c r="AL238">
        <f>IF(Games[[#This Row],[Team]]="","",Games[[#This Row],[PreGmRate]]+Games[[#This Row],[RatingChange]])</f>
        <v>1446.2653934685682</v>
      </c>
      <c r="AM238">
        <f>IF(Games[[#This Row],[Team]]="","",IF(Games[[#This Row],[Type]]="R",IF(Games[[#This Row],[Result]]&gt;0.5,1,0),0))</f>
        <v>1</v>
      </c>
      <c r="AN238">
        <f>IF(Games[[#This Row],[Team]]="","",IF(Games[[#This Row],[Type]]="R",IF(Games[[#This Row],[Result]]&lt;0.5,1,0),0))</f>
        <v>0</v>
      </c>
      <c r="AO238">
        <f>IF(Games[[#This Row],[Team]]="","",IF(Games[[#This Row],[Type]]="R",IF(Games[[#This Row],[Result]]=0.5,1,0),0))</f>
        <v>0</v>
      </c>
    </row>
    <row r="239" spans="1:41" x14ac:dyDescent="0.35">
      <c r="A239" s="8">
        <v>35365</v>
      </c>
      <c r="B239">
        <v>1996</v>
      </c>
      <c r="C239" t="s">
        <v>197</v>
      </c>
      <c r="D239" t="s">
        <v>199</v>
      </c>
      <c r="E239" t="s">
        <v>145</v>
      </c>
      <c r="F239" t="s">
        <v>146</v>
      </c>
      <c r="G239" t="s">
        <v>201</v>
      </c>
      <c r="H239">
        <v>13</v>
      </c>
      <c r="I239">
        <v>32</v>
      </c>
      <c r="J239">
        <v>0</v>
      </c>
      <c r="K23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3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3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3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39">
        <f>IF(Games[[#This Row],[Team]]="","",IF(Games[[#This Row],[Conf]]=Games[[#This Row],[OppConf]],1,0))</f>
        <v>1</v>
      </c>
      <c r="P239">
        <f>IF(Games[[#This Row],[Team]]="","",IF(AND(Games[[#This Row],[Conf]]=Games[[#This Row],[OppConf]],Games[[#This Row],[Div]]=Games[[#This Row],[OppDiv]]),1,0))</f>
        <v>1</v>
      </c>
      <c r="Q239">
        <f>IF(Games[[#This Row],[Team]]="","",_xlfn.MINIFS(Games[Date],Games[Season],Games[[#This Row],[Season]]))</f>
        <v>35309</v>
      </c>
      <c r="R239">
        <f>IF(Games[[#This Row],[Team]]="","",INT((Games[[#This Row],[Date]]-(Games[[#This Row],[SeasonStart]]-MOD(WEEKDAY(Games[[#This Row],[SeasonStart]],2)-2,7)))/7)+1)</f>
        <v>9</v>
      </c>
      <c r="S239">
        <f>IF(Games[[#This Row],[Team]]="","",COUNTIFS(Games[Team],Games[[#This Row],[Team]],Games[Season],Games[[#This Row],[Season]],Games[Week],"&lt;="&amp;Games[[#This Row],[Week]]))</f>
        <v>8</v>
      </c>
      <c r="T239">
        <f>IF(Games[[#This Row],[Team]]="","",_xlfn.MAXIFS(Games[Week],Games[Team],Games[[#This Row],[Team]],Games[Season],Games[[#This Row],[Season]],Games[Week],"&lt;"&amp;Games[[#This Row],[Week]]))</f>
        <v>8</v>
      </c>
      <c r="U239">
        <f>IF(Games[[#This Row],[Team]]="","",_xlfn.MAXIFS(Games[Week],Games[Team],Games[[#This Row],[Opponent]],Games[Season],Games[[#This Row],[Season]],Games[Week],"&lt;"&amp;Games[[#This Row],[Week]]))</f>
        <v>8</v>
      </c>
      <c r="V23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23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10</v>
      </c>
      <c r="X23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23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1502.8538304954989</v>
      </c>
      <c r="Z23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1410.9554052475889</v>
      </c>
      <c r="AA23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0.51999077959603823</v>
      </c>
      <c r="AB239">
        <f>IF(Games[[#This Row],[Team]]="","",Games[[#This Row],[PointsFor]]-Games[[#This Row],[PointsAgainst]])</f>
        <v>-19</v>
      </c>
      <c r="AC239">
        <f>IF(Games[[#This Row],[Team]]="","",IF(Games[[#This Row],[MOV]]&gt;0,1,IF(Games[[#This Row],[MOV]]=0,0.5,0)))</f>
        <v>0</v>
      </c>
      <c r="AD239">
        <f>IF(Games[[#This Row],[Team]]="","",--(OR(AND(Games[[#This Row],[ExpectedWin]]&gt;=0.5,Games[[#This Row],[Result]]=1),AND(Games[[#This Row],[ExpectedWin]]&lt;0.5,Games[[#This Row],[Result]]=0))))</f>
        <v>0</v>
      </c>
      <c r="AE239">
        <f>IF(Games[[#This Row],[Team]]="","",-(Games[[#This Row],[Result]]*LN(Games[[#This Row],[ExpectedWin]])+(1-Games[[#This Row],[Result]])*LN(1-Games[[#This Row],[ExpectedWin]])))</f>
        <v>0.73394996608977392</v>
      </c>
      <c r="AF239">
        <f>IF(Games[[#This Row],[Team]]="","",IF(Games[[#This Row],[Season]]&gt;=2021,17,16))</f>
        <v>16</v>
      </c>
      <c r="AG239">
        <f>IF(Games[[#This Row],[Team]]="","",KMax-(KMax-KFloor)*MIN(Games[[#This Row],[GamesPlayed]],Games[[#This Row],[SeasonLen]])/Games[[#This Row],[SeasonLen]])</f>
        <v>41.1</v>
      </c>
      <c r="AH239">
        <f>IF(Games[[#This Row],[Team]]="","",((ABS(Games[[#This Row],[MOV]])+3)^0.8)/(7.5+0.006*ABS(Games[[#This Row],[PreGmRate]]-Games[[#This Row],[OppPreGmRate]]))*IF(Games[[#This Row],[OT]]=1,0.7,1))</f>
        <v>1.4725405094961697</v>
      </c>
      <c r="AI23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9">
        <f>IF(Games[[#This Row],[Team]]="","",Games[[#This Row],[K]]*IF(Games[[#This Row],[DivG]]=1,DivMult,1)*IF(Games[[#This Row],[ConfG]]=1,ConfMult,1)*Games[[#This Row],[POMult]])</f>
        <v>46.114200000000011</v>
      </c>
      <c r="AK239">
        <f>IF(Games[[#This Row],[Team]]="","",(Games[[#This Row],[Keff]]*Games[[#This Row],[MOVMult]])*(Games[[#This Row],[Result]]-Games[[#This Row],[ExpectedWin]]))</f>
        <v>-35.309988220979143</v>
      </c>
      <c r="AL239">
        <f>IF(Games[[#This Row],[Team]]="","",Games[[#This Row],[PreGmRate]]+Games[[#This Row],[RatingChange]])</f>
        <v>1467.5438422745196</v>
      </c>
      <c r="AM239">
        <f>IF(Games[[#This Row],[Team]]="","",IF(Games[[#This Row],[Type]]="R",IF(Games[[#This Row],[Result]]&gt;0.5,1,0),0))</f>
        <v>0</v>
      </c>
      <c r="AN239">
        <f>IF(Games[[#This Row],[Team]]="","",IF(Games[[#This Row],[Type]]="R",IF(Games[[#This Row],[Result]]&lt;0.5,1,0),0))</f>
        <v>1</v>
      </c>
      <c r="AO239">
        <f>IF(Games[[#This Row],[Team]]="","",IF(Games[[#This Row],[Type]]="R",IF(Games[[#This Row],[Result]]=0.5,1,0),0))</f>
        <v>0</v>
      </c>
    </row>
    <row r="240" spans="1:41" x14ac:dyDescent="0.35">
      <c r="A240" s="8">
        <v>35365</v>
      </c>
      <c r="B240">
        <v>1996</v>
      </c>
      <c r="C240" t="s">
        <v>197</v>
      </c>
      <c r="D240" t="s">
        <v>199</v>
      </c>
      <c r="E240" t="s">
        <v>132</v>
      </c>
      <c r="F240" t="s">
        <v>106</v>
      </c>
      <c r="G240" t="s">
        <v>200</v>
      </c>
      <c r="H240">
        <v>28</v>
      </c>
      <c r="I240">
        <v>25</v>
      </c>
      <c r="J240">
        <v>0</v>
      </c>
      <c r="K24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4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4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4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40">
        <f>IF(Games[[#This Row],[Team]]="","",IF(Games[[#This Row],[Conf]]=Games[[#This Row],[OppConf]],1,0))</f>
        <v>1</v>
      </c>
      <c r="P240">
        <f>IF(Games[[#This Row],[Team]]="","",IF(AND(Games[[#This Row],[Conf]]=Games[[#This Row],[OppConf]],Games[[#This Row],[Div]]=Games[[#This Row],[OppDiv]]),1,0))</f>
        <v>1</v>
      </c>
      <c r="Q240">
        <f>IF(Games[[#This Row],[Team]]="","",_xlfn.MINIFS(Games[Date],Games[Season],Games[[#This Row],[Season]]))</f>
        <v>35309</v>
      </c>
      <c r="R240">
        <f>IF(Games[[#This Row],[Team]]="","",INT((Games[[#This Row],[Date]]-(Games[[#This Row],[SeasonStart]]-MOD(WEEKDAY(Games[[#This Row],[SeasonStart]],2)-2,7)))/7)+1)</f>
        <v>9</v>
      </c>
      <c r="S240">
        <f>IF(Games[[#This Row],[Team]]="","",COUNTIFS(Games[Team],Games[[#This Row],[Team]],Games[Season],Games[[#This Row],[Season]],Games[Week],"&lt;="&amp;Games[[#This Row],[Week]]))</f>
        <v>8</v>
      </c>
      <c r="T240">
        <f>IF(Games[[#This Row],[Team]]="","",_xlfn.MAXIFS(Games[Week],Games[Team],Games[[#This Row],[Team]],Games[Season],Games[[#This Row],[Season]],Games[Week],"&lt;"&amp;Games[[#This Row],[Week]]))</f>
        <v>8</v>
      </c>
      <c r="U240">
        <f>IF(Games[[#This Row],[Team]]="","",_xlfn.MAXIFS(Games[Week],Games[Team],Games[[#This Row],[Opponent]],Games[Season],Games[[#This Row],[Season]],Games[Week],"&lt;"&amp;Games[[#This Row],[Week]]))</f>
        <v>8</v>
      </c>
      <c r="V24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4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4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4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1553.9858997400675</v>
      </c>
      <c r="Z24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1491.1425128494393</v>
      </c>
      <c r="AA24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0.68486506717643236</v>
      </c>
      <c r="AB240">
        <f>IF(Games[[#This Row],[Team]]="","",Games[[#This Row],[PointsFor]]-Games[[#This Row],[PointsAgainst]])</f>
        <v>3</v>
      </c>
      <c r="AC240">
        <f>IF(Games[[#This Row],[Team]]="","",IF(Games[[#This Row],[MOV]]&gt;0,1,IF(Games[[#This Row],[MOV]]=0,0.5,0)))</f>
        <v>1</v>
      </c>
      <c r="AD240">
        <f>IF(Games[[#This Row],[Team]]="","",--(OR(AND(Games[[#This Row],[ExpectedWin]]&gt;=0.5,Games[[#This Row],[Result]]=1),AND(Games[[#This Row],[ExpectedWin]]&lt;0.5,Games[[#This Row],[Result]]=0))))</f>
        <v>1</v>
      </c>
      <c r="AE240">
        <f>IF(Games[[#This Row],[Team]]="","",-(Games[[#This Row],[Result]]*LN(Games[[#This Row],[ExpectedWin]])+(1-Games[[#This Row],[Result]])*LN(1-Games[[#This Row],[ExpectedWin]])))</f>
        <v>0.37853344234764458</v>
      </c>
      <c r="AF240">
        <f>IF(Games[[#This Row],[Team]]="","",IF(Games[[#This Row],[Season]]&gt;=2021,17,16))</f>
        <v>16</v>
      </c>
      <c r="AG240">
        <f>IF(Games[[#This Row],[Team]]="","",KMax-(KMax-KFloor)*MIN(Games[[#This Row],[GamesPlayed]],Games[[#This Row],[SeasonLen]])/Games[[#This Row],[SeasonLen]])</f>
        <v>41.1</v>
      </c>
      <c r="AH240">
        <f>IF(Games[[#This Row],[Team]]="","",((ABS(Games[[#This Row],[MOV]])+3)^0.8)/(7.5+0.006*ABS(Games[[#This Row],[PreGmRate]]-Games[[#This Row],[OppPreGmRate]]))*IF(Games[[#This Row],[OT]]=1,0.7,1))</f>
        <v>0.53230044478244987</v>
      </c>
      <c r="AI24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0">
        <f>IF(Games[[#This Row],[Team]]="","",Games[[#This Row],[K]]*IF(Games[[#This Row],[DivG]]=1,DivMult,1)*IF(Games[[#This Row],[ConfG]]=1,ConfMult,1)*Games[[#This Row],[POMult]])</f>
        <v>46.114200000000011</v>
      </c>
      <c r="AK240">
        <f>IF(Games[[#This Row],[Team]]="","",(Games[[#This Row],[Keff]]*Games[[#This Row],[MOVMult]])*(Games[[#This Row],[Result]]-Games[[#This Row],[ExpectedWin]]))</f>
        <v>7.7354940320822845</v>
      </c>
      <c r="AL240">
        <f>IF(Games[[#This Row],[Team]]="","",Games[[#This Row],[PreGmRate]]+Games[[#This Row],[RatingChange]])</f>
        <v>1561.7213937721497</v>
      </c>
      <c r="AM240">
        <f>IF(Games[[#This Row],[Team]]="","",IF(Games[[#This Row],[Type]]="R",IF(Games[[#This Row],[Result]]&gt;0.5,1,0),0))</f>
        <v>1</v>
      </c>
      <c r="AN240">
        <f>IF(Games[[#This Row],[Team]]="","",IF(Games[[#This Row],[Type]]="R",IF(Games[[#This Row],[Result]]&lt;0.5,1,0),0))</f>
        <v>0</v>
      </c>
      <c r="AO240">
        <f>IF(Games[[#This Row],[Team]]="","",IF(Games[[#This Row],[Type]]="R",IF(Games[[#This Row],[Result]]=0.5,1,0),0))</f>
        <v>0</v>
      </c>
    </row>
    <row r="241" spans="1:41" x14ac:dyDescent="0.35">
      <c r="A241" s="8">
        <v>35365</v>
      </c>
      <c r="B241">
        <v>1996</v>
      </c>
      <c r="C241" t="s">
        <v>197</v>
      </c>
      <c r="D241" t="s">
        <v>199</v>
      </c>
      <c r="E241" t="s">
        <v>106</v>
      </c>
      <c r="F241" t="s">
        <v>132</v>
      </c>
      <c r="G241" t="s">
        <v>201</v>
      </c>
      <c r="H241">
        <v>25</v>
      </c>
      <c r="I241">
        <v>28</v>
      </c>
      <c r="J241">
        <v>0</v>
      </c>
      <c r="K24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4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4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4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41">
        <f>IF(Games[[#This Row],[Team]]="","",IF(Games[[#This Row],[Conf]]=Games[[#This Row],[OppConf]],1,0))</f>
        <v>1</v>
      </c>
      <c r="P241">
        <f>IF(Games[[#This Row],[Team]]="","",IF(AND(Games[[#This Row],[Conf]]=Games[[#This Row],[OppConf]],Games[[#This Row],[Div]]=Games[[#This Row],[OppDiv]]),1,0))</f>
        <v>1</v>
      </c>
      <c r="Q241">
        <f>IF(Games[[#This Row],[Team]]="","",_xlfn.MINIFS(Games[Date],Games[Season],Games[[#This Row],[Season]]))</f>
        <v>35309</v>
      </c>
      <c r="R241">
        <f>IF(Games[[#This Row],[Team]]="","",INT((Games[[#This Row],[Date]]-(Games[[#This Row],[SeasonStart]]-MOD(WEEKDAY(Games[[#This Row],[SeasonStart]],2)-2,7)))/7)+1)</f>
        <v>9</v>
      </c>
      <c r="S241">
        <f>IF(Games[[#This Row],[Team]]="","",COUNTIFS(Games[Team],Games[[#This Row],[Team]],Games[Season],Games[[#This Row],[Season]],Games[Week],"&lt;="&amp;Games[[#This Row],[Week]]))</f>
        <v>8</v>
      </c>
      <c r="T241">
        <f>IF(Games[[#This Row],[Team]]="","",_xlfn.MAXIFS(Games[Week],Games[Team],Games[[#This Row],[Team]],Games[Season],Games[[#This Row],[Season]],Games[Week],"&lt;"&amp;Games[[#This Row],[Week]]))</f>
        <v>8</v>
      </c>
      <c r="U241">
        <f>IF(Games[[#This Row],[Team]]="","",_xlfn.MAXIFS(Games[Week],Games[Team],Games[[#This Row],[Opponent]],Games[Season],Games[[#This Row],[Season]],Games[Week],"&lt;"&amp;Games[[#This Row],[Week]]))</f>
        <v>8</v>
      </c>
      <c r="V24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4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4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4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1491.1425128494393</v>
      </c>
      <c r="Z24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1553.9858997400675</v>
      </c>
      <c r="AA24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0.31513493282356764</v>
      </c>
      <c r="AB241">
        <f>IF(Games[[#This Row],[Team]]="","",Games[[#This Row],[PointsFor]]-Games[[#This Row],[PointsAgainst]])</f>
        <v>-3</v>
      </c>
      <c r="AC241">
        <f>IF(Games[[#This Row],[Team]]="","",IF(Games[[#This Row],[MOV]]&gt;0,1,IF(Games[[#This Row],[MOV]]=0,0.5,0)))</f>
        <v>0</v>
      </c>
      <c r="AD241">
        <f>IF(Games[[#This Row],[Team]]="","",--(OR(AND(Games[[#This Row],[ExpectedWin]]&gt;=0.5,Games[[#This Row],[Result]]=1),AND(Games[[#This Row],[ExpectedWin]]&lt;0.5,Games[[#This Row],[Result]]=0))))</f>
        <v>1</v>
      </c>
      <c r="AE241">
        <f>IF(Games[[#This Row],[Team]]="","",-(Games[[#This Row],[Result]]*LN(Games[[#This Row],[ExpectedWin]])+(1-Games[[#This Row],[Result]])*LN(1-Games[[#This Row],[ExpectedWin]])))</f>
        <v>0.37853344234764458</v>
      </c>
      <c r="AF241">
        <f>IF(Games[[#This Row],[Team]]="","",IF(Games[[#This Row],[Season]]&gt;=2021,17,16))</f>
        <v>16</v>
      </c>
      <c r="AG241">
        <f>IF(Games[[#This Row],[Team]]="","",KMax-(KMax-KFloor)*MIN(Games[[#This Row],[GamesPlayed]],Games[[#This Row],[SeasonLen]])/Games[[#This Row],[SeasonLen]])</f>
        <v>41.1</v>
      </c>
      <c r="AH241">
        <f>IF(Games[[#This Row],[Team]]="","",((ABS(Games[[#This Row],[MOV]])+3)^0.8)/(7.5+0.006*ABS(Games[[#This Row],[PreGmRate]]-Games[[#This Row],[OppPreGmRate]]))*IF(Games[[#This Row],[OT]]=1,0.7,1))</f>
        <v>0.53230044478244987</v>
      </c>
      <c r="AI24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1">
        <f>IF(Games[[#This Row],[Team]]="","",Games[[#This Row],[K]]*IF(Games[[#This Row],[DivG]]=1,DivMult,1)*IF(Games[[#This Row],[ConfG]]=1,ConfMult,1)*Games[[#This Row],[POMult]])</f>
        <v>46.114200000000011</v>
      </c>
      <c r="AK241">
        <f>IF(Games[[#This Row],[Team]]="","",(Games[[#This Row],[Keff]]*Games[[#This Row],[MOVMult]])*(Games[[#This Row],[Result]]-Games[[#This Row],[ExpectedWin]]))</f>
        <v>-7.7354940320822845</v>
      </c>
      <c r="AL241">
        <f>IF(Games[[#This Row],[Team]]="","",Games[[#This Row],[PreGmRate]]+Games[[#This Row],[RatingChange]])</f>
        <v>1483.4070188173571</v>
      </c>
      <c r="AM241">
        <f>IF(Games[[#This Row],[Team]]="","",IF(Games[[#This Row],[Type]]="R",IF(Games[[#This Row],[Result]]&gt;0.5,1,0),0))</f>
        <v>0</v>
      </c>
      <c r="AN241">
        <f>IF(Games[[#This Row],[Team]]="","",IF(Games[[#This Row],[Type]]="R",IF(Games[[#This Row],[Result]]&lt;0.5,1,0),0))</f>
        <v>1</v>
      </c>
      <c r="AO241">
        <f>IF(Games[[#This Row],[Team]]="","",IF(Games[[#This Row],[Type]]="R",IF(Games[[#This Row],[Result]]=0.5,1,0),0))</f>
        <v>0</v>
      </c>
    </row>
    <row r="242" spans="1:41" x14ac:dyDescent="0.35">
      <c r="A242" s="8">
        <v>35366</v>
      </c>
      <c r="B242">
        <v>1996</v>
      </c>
      <c r="C242" t="s">
        <v>197</v>
      </c>
      <c r="D242" t="s">
        <v>199</v>
      </c>
      <c r="E242" t="s">
        <v>110</v>
      </c>
      <c r="F242" t="s">
        <v>130</v>
      </c>
      <c r="G242" t="s">
        <v>201</v>
      </c>
      <c r="H242">
        <v>15</v>
      </c>
      <c r="I242">
        <v>13</v>
      </c>
      <c r="J242">
        <v>0</v>
      </c>
      <c r="K24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4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4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4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42">
        <f>IF(Games[[#This Row],[Team]]="","",IF(Games[[#This Row],[Conf]]=Games[[#This Row],[OppConf]],1,0))</f>
        <v>1</v>
      </c>
      <c r="P242">
        <f>IF(Games[[#This Row],[Team]]="","",IF(AND(Games[[#This Row],[Conf]]=Games[[#This Row],[OppConf]],Games[[#This Row],[Div]]=Games[[#This Row],[OppDiv]]),1,0))</f>
        <v>1</v>
      </c>
      <c r="Q242">
        <f>IF(Games[[#This Row],[Team]]="","",_xlfn.MINIFS(Games[Date],Games[Season],Games[[#This Row],[Season]]))</f>
        <v>35309</v>
      </c>
      <c r="R242">
        <f>IF(Games[[#This Row],[Team]]="","",INT((Games[[#This Row],[Date]]-(Games[[#This Row],[SeasonStart]]-MOD(WEEKDAY(Games[[#This Row],[SeasonStart]],2)-2,7)))/7)+1)</f>
        <v>9</v>
      </c>
      <c r="S242">
        <f>IF(Games[[#This Row],[Team]]="","",COUNTIFS(Games[Team],Games[[#This Row],[Team]],Games[Season],Games[[#This Row],[Season]],Games[Week],"&lt;="&amp;Games[[#This Row],[Week]]))</f>
        <v>8</v>
      </c>
      <c r="T242">
        <f>IF(Games[[#This Row],[Team]]="","",_xlfn.MAXIFS(Games[Week],Games[Team],Games[[#This Row],[Team]],Games[Season],Games[[#This Row],[Season]],Games[Week],"&lt;"&amp;Games[[#This Row],[Week]]))</f>
        <v>7</v>
      </c>
      <c r="U242">
        <f>IF(Games[[#This Row],[Team]]="","",_xlfn.MAXIFS(Games[Week],Games[Team],Games[[#This Row],[Opponent]],Games[Season],Games[[#This Row],[Season]],Games[Week],"&lt;"&amp;Games[[#This Row],[Week]]))</f>
        <v>7</v>
      </c>
      <c r="V24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15</v>
      </c>
      <c r="W24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15</v>
      </c>
      <c r="X24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4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1420.9575008749155</v>
      </c>
      <c r="Z24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1537.4320614820501</v>
      </c>
      <c r="AA24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0.25257102567606649</v>
      </c>
      <c r="AB242">
        <f>IF(Games[[#This Row],[Team]]="","",Games[[#This Row],[PointsFor]]-Games[[#This Row],[PointsAgainst]])</f>
        <v>2</v>
      </c>
      <c r="AC242">
        <f>IF(Games[[#This Row],[Team]]="","",IF(Games[[#This Row],[MOV]]&gt;0,1,IF(Games[[#This Row],[MOV]]=0,0.5,0)))</f>
        <v>1</v>
      </c>
      <c r="AD242">
        <f>IF(Games[[#This Row],[Team]]="","",--(OR(AND(Games[[#This Row],[ExpectedWin]]&gt;=0.5,Games[[#This Row],[Result]]=1),AND(Games[[#This Row],[ExpectedWin]]&lt;0.5,Games[[#This Row],[Result]]=0))))</f>
        <v>0</v>
      </c>
      <c r="AE242">
        <f>IF(Games[[#This Row],[Team]]="","",-(Games[[#This Row],[Result]]*LN(Games[[#This Row],[ExpectedWin]])+(1-Games[[#This Row],[Result]])*LN(1-Games[[#This Row],[ExpectedWin]])))</f>
        <v>1.3760627800150789</v>
      </c>
      <c r="AF242">
        <f>IF(Games[[#This Row],[Team]]="","",IF(Games[[#This Row],[Season]]&gt;=2021,17,16))</f>
        <v>16</v>
      </c>
      <c r="AG242">
        <f>IF(Games[[#This Row],[Team]]="","",KMax-(KMax-KFloor)*MIN(Games[[#This Row],[GamesPlayed]],Games[[#This Row],[SeasonLen]])/Games[[#This Row],[SeasonLen]])</f>
        <v>41.1</v>
      </c>
      <c r="AH242">
        <f>IF(Games[[#This Row],[Team]]="","",((ABS(Games[[#This Row],[MOV]])+3)^0.8)/(7.5+0.006*ABS(Games[[#This Row],[PreGmRate]]-Games[[#This Row],[OppPreGmRate]]))*IF(Games[[#This Row],[OT]]=1,0.7,1))</f>
        <v>0.44200094936007611</v>
      </c>
      <c r="AI24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2">
        <f>IF(Games[[#This Row],[Team]]="","",Games[[#This Row],[K]]*IF(Games[[#This Row],[DivG]]=1,DivMult,1)*IF(Games[[#This Row],[ConfG]]=1,ConfMult,1)*Games[[#This Row],[POMult]])</f>
        <v>46.114200000000011</v>
      </c>
      <c r="AK242">
        <f>IF(Games[[#This Row],[Team]]="","",(Games[[#This Row],[Keff]]*Games[[#This Row],[MOVMult]])*(Games[[#This Row],[Result]]-Games[[#This Row],[ExpectedWin]]))</f>
        <v>15.23448615151222</v>
      </c>
      <c r="AL242">
        <f>IF(Games[[#This Row],[Team]]="","",Games[[#This Row],[PreGmRate]]+Games[[#This Row],[RatingChange]])</f>
        <v>1436.1919870264278</v>
      </c>
      <c r="AM242">
        <f>IF(Games[[#This Row],[Team]]="","",IF(Games[[#This Row],[Type]]="R",IF(Games[[#This Row],[Result]]&gt;0.5,1,0),0))</f>
        <v>1</v>
      </c>
      <c r="AN242">
        <f>IF(Games[[#This Row],[Team]]="","",IF(Games[[#This Row],[Type]]="R",IF(Games[[#This Row],[Result]]&lt;0.5,1,0),0))</f>
        <v>0</v>
      </c>
      <c r="AO242">
        <f>IF(Games[[#This Row],[Team]]="","",IF(Games[[#This Row],[Type]]="R",IF(Games[[#This Row],[Result]]=0.5,1,0),0))</f>
        <v>0</v>
      </c>
    </row>
    <row r="243" spans="1:41" x14ac:dyDescent="0.35">
      <c r="A243" s="8">
        <v>35366</v>
      </c>
      <c r="B243">
        <v>1996</v>
      </c>
      <c r="C243" t="s">
        <v>197</v>
      </c>
      <c r="D243" t="s">
        <v>199</v>
      </c>
      <c r="E243" t="s">
        <v>130</v>
      </c>
      <c r="F243" t="s">
        <v>110</v>
      </c>
      <c r="G243" t="s">
        <v>200</v>
      </c>
      <c r="H243">
        <v>13</v>
      </c>
      <c r="I243">
        <v>15</v>
      </c>
      <c r="J243">
        <v>0</v>
      </c>
      <c r="K24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4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4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4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43">
        <f>IF(Games[[#This Row],[Team]]="","",IF(Games[[#This Row],[Conf]]=Games[[#This Row],[OppConf]],1,0))</f>
        <v>1</v>
      </c>
      <c r="P243">
        <f>IF(Games[[#This Row],[Team]]="","",IF(AND(Games[[#This Row],[Conf]]=Games[[#This Row],[OppConf]],Games[[#This Row],[Div]]=Games[[#This Row],[OppDiv]]),1,0))</f>
        <v>1</v>
      </c>
      <c r="Q243">
        <f>IF(Games[[#This Row],[Team]]="","",_xlfn.MINIFS(Games[Date],Games[Season],Games[[#This Row],[Season]]))</f>
        <v>35309</v>
      </c>
      <c r="R243">
        <f>IF(Games[[#This Row],[Team]]="","",INT((Games[[#This Row],[Date]]-(Games[[#This Row],[SeasonStart]]-MOD(WEEKDAY(Games[[#This Row],[SeasonStart]],2)-2,7)))/7)+1)</f>
        <v>9</v>
      </c>
      <c r="S243">
        <f>IF(Games[[#This Row],[Team]]="","",COUNTIFS(Games[Team],Games[[#This Row],[Team]],Games[Season],Games[[#This Row],[Season]],Games[Week],"&lt;="&amp;Games[[#This Row],[Week]]))</f>
        <v>8</v>
      </c>
      <c r="T243">
        <f>IF(Games[[#This Row],[Team]]="","",_xlfn.MAXIFS(Games[Week],Games[Team],Games[[#This Row],[Team]],Games[Season],Games[[#This Row],[Season]],Games[Week],"&lt;"&amp;Games[[#This Row],[Week]]))</f>
        <v>7</v>
      </c>
      <c r="U243">
        <f>IF(Games[[#This Row],[Team]]="","",_xlfn.MAXIFS(Games[Week],Games[Team],Games[[#This Row],[Opponent]],Games[Season],Games[[#This Row],[Season]],Games[Week],"&lt;"&amp;Games[[#This Row],[Week]]))</f>
        <v>7</v>
      </c>
      <c r="V24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15</v>
      </c>
      <c r="W24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15</v>
      </c>
      <c r="X24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4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1537.4320614820501</v>
      </c>
      <c r="Z24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1420.9575008749155</v>
      </c>
      <c r="AA24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0.74742897432393351</v>
      </c>
      <c r="AB243">
        <f>IF(Games[[#This Row],[Team]]="","",Games[[#This Row],[PointsFor]]-Games[[#This Row],[PointsAgainst]])</f>
        <v>-2</v>
      </c>
      <c r="AC243">
        <f>IF(Games[[#This Row],[Team]]="","",IF(Games[[#This Row],[MOV]]&gt;0,1,IF(Games[[#This Row],[MOV]]=0,0.5,0)))</f>
        <v>0</v>
      </c>
      <c r="AD243">
        <f>IF(Games[[#This Row],[Team]]="","",--(OR(AND(Games[[#This Row],[ExpectedWin]]&gt;=0.5,Games[[#This Row],[Result]]=1),AND(Games[[#This Row],[ExpectedWin]]&lt;0.5,Games[[#This Row],[Result]]=0))))</f>
        <v>0</v>
      </c>
      <c r="AE243">
        <f>IF(Games[[#This Row],[Team]]="","",-(Games[[#This Row],[Result]]*LN(Games[[#This Row],[ExpectedWin]])+(1-Games[[#This Row],[Result]])*LN(1-Games[[#This Row],[ExpectedWin]])))</f>
        <v>1.3760627800150789</v>
      </c>
      <c r="AF243">
        <f>IF(Games[[#This Row],[Team]]="","",IF(Games[[#This Row],[Season]]&gt;=2021,17,16))</f>
        <v>16</v>
      </c>
      <c r="AG243">
        <f>IF(Games[[#This Row],[Team]]="","",KMax-(KMax-KFloor)*MIN(Games[[#This Row],[GamesPlayed]],Games[[#This Row],[SeasonLen]])/Games[[#This Row],[SeasonLen]])</f>
        <v>41.1</v>
      </c>
      <c r="AH243">
        <f>IF(Games[[#This Row],[Team]]="","",((ABS(Games[[#This Row],[MOV]])+3)^0.8)/(7.5+0.006*ABS(Games[[#This Row],[PreGmRate]]-Games[[#This Row],[OppPreGmRate]]))*IF(Games[[#This Row],[OT]]=1,0.7,1))</f>
        <v>0.44200094936007611</v>
      </c>
      <c r="AI24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3">
        <f>IF(Games[[#This Row],[Team]]="","",Games[[#This Row],[K]]*IF(Games[[#This Row],[DivG]]=1,DivMult,1)*IF(Games[[#This Row],[ConfG]]=1,ConfMult,1)*Games[[#This Row],[POMult]])</f>
        <v>46.114200000000011</v>
      </c>
      <c r="AK243">
        <f>IF(Games[[#This Row],[Team]]="","",(Games[[#This Row],[Keff]]*Games[[#This Row],[MOVMult]])*(Games[[#This Row],[Result]]-Games[[#This Row],[ExpectedWin]]))</f>
        <v>-15.23448615151222</v>
      </c>
      <c r="AL243">
        <f>IF(Games[[#This Row],[Team]]="","",Games[[#This Row],[PreGmRate]]+Games[[#This Row],[RatingChange]])</f>
        <v>1522.1975753305378</v>
      </c>
      <c r="AM243">
        <f>IF(Games[[#This Row],[Team]]="","",IF(Games[[#This Row],[Type]]="R",IF(Games[[#This Row],[Result]]&gt;0.5,1,0),0))</f>
        <v>0</v>
      </c>
      <c r="AN243">
        <f>IF(Games[[#This Row],[Team]]="","",IF(Games[[#This Row],[Type]]="R",IF(Games[[#This Row],[Result]]&lt;0.5,1,0),0))</f>
        <v>1</v>
      </c>
      <c r="AO243">
        <f>IF(Games[[#This Row],[Team]]="","",IF(Games[[#This Row],[Type]]="R",IF(Games[[#This Row],[Result]]=0.5,1,0),0))</f>
        <v>0</v>
      </c>
    </row>
    <row r="244" spans="1:41" x14ac:dyDescent="0.35">
      <c r="A244" s="8">
        <v>35372</v>
      </c>
      <c r="B244">
        <v>1996</v>
      </c>
      <c r="C244" t="s">
        <v>197</v>
      </c>
      <c r="D244" t="s">
        <v>199</v>
      </c>
      <c r="E244" t="s">
        <v>98</v>
      </c>
      <c r="F244" t="s">
        <v>108</v>
      </c>
      <c r="G244" t="s">
        <v>200</v>
      </c>
      <c r="H244">
        <v>20</v>
      </c>
      <c r="I244">
        <v>17</v>
      </c>
      <c r="J244">
        <v>0</v>
      </c>
      <c r="K24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4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4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4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44">
        <f>IF(Games[[#This Row],[Team]]="","",IF(Games[[#This Row],[Conf]]=Games[[#This Row],[OppConf]],1,0))</f>
        <v>1</v>
      </c>
      <c r="P244">
        <f>IF(Games[[#This Row],[Team]]="","",IF(AND(Games[[#This Row],[Conf]]=Games[[#This Row],[OppConf]],Games[[#This Row],[Div]]=Games[[#This Row],[OppDiv]]),1,0))</f>
        <v>1</v>
      </c>
      <c r="Q244">
        <f>IF(Games[[#This Row],[Team]]="","",_xlfn.MINIFS(Games[Date],Games[Season],Games[[#This Row],[Season]]))</f>
        <v>35309</v>
      </c>
      <c r="R244">
        <f>IF(Games[[#This Row],[Team]]="","",INT((Games[[#This Row],[Date]]-(Games[[#This Row],[SeasonStart]]-MOD(WEEKDAY(Games[[#This Row],[SeasonStart]],2)-2,7)))/7)+1)</f>
        <v>10</v>
      </c>
      <c r="S244">
        <f>IF(Games[[#This Row],[Team]]="","",COUNTIFS(Games[Team],Games[[#This Row],[Team]],Games[Season],Games[[#This Row],[Season]],Games[Week],"&lt;="&amp;Games[[#This Row],[Week]]))</f>
        <v>9</v>
      </c>
      <c r="T244">
        <f>IF(Games[[#This Row],[Team]]="","",_xlfn.MAXIFS(Games[Week],Games[Team],Games[[#This Row],[Team]],Games[Season],Games[[#This Row],[Season]],Games[Week],"&lt;"&amp;Games[[#This Row],[Week]]))</f>
        <v>9</v>
      </c>
      <c r="U244">
        <f>IF(Games[[#This Row],[Team]]="","",_xlfn.MAXIFS(Games[Week],Games[Team],Games[[#This Row],[Opponent]],Games[Season],Games[[#This Row],[Season]],Games[Week],"&lt;"&amp;Games[[#This Row],[Week]]))</f>
        <v>9</v>
      </c>
      <c r="V24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4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4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4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1362.4045980216827</v>
      </c>
      <c r="Z24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1560.9642735518498</v>
      </c>
      <c r="AA24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0.32551606210784745</v>
      </c>
      <c r="AB244">
        <f>IF(Games[[#This Row],[Team]]="","",Games[[#This Row],[PointsFor]]-Games[[#This Row],[PointsAgainst]])</f>
        <v>3</v>
      </c>
      <c r="AC244">
        <f>IF(Games[[#This Row],[Team]]="","",IF(Games[[#This Row],[MOV]]&gt;0,1,IF(Games[[#This Row],[MOV]]=0,0.5,0)))</f>
        <v>1</v>
      </c>
      <c r="AD244">
        <f>IF(Games[[#This Row],[Team]]="","",--(OR(AND(Games[[#This Row],[ExpectedWin]]&gt;=0.5,Games[[#This Row],[Result]]=1),AND(Games[[#This Row],[ExpectedWin]]&lt;0.5,Games[[#This Row],[Result]]=0))))</f>
        <v>0</v>
      </c>
      <c r="AE244">
        <f>IF(Games[[#This Row],[Team]]="","",-(Games[[#This Row],[Result]]*LN(Games[[#This Row],[ExpectedWin]])+(1-Games[[#This Row],[Result]])*LN(1-Games[[#This Row],[ExpectedWin]])))</f>
        <v>1.1223434725975363</v>
      </c>
      <c r="AF244">
        <f>IF(Games[[#This Row],[Team]]="","",IF(Games[[#This Row],[Season]]&gt;=2021,17,16))</f>
        <v>16</v>
      </c>
      <c r="AG244">
        <f>IF(Games[[#This Row],[Team]]="","",KMax-(KMax-KFloor)*MIN(Games[[#This Row],[GamesPlayed]],Games[[#This Row],[SeasonLen]])/Games[[#This Row],[SeasonLen]])</f>
        <v>40.487500000000004</v>
      </c>
      <c r="AH244">
        <f>IF(Games[[#This Row],[Team]]="","",((ABS(Games[[#This Row],[MOV]])+3)^0.8)/(7.5+0.006*ABS(Games[[#This Row],[PreGmRate]]-Games[[#This Row],[OppPreGmRate]]))*IF(Games[[#This Row],[OT]]=1,0.7,1))</f>
        <v>0.4824289468887854</v>
      </c>
      <c r="AI24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4">
        <f>IF(Games[[#This Row],[Team]]="","",Games[[#This Row],[K]]*IF(Games[[#This Row],[DivG]]=1,DivMult,1)*IF(Games[[#This Row],[ConfG]]=1,ConfMult,1)*Games[[#This Row],[POMult]])</f>
        <v>45.426975000000013</v>
      </c>
      <c r="AK244">
        <f>IF(Games[[#This Row],[Team]]="","",(Games[[#This Row],[Keff]]*Games[[#This Row],[MOVMult]])*(Games[[#This Row],[Result]]-Games[[#This Row],[ExpectedWin]]))</f>
        <v>14.781509554405906</v>
      </c>
      <c r="AL244">
        <f>IF(Games[[#This Row],[Team]]="","",Games[[#This Row],[PreGmRate]]+Games[[#This Row],[RatingChange]])</f>
        <v>1377.1861075760885</v>
      </c>
      <c r="AM244">
        <f>IF(Games[[#This Row],[Team]]="","",IF(Games[[#This Row],[Type]]="R",IF(Games[[#This Row],[Result]]&gt;0.5,1,0),0))</f>
        <v>1</v>
      </c>
      <c r="AN244">
        <f>IF(Games[[#This Row],[Team]]="","",IF(Games[[#This Row],[Type]]="R",IF(Games[[#This Row],[Result]]&lt;0.5,1,0),0))</f>
        <v>0</v>
      </c>
      <c r="AO244">
        <f>IF(Games[[#This Row],[Team]]="","",IF(Games[[#This Row],[Type]]="R",IF(Games[[#This Row],[Result]]=0.5,1,0),0))</f>
        <v>0</v>
      </c>
    </row>
    <row r="245" spans="1:41" x14ac:dyDescent="0.35">
      <c r="A245" s="8">
        <v>35372</v>
      </c>
      <c r="B245">
        <v>1996</v>
      </c>
      <c r="C245" t="s">
        <v>197</v>
      </c>
      <c r="D245" t="s">
        <v>199</v>
      </c>
      <c r="E245" t="s">
        <v>108</v>
      </c>
      <c r="F245" t="s">
        <v>98</v>
      </c>
      <c r="G245" t="s">
        <v>201</v>
      </c>
      <c r="H245">
        <v>17</v>
      </c>
      <c r="I245">
        <v>20</v>
      </c>
      <c r="J245">
        <v>0</v>
      </c>
      <c r="K24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4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4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4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45">
        <f>IF(Games[[#This Row],[Team]]="","",IF(Games[[#This Row],[Conf]]=Games[[#This Row],[OppConf]],1,0))</f>
        <v>1</v>
      </c>
      <c r="P245">
        <f>IF(Games[[#This Row],[Team]]="","",IF(AND(Games[[#This Row],[Conf]]=Games[[#This Row],[OppConf]],Games[[#This Row],[Div]]=Games[[#This Row],[OppDiv]]),1,0))</f>
        <v>1</v>
      </c>
      <c r="Q245">
        <f>IF(Games[[#This Row],[Team]]="","",_xlfn.MINIFS(Games[Date],Games[Season],Games[[#This Row],[Season]]))</f>
        <v>35309</v>
      </c>
      <c r="R245">
        <f>IF(Games[[#This Row],[Team]]="","",INT((Games[[#This Row],[Date]]-(Games[[#This Row],[SeasonStart]]-MOD(WEEKDAY(Games[[#This Row],[SeasonStart]],2)-2,7)))/7)+1)</f>
        <v>10</v>
      </c>
      <c r="S245">
        <f>IF(Games[[#This Row],[Team]]="","",COUNTIFS(Games[Team],Games[[#This Row],[Team]],Games[Season],Games[[#This Row],[Season]],Games[Week],"&lt;="&amp;Games[[#This Row],[Week]]))</f>
        <v>9</v>
      </c>
      <c r="T245">
        <f>IF(Games[[#This Row],[Team]]="","",_xlfn.MAXIFS(Games[Week],Games[Team],Games[[#This Row],[Team]],Games[Season],Games[[#This Row],[Season]],Games[Week],"&lt;"&amp;Games[[#This Row],[Week]]))</f>
        <v>9</v>
      </c>
      <c r="U245">
        <f>IF(Games[[#This Row],[Team]]="","",_xlfn.MAXIFS(Games[Week],Games[Team],Games[[#This Row],[Opponent]],Games[Season],Games[[#This Row],[Season]],Games[Week],"&lt;"&amp;Games[[#This Row],[Week]]))</f>
        <v>9</v>
      </c>
      <c r="V24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4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4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4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1560.9642735518498</v>
      </c>
      <c r="Z24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1362.4045980216827</v>
      </c>
      <c r="AA24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0.67448393789215255</v>
      </c>
      <c r="AB245">
        <f>IF(Games[[#This Row],[Team]]="","",Games[[#This Row],[PointsFor]]-Games[[#This Row],[PointsAgainst]])</f>
        <v>-3</v>
      </c>
      <c r="AC245">
        <f>IF(Games[[#This Row],[Team]]="","",IF(Games[[#This Row],[MOV]]&gt;0,1,IF(Games[[#This Row],[MOV]]=0,0.5,0)))</f>
        <v>0</v>
      </c>
      <c r="AD245">
        <f>IF(Games[[#This Row],[Team]]="","",--(OR(AND(Games[[#This Row],[ExpectedWin]]&gt;=0.5,Games[[#This Row],[Result]]=1),AND(Games[[#This Row],[ExpectedWin]]&lt;0.5,Games[[#This Row],[Result]]=0))))</f>
        <v>0</v>
      </c>
      <c r="AE245">
        <f>IF(Games[[#This Row],[Team]]="","",-(Games[[#This Row],[Result]]*LN(Games[[#This Row],[ExpectedWin]])+(1-Games[[#This Row],[Result]])*LN(1-Games[[#This Row],[ExpectedWin]])))</f>
        <v>1.1223434725975363</v>
      </c>
      <c r="AF245">
        <f>IF(Games[[#This Row],[Team]]="","",IF(Games[[#This Row],[Season]]&gt;=2021,17,16))</f>
        <v>16</v>
      </c>
      <c r="AG245">
        <f>IF(Games[[#This Row],[Team]]="","",KMax-(KMax-KFloor)*MIN(Games[[#This Row],[GamesPlayed]],Games[[#This Row],[SeasonLen]])/Games[[#This Row],[SeasonLen]])</f>
        <v>40.487500000000004</v>
      </c>
      <c r="AH245">
        <f>IF(Games[[#This Row],[Team]]="","",((ABS(Games[[#This Row],[MOV]])+3)^0.8)/(7.5+0.006*ABS(Games[[#This Row],[PreGmRate]]-Games[[#This Row],[OppPreGmRate]]))*IF(Games[[#This Row],[OT]]=1,0.7,1))</f>
        <v>0.4824289468887854</v>
      </c>
      <c r="AI24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5">
        <f>IF(Games[[#This Row],[Team]]="","",Games[[#This Row],[K]]*IF(Games[[#This Row],[DivG]]=1,DivMult,1)*IF(Games[[#This Row],[ConfG]]=1,ConfMult,1)*Games[[#This Row],[POMult]])</f>
        <v>45.426975000000013</v>
      </c>
      <c r="AK245">
        <f>IF(Games[[#This Row],[Team]]="","",(Games[[#This Row],[Keff]]*Games[[#This Row],[MOVMult]])*(Games[[#This Row],[Result]]-Games[[#This Row],[ExpectedWin]]))</f>
        <v>-14.781509554405906</v>
      </c>
      <c r="AL245">
        <f>IF(Games[[#This Row],[Team]]="","",Games[[#This Row],[PreGmRate]]+Games[[#This Row],[RatingChange]])</f>
        <v>1546.182763997444</v>
      </c>
      <c r="AM245">
        <f>IF(Games[[#This Row],[Team]]="","",IF(Games[[#This Row],[Type]]="R",IF(Games[[#This Row],[Result]]&gt;0.5,1,0),0))</f>
        <v>0</v>
      </c>
      <c r="AN245">
        <f>IF(Games[[#This Row],[Team]]="","",IF(Games[[#This Row],[Type]]="R",IF(Games[[#This Row],[Result]]&lt;0.5,1,0),0))</f>
        <v>1</v>
      </c>
      <c r="AO245">
        <f>IF(Games[[#This Row],[Team]]="","",IF(Games[[#This Row],[Type]]="R",IF(Games[[#This Row],[Result]]=0.5,1,0),0))</f>
        <v>0</v>
      </c>
    </row>
    <row r="246" spans="1:41" x14ac:dyDescent="0.35">
      <c r="A246" s="8">
        <v>35372</v>
      </c>
      <c r="B246">
        <v>1996</v>
      </c>
      <c r="C246" t="s">
        <v>197</v>
      </c>
      <c r="D246" t="s">
        <v>199</v>
      </c>
      <c r="E246" t="s">
        <v>110</v>
      </c>
      <c r="F246" t="s">
        <v>151</v>
      </c>
      <c r="G246" t="s">
        <v>200</v>
      </c>
      <c r="H246">
        <v>13</v>
      </c>
      <c r="I246">
        <v>10</v>
      </c>
      <c r="J246">
        <v>0</v>
      </c>
      <c r="K24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4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4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4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46">
        <f>IF(Games[[#This Row],[Team]]="","",IF(Games[[#This Row],[Conf]]=Games[[#This Row],[OppConf]],1,0))</f>
        <v>1</v>
      </c>
      <c r="P246">
        <f>IF(Games[[#This Row],[Team]]="","",IF(AND(Games[[#This Row],[Conf]]=Games[[#This Row],[OppConf]],Games[[#This Row],[Div]]=Games[[#This Row],[OppDiv]]),1,0))</f>
        <v>1</v>
      </c>
      <c r="Q246">
        <f>IF(Games[[#This Row],[Team]]="","",_xlfn.MINIFS(Games[Date],Games[Season],Games[[#This Row],[Season]]))</f>
        <v>35309</v>
      </c>
      <c r="R246">
        <f>IF(Games[[#This Row],[Team]]="","",INT((Games[[#This Row],[Date]]-(Games[[#This Row],[SeasonStart]]-MOD(WEEKDAY(Games[[#This Row],[SeasonStart]],2)-2,7)))/7)+1)</f>
        <v>10</v>
      </c>
      <c r="S246">
        <f>IF(Games[[#This Row],[Team]]="","",COUNTIFS(Games[Team],Games[[#This Row],[Team]],Games[Season],Games[[#This Row],[Season]],Games[Week],"&lt;="&amp;Games[[#This Row],[Week]]))</f>
        <v>9</v>
      </c>
      <c r="T246">
        <f>IF(Games[[#This Row],[Team]]="","",_xlfn.MAXIFS(Games[Week],Games[Team],Games[[#This Row],[Team]],Games[Season],Games[[#This Row],[Season]],Games[Week],"&lt;"&amp;Games[[#This Row],[Week]]))</f>
        <v>9</v>
      </c>
      <c r="U246">
        <f>IF(Games[[#This Row],[Team]]="","",_xlfn.MAXIFS(Games[Week],Games[Team],Games[[#This Row],[Opponent]],Games[Season],Games[[#This Row],[Season]],Games[Week],"&lt;"&amp;Games[[#This Row],[Week]]))</f>
        <v>9</v>
      </c>
      <c r="V24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24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4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24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1436.1919870264278</v>
      </c>
      <c r="Z24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1370.2228164908668</v>
      </c>
      <c r="AA24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0.68128330150586758</v>
      </c>
      <c r="AB246">
        <f>IF(Games[[#This Row],[Team]]="","",Games[[#This Row],[PointsFor]]-Games[[#This Row],[PointsAgainst]])</f>
        <v>3</v>
      </c>
      <c r="AC246">
        <f>IF(Games[[#This Row],[Team]]="","",IF(Games[[#This Row],[MOV]]&gt;0,1,IF(Games[[#This Row],[MOV]]=0,0.5,0)))</f>
        <v>1</v>
      </c>
      <c r="AD246">
        <f>IF(Games[[#This Row],[Team]]="","",--(OR(AND(Games[[#This Row],[ExpectedWin]]&gt;=0.5,Games[[#This Row],[Result]]=1),AND(Games[[#This Row],[ExpectedWin]]&lt;0.5,Games[[#This Row],[Result]]=0))))</f>
        <v>1</v>
      </c>
      <c r="AE246">
        <f>IF(Games[[#This Row],[Team]]="","",-(Games[[#This Row],[Result]]*LN(Games[[#This Row],[ExpectedWin]])+(1-Games[[#This Row],[Result]])*LN(1-Games[[#This Row],[ExpectedWin]])))</f>
        <v>0.38377705125502265</v>
      </c>
      <c r="AF246">
        <f>IF(Games[[#This Row],[Team]]="","",IF(Games[[#This Row],[Season]]&gt;=2021,17,16))</f>
        <v>16</v>
      </c>
      <c r="AG246">
        <f>IF(Games[[#This Row],[Team]]="","",KMax-(KMax-KFloor)*MIN(Games[[#This Row],[GamesPlayed]],Games[[#This Row],[SeasonLen]])/Games[[#This Row],[SeasonLen]])</f>
        <v>40.487500000000004</v>
      </c>
      <c r="AH246">
        <f>IF(Games[[#This Row],[Team]]="","",((ABS(Games[[#This Row],[MOV]])+3)^0.8)/(7.5+0.006*ABS(Games[[#This Row],[PreGmRate]]-Games[[#This Row],[OppPreGmRate]]))*IF(Games[[#This Row],[OT]]=1,0.7,1))</f>
        <v>0.53103608687669868</v>
      </c>
      <c r="AI24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6">
        <f>IF(Games[[#This Row],[Team]]="","",Games[[#This Row],[K]]*IF(Games[[#This Row],[DivG]]=1,DivMult,1)*IF(Games[[#This Row],[ConfG]]=1,ConfMult,1)*Games[[#This Row],[POMult]])</f>
        <v>45.426975000000013</v>
      </c>
      <c r="AK246">
        <f>IF(Games[[#This Row],[Team]]="","",(Games[[#This Row],[Keff]]*Games[[#This Row],[MOVMult]])*(Games[[#This Row],[Result]]-Games[[#This Row],[ExpectedWin]]))</f>
        <v>7.688518625527383</v>
      </c>
      <c r="AL246">
        <f>IF(Games[[#This Row],[Team]]="","",Games[[#This Row],[PreGmRate]]+Games[[#This Row],[RatingChange]])</f>
        <v>1443.8805056519552</v>
      </c>
      <c r="AM246">
        <f>IF(Games[[#This Row],[Team]]="","",IF(Games[[#This Row],[Type]]="R",IF(Games[[#This Row],[Result]]&gt;0.5,1,0),0))</f>
        <v>1</v>
      </c>
      <c r="AN246">
        <f>IF(Games[[#This Row],[Team]]="","",IF(Games[[#This Row],[Type]]="R",IF(Games[[#This Row],[Result]]&lt;0.5,1,0),0))</f>
        <v>0</v>
      </c>
      <c r="AO246">
        <f>IF(Games[[#This Row],[Team]]="","",IF(Games[[#This Row],[Type]]="R",IF(Games[[#This Row],[Result]]=0.5,1,0),0))</f>
        <v>0</v>
      </c>
    </row>
    <row r="247" spans="1:41" x14ac:dyDescent="0.35">
      <c r="A247" s="8">
        <v>35372</v>
      </c>
      <c r="B247">
        <v>1996</v>
      </c>
      <c r="C247" t="s">
        <v>197</v>
      </c>
      <c r="D247" t="s">
        <v>199</v>
      </c>
      <c r="E247" t="s">
        <v>151</v>
      </c>
      <c r="F247" t="s">
        <v>110</v>
      </c>
      <c r="G247" t="s">
        <v>201</v>
      </c>
      <c r="H247">
        <v>10</v>
      </c>
      <c r="I247">
        <v>13</v>
      </c>
      <c r="J247">
        <v>0</v>
      </c>
      <c r="K24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4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4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4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47">
        <f>IF(Games[[#This Row],[Team]]="","",IF(Games[[#This Row],[Conf]]=Games[[#This Row],[OppConf]],1,0))</f>
        <v>1</v>
      </c>
      <c r="P247">
        <f>IF(Games[[#This Row],[Team]]="","",IF(AND(Games[[#This Row],[Conf]]=Games[[#This Row],[OppConf]],Games[[#This Row],[Div]]=Games[[#This Row],[OppDiv]]),1,0))</f>
        <v>1</v>
      </c>
      <c r="Q247">
        <f>IF(Games[[#This Row],[Team]]="","",_xlfn.MINIFS(Games[Date],Games[Season],Games[[#This Row],[Season]]))</f>
        <v>35309</v>
      </c>
      <c r="R247">
        <f>IF(Games[[#This Row],[Team]]="","",INT((Games[[#This Row],[Date]]-(Games[[#This Row],[SeasonStart]]-MOD(WEEKDAY(Games[[#This Row],[SeasonStart]],2)-2,7)))/7)+1)</f>
        <v>10</v>
      </c>
      <c r="S247">
        <f>IF(Games[[#This Row],[Team]]="","",COUNTIFS(Games[Team],Games[[#This Row],[Team]],Games[Season],Games[[#This Row],[Season]],Games[Week],"&lt;="&amp;Games[[#This Row],[Week]]))</f>
        <v>9</v>
      </c>
      <c r="T247">
        <f>IF(Games[[#This Row],[Team]]="","",_xlfn.MAXIFS(Games[Week],Games[Team],Games[[#This Row],[Team]],Games[Season],Games[[#This Row],[Season]],Games[Week],"&lt;"&amp;Games[[#This Row],[Week]]))</f>
        <v>9</v>
      </c>
      <c r="U247">
        <f>IF(Games[[#This Row],[Team]]="","",_xlfn.MAXIFS(Games[Week],Games[Team],Games[[#This Row],[Opponent]],Games[Season],Games[[#This Row],[Season]],Games[Week],"&lt;"&amp;Games[[#This Row],[Week]]))</f>
        <v>9</v>
      </c>
      <c r="V24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4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24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24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1370.2228164908668</v>
      </c>
      <c r="Z24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1436.1919870264278</v>
      </c>
      <c r="AA24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0.31871669849413242</v>
      </c>
      <c r="AB247">
        <f>IF(Games[[#This Row],[Team]]="","",Games[[#This Row],[PointsFor]]-Games[[#This Row],[PointsAgainst]])</f>
        <v>-3</v>
      </c>
      <c r="AC247">
        <f>IF(Games[[#This Row],[Team]]="","",IF(Games[[#This Row],[MOV]]&gt;0,1,IF(Games[[#This Row],[MOV]]=0,0.5,0)))</f>
        <v>0</v>
      </c>
      <c r="AD247">
        <f>IF(Games[[#This Row],[Team]]="","",--(OR(AND(Games[[#This Row],[ExpectedWin]]&gt;=0.5,Games[[#This Row],[Result]]=1),AND(Games[[#This Row],[ExpectedWin]]&lt;0.5,Games[[#This Row],[Result]]=0))))</f>
        <v>1</v>
      </c>
      <c r="AE247">
        <f>IF(Games[[#This Row],[Team]]="","",-(Games[[#This Row],[Result]]*LN(Games[[#This Row],[ExpectedWin]])+(1-Games[[#This Row],[Result]])*LN(1-Games[[#This Row],[ExpectedWin]])))</f>
        <v>0.38377705125502265</v>
      </c>
      <c r="AF247">
        <f>IF(Games[[#This Row],[Team]]="","",IF(Games[[#This Row],[Season]]&gt;=2021,17,16))</f>
        <v>16</v>
      </c>
      <c r="AG247">
        <f>IF(Games[[#This Row],[Team]]="","",KMax-(KMax-KFloor)*MIN(Games[[#This Row],[GamesPlayed]],Games[[#This Row],[SeasonLen]])/Games[[#This Row],[SeasonLen]])</f>
        <v>40.487500000000004</v>
      </c>
      <c r="AH247">
        <f>IF(Games[[#This Row],[Team]]="","",((ABS(Games[[#This Row],[MOV]])+3)^0.8)/(7.5+0.006*ABS(Games[[#This Row],[PreGmRate]]-Games[[#This Row],[OppPreGmRate]]))*IF(Games[[#This Row],[OT]]=1,0.7,1))</f>
        <v>0.53103608687669868</v>
      </c>
      <c r="AI24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7">
        <f>IF(Games[[#This Row],[Team]]="","",Games[[#This Row],[K]]*IF(Games[[#This Row],[DivG]]=1,DivMult,1)*IF(Games[[#This Row],[ConfG]]=1,ConfMult,1)*Games[[#This Row],[POMult]])</f>
        <v>45.426975000000013</v>
      </c>
      <c r="AK247">
        <f>IF(Games[[#This Row],[Team]]="","",(Games[[#This Row],[Keff]]*Games[[#This Row],[MOVMult]])*(Games[[#This Row],[Result]]-Games[[#This Row],[ExpectedWin]]))</f>
        <v>-7.688518625527383</v>
      </c>
      <c r="AL247">
        <f>IF(Games[[#This Row],[Team]]="","",Games[[#This Row],[PreGmRate]]+Games[[#This Row],[RatingChange]])</f>
        <v>1362.5342978653393</v>
      </c>
      <c r="AM247">
        <f>IF(Games[[#This Row],[Team]]="","",IF(Games[[#This Row],[Type]]="R",IF(Games[[#This Row],[Result]]&gt;0.5,1,0),0))</f>
        <v>0</v>
      </c>
      <c r="AN247">
        <f>IF(Games[[#This Row],[Team]]="","",IF(Games[[#This Row],[Type]]="R",IF(Games[[#This Row],[Result]]&lt;0.5,1,0),0))</f>
        <v>1</v>
      </c>
      <c r="AO247">
        <f>IF(Games[[#This Row],[Team]]="","",IF(Games[[#This Row],[Type]]="R",IF(Games[[#This Row],[Result]]=0.5,1,0),0))</f>
        <v>0</v>
      </c>
    </row>
    <row r="248" spans="1:41" x14ac:dyDescent="0.35">
      <c r="A248" s="8">
        <v>35372</v>
      </c>
      <c r="B248">
        <v>1996</v>
      </c>
      <c r="C248" t="s">
        <v>197</v>
      </c>
      <c r="D248" t="s">
        <v>199</v>
      </c>
      <c r="E248" t="s">
        <v>112</v>
      </c>
      <c r="F248" t="s">
        <v>101</v>
      </c>
      <c r="G248" t="s">
        <v>201</v>
      </c>
      <c r="H248">
        <v>24</v>
      </c>
      <c r="I248">
        <v>21</v>
      </c>
      <c r="J248">
        <v>0</v>
      </c>
      <c r="K24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4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4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4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48">
        <f>IF(Games[[#This Row],[Team]]="","",IF(Games[[#This Row],[Conf]]=Games[[#This Row],[OppConf]],1,0))</f>
        <v>1</v>
      </c>
      <c r="P248">
        <f>IF(Games[[#This Row],[Team]]="","",IF(AND(Games[[#This Row],[Conf]]=Games[[#This Row],[OppConf]],Games[[#This Row],[Div]]=Games[[#This Row],[OppDiv]]),1,0))</f>
        <v>1</v>
      </c>
      <c r="Q248">
        <f>IF(Games[[#This Row],[Team]]="","",_xlfn.MINIFS(Games[Date],Games[Season],Games[[#This Row],[Season]]))</f>
        <v>35309</v>
      </c>
      <c r="R248">
        <f>IF(Games[[#This Row],[Team]]="","",INT((Games[[#This Row],[Date]]-(Games[[#This Row],[SeasonStart]]-MOD(WEEKDAY(Games[[#This Row],[SeasonStart]],2)-2,7)))/7)+1)</f>
        <v>10</v>
      </c>
      <c r="S248">
        <f>IF(Games[[#This Row],[Team]]="","",COUNTIFS(Games[Team],Games[[#This Row],[Team]],Games[Season],Games[[#This Row],[Season]],Games[Week],"&lt;="&amp;Games[[#This Row],[Week]]))</f>
        <v>9</v>
      </c>
      <c r="T248">
        <f>IF(Games[[#This Row],[Team]]="","",_xlfn.MAXIFS(Games[Week],Games[Team],Games[[#This Row],[Team]],Games[Season],Games[[#This Row],[Season]],Games[Week],"&lt;"&amp;Games[[#This Row],[Week]]))</f>
        <v>9</v>
      </c>
      <c r="U248">
        <f>IF(Games[[#This Row],[Team]]="","",_xlfn.MAXIFS(Games[Week],Games[Team],Games[[#This Row],[Opponent]],Games[Season],Games[[#This Row],[Season]],Games[Week],"&lt;"&amp;Games[[#This Row],[Week]]))</f>
        <v>9</v>
      </c>
      <c r="V24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4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4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4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1460.3431821579429</v>
      </c>
      <c r="Z24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1442.3632576624475</v>
      </c>
      <c r="AA24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0.42287932027768516</v>
      </c>
      <c r="AB248">
        <f>IF(Games[[#This Row],[Team]]="","",Games[[#This Row],[PointsFor]]-Games[[#This Row],[PointsAgainst]])</f>
        <v>3</v>
      </c>
      <c r="AC248">
        <f>IF(Games[[#This Row],[Team]]="","",IF(Games[[#This Row],[MOV]]&gt;0,1,IF(Games[[#This Row],[MOV]]=0,0.5,0)))</f>
        <v>1</v>
      </c>
      <c r="AD248">
        <f>IF(Games[[#This Row],[Team]]="","",--(OR(AND(Games[[#This Row],[ExpectedWin]]&gt;=0.5,Games[[#This Row],[Result]]=1),AND(Games[[#This Row],[ExpectedWin]]&lt;0.5,Games[[#This Row],[Result]]=0))))</f>
        <v>0</v>
      </c>
      <c r="AE248">
        <f>IF(Games[[#This Row],[Team]]="","",-(Games[[#This Row],[Result]]*LN(Games[[#This Row],[ExpectedWin]])+(1-Games[[#This Row],[Result]])*LN(1-Games[[#This Row],[ExpectedWin]])))</f>
        <v>0.86066843549198546</v>
      </c>
      <c r="AF248">
        <f>IF(Games[[#This Row],[Team]]="","",IF(Games[[#This Row],[Season]]&gt;=2021,17,16))</f>
        <v>16</v>
      </c>
      <c r="AG248">
        <f>IF(Games[[#This Row],[Team]]="","",KMax-(KMax-KFloor)*MIN(Games[[#This Row],[GamesPlayed]],Games[[#This Row],[SeasonLen]])/Games[[#This Row],[SeasonLen]])</f>
        <v>40.487500000000004</v>
      </c>
      <c r="AH248">
        <f>IF(Games[[#This Row],[Team]]="","",((ABS(Games[[#This Row],[MOV]])+3)^0.8)/(7.5+0.006*ABS(Games[[#This Row],[PreGmRate]]-Games[[#This Row],[OppPreGmRate]]))*IF(Games[[#This Row],[OT]]=1,0.7,1))</f>
        <v>0.55113421377679073</v>
      </c>
      <c r="AI24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8">
        <f>IF(Games[[#This Row],[Team]]="","",Games[[#This Row],[K]]*IF(Games[[#This Row],[DivG]]=1,DivMult,1)*IF(Games[[#This Row],[ConfG]]=1,ConfMult,1)*Games[[#This Row],[POMult]])</f>
        <v>45.426975000000013</v>
      </c>
      <c r="AK248">
        <f>IF(Games[[#This Row],[Team]]="","",(Games[[#This Row],[Keff]]*Games[[#This Row],[MOVMult]])*(Games[[#This Row],[Result]]-Games[[#This Row],[ExpectedWin]]))</f>
        <v>14.449001188050236</v>
      </c>
      <c r="AL248">
        <f>IF(Games[[#This Row],[Team]]="","",Games[[#This Row],[PreGmRate]]+Games[[#This Row],[RatingChange]])</f>
        <v>1474.7921833459932</v>
      </c>
      <c r="AM248">
        <f>IF(Games[[#This Row],[Team]]="","",IF(Games[[#This Row],[Type]]="R",IF(Games[[#This Row],[Result]]&gt;0.5,1,0),0))</f>
        <v>1</v>
      </c>
      <c r="AN248">
        <f>IF(Games[[#This Row],[Team]]="","",IF(Games[[#This Row],[Type]]="R",IF(Games[[#This Row],[Result]]&lt;0.5,1,0),0))</f>
        <v>0</v>
      </c>
      <c r="AO248">
        <f>IF(Games[[#This Row],[Team]]="","",IF(Games[[#This Row],[Type]]="R",IF(Games[[#This Row],[Result]]=0.5,1,0),0))</f>
        <v>0</v>
      </c>
    </row>
    <row r="249" spans="1:41" x14ac:dyDescent="0.35">
      <c r="A249" s="8">
        <v>35372</v>
      </c>
      <c r="B249">
        <v>1996</v>
      </c>
      <c r="C249" t="s">
        <v>197</v>
      </c>
      <c r="D249" t="s">
        <v>199</v>
      </c>
      <c r="E249" t="s">
        <v>101</v>
      </c>
      <c r="F249" t="s">
        <v>112</v>
      </c>
      <c r="G249" t="s">
        <v>200</v>
      </c>
      <c r="H249">
        <v>21</v>
      </c>
      <c r="I249">
        <v>24</v>
      </c>
      <c r="J249">
        <v>0</v>
      </c>
      <c r="K24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4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4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4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49">
        <f>IF(Games[[#This Row],[Team]]="","",IF(Games[[#This Row],[Conf]]=Games[[#This Row],[OppConf]],1,0))</f>
        <v>1</v>
      </c>
      <c r="P249">
        <f>IF(Games[[#This Row],[Team]]="","",IF(AND(Games[[#This Row],[Conf]]=Games[[#This Row],[OppConf]],Games[[#This Row],[Div]]=Games[[#This Row],[OppDiv]]),1,0))</f>
        <v>1</v>
      </c>
      <c r="Q249">
        <f>IF(Games[[#This Row],[Team]]="","",_xlfn.MINIFS(Games[Date],Games[Season],Games[[#This Row],[Season]]))</f>
        <v>35309</v>
      </c>
      <c r="R249">
        <f>IF(Games[[#This Row],[Team]]="","",INT((Games[[#This Row],[Date]]-(Games[[#This Row],[SeasonStart]]-MOD(WEEKDAY(Games[[#This Row],[SeasonStart]],2)-2,7)))/7)+1)</f>
        <v>10</v>
      </c>
      <c r="S249">
        <f>IF(Games[[#This Row],[Team]]="","",COUNTIFS(Games[Team],Games[[#This Row],[Team]],Games[Season],Games[[#This Row],[Season]],Games[Week],"&lt;="&amp;Games[[#This Row],[Week]]))</f>
        <v>9</v>
      </c>
      <c r="T249">
        <f>IF(Games[[#This Row],[Team]]="","",_xlfn.MAXIFS(Games[Week],Games[Team],Games[[#This Row],[Team]],Games[Season],Games[[#This Row],[Season]],Games[Week],"&lt;"&amp;Games[[#This Row],[Week]]))</f>
        <v>9</v>
      </c>
      <c r="U249">
        <f>IF(Games[[#This Row],[Team]]="","",_xlfn.MAXIFS(Games[Week],Games[Team],Games[[#This Row],[Opponent]],Games[Season],Games[[#This Row],[Season]],Games[Week],"&lt;"&amp;Games[[#This Row],[Week]]))</f>
        <v>9</v>
      </c>
      <c r="V24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4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4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4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1442.3632576624475</v>
      </c>
      <c r="Z24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1460.3431821579429</v>
      </c>
      <c r="AA24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0.57712067972231473</v>
      </c>
      <c r="AB249">
        <f>IF(Games[[#This Row],[Team]]="","",Games[[#This Row],[PointsFor]]-Games[[#This Row],[PointsAgainst]])</f>
        <v>-3</v>
      </c>
      <c r="AC249">
        <f>IF(Games[[#This Row],[Team]]="","",IF(Games[[#This Row],[MOV]]&gt;0,1,IF(Games[[#This Row],[MOV]]=0,0.5,0)))</f>
        <v>0</v>
      </c>
      <c r="AD249">
        <f>IF(Games[[#This Row],[Team]]="","",--(OR(AND(Games[[#This Row],[ExpectedWin]]&gt;=0.5,Games[[#This Row],[Result]]=1),AND(Games[[#This Row],[ExpectedWin]]&lt;0.5,Games[[#This Row],[Result]]=0))))</f>
        <v>0</v>
      </c>
      <c r="AE249">
        <f>IF(Games[[#This Row],[Team]]="","",-(Games[[#This Row],[Result]]*LN(Games[[#This Row],[ExpectedWin]])+(1-Games[[#This Row],[Result]])*LN(1-Games[[#This Row],[ExpectedWin]])))</f>
        <v>0.86066843549198524</v>
      </c>
      <c r="AF249">
        <f>IF(Games[[#This Row],[Team]]="","",IF(Games[[#This Row],[Season]]&gt;=2021,17,16))</f>
        <v>16</v>
      </c>
      <c r="AG249">
        <f>IF(Games[[#This Row],[Team]]="","",KMax-(KMax-KFloor)*MIN(Games[[#This Row],[GamesPlayed]],Games[[#This Row],[SeasonLen]])/Games[[#This Row],[SeasonLen]])</f>
        <v>40.487500000000004</v>
      </c>
      <c r="AH249">
        <f>IF(Games[[#This Row],[Team]]="","",((ABS(Games[[#This Row],[MOV]])+3)^0.8)/(7.5+0.006*ABS(Games[[#This Row],[PreGmRate]]-Games[[#This Row],[OppPreGmRate]]))*IF(Games[[#This Row],[OT]]=1,0.7,1))</f>
        <v>0.55113421377679073</v>
      </c>
      <c r="AI24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9">
        <f>IF(Games[[#This Row],[Team]]="","",Games[[#This Row],[K]]*IF(Games[[#This Row],[DivG]]=1,DivMult,1)*IF(Games[[#This Row],[ConfG]]=1,ConfMult,1)*Games[[#This Row],[POMult]])</f>
        <v>45.426975000000013</v>
      </c>
      <c r="AK249">
        <f>IF(Games[[#This Row],[Team]]="","",(Games[[#This Row],[Keff]]*Games[[#This Row],[MOVMult]])*(Games[[#This Row],[Result]]-Games[[#This Row],[ExpectedWin]]))</f>
        <v>-14.449001188050234</v>
      </c>
      <c r="AL249">
        <f>IF(Games[[#This Row],[Team]]="","",Games[[#This Row],[PreGmRate]]+Games[[#This Row],[RatingChange]])</f>
        <v>1427.9142564743972</v>
      </c>
      <c r="AM249">
        <f>IF(Games[[#This Row],[Team]]="","",IF(Games[[#This Row],[Type]]="R",IF(Games[[#This Row],[Result]]&gt;0.5,1,0),0))</f>
        <v>0</v>
      </c>
      <c r="AN249">
        <f>IF(Games[[#This Row],[Team]]="","",IF(Games[[#This Row],[Type]]="R",IF(Games[[#This Row],[Result]]&lt;0.5,1,0),0))</f>
        <v>1</v>
      </c>
      <c r="AO249">
        <f>IF(Games[[#This Row],[Team]]="","",IF(Games[[#This Row],[Type]]="R",IF(Games[[#This Row],[Result]]=0.5,1,0),0))</f>
        <v>0</v>
      </c>
    </row>
    <row r="250" spans="1:41" x14ac:dyDescent="0.35">
      <c r="A250" s="8">
        <v>35372</v>
      </c>
      <c r="B250">
        <v>1996</v>
      </c>
      <c r="C250" t="s">
        <v>197</v>
      </c>
      <c r="D250" t="s">
        <v>199</v>
      </c>
      <c r="E250" t="s">
        <v>145</v>
      </c>
      <c r="F250" t="s">
        <v>122</v>
      </c>
      <c r="G250" t="s">
        <v>201</v>
      </c>
      <c r="H250">
        <v>26</v>
      </c>
      <c r="I250">
        <v>19</v>
      </c>
      <c r="J250">
        <v>0</v>
      </c>
      <c r="K25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5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5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5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50">
        <f>IF(Games[[#This Row],[Team]]="","",IF(Games[[#This Row],[Conf]]=Games[[#This Row],[OppConf]],1,0))</f>
        <v>1</v>
      </c>
      <c r="P250">
        <f>IF(Games[[#This Row],[Team]]="","",IF(AND(Games[[#This Row],[Conf]]=Games[[#This Row],[OppConf]],Games[[#This Row],[Div]]=Games[[#This Row],[OppDiv]]),1,0))</f>
        <v>0</v>
      </c>
      <c r="Q250">
        <f>IF(Games[[#This Row],[Team]]="","",_xlfn.MINIFS(Games[Date],Games[Season],Games[[#This Row],[Season]]))</f>
        <v>35309</v>
      </c>
      <c r="R250">
        <f>IF(Games[[#This Row],[Team]]="","",INT((Games[[#This Row],[Date]]-(Games[[#This Row],[SeasonStart]]-MOD(WEEKDAY(Games[[#This Row],[SeasonStart]],2)-2,7)))/7)+1)</f>
        <v>10</v>
      </c>
      <c r="S250">
        <f>IF(Games[[#This Row],[Team]]="","",COUNTIFS(Games[Team],Games[[#This Row],[Team]],Games[Season],Games[[#This Row],[Season]],Games[Week],"&lt;="&amp;Games[[#This Row],[Week]]))</f>
        <v>9</v>
      </c>
      <c r="T250">
        <f>IF(Games[[#This Row],[Team]]="","",_xlfn.MAXIFS(Games[Week],Games[Team],Games[[#This Row],[Team]],Games[Season],Games[[#This Row],[Season]],Games[Week],"&lt;"&amp;Games[[#This Row],[Week]]))</f>
        <v>9</v>
      </c>
      <c r="U250">
        <f>IF(Games[[#This Row],[Team]]="","",_xlfn.MAXIFS(Games[Week],Games[Team],Games[[#This Row],[Opponent]],Games[Season],Games[[#This Row],[Season]],Games[Week],"&lt;"&amp;Games[[#This Row],[Week]]))</f>
        <v>9</v>
      </c>
      <c r="V25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5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5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5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1467.5438422745196</v>
      </c>
      <c r="Z25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1507.2277141848915</v>
      </c>
      <c r="AA25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0.34459037107114554</v>
      </c>
      <c r="AB250">
        <f>IF(Games[[#This Row],[Team]]="","",Games[[#This Row],[PointsFor]]-Games[[#This Row],[PointsAgainst]])</f>
        <v>7</v>
      </c>
      <c r="AC250">
        <f>IF(Games[[#This Row],[Team]]="","",IF(Games[[#This Row],[MOV]]&gt;0,1,IF(Games[[#This Row],[MOV]]=0,0.5,0)))</f>
        <v>1</v>
      </c>
      <c r="AD250">
        <f>IF(Games[[#This Row],[Team]]="","",--(OR(AND(Games[[#This Row],[ExpectedWin]]&gt;=0.5,Games[[#This Row],[Result]]=1),AND(Games[[#This Row],[ExpectedWin]]&lt;0.5,Games[[#This Row],[Result]]=0))))</f>
        <v>0</v>
      </c>
      <c r="AE250">
        <f>IF(Games[[#This Row],[Team]]="","",-(Games[[#This Row],[Result]]*LN(Games[[#This Row],[ExpectedWin]])+(1-Games[[#This Row],[Result]])*LN(1-Games[[#This Row],[ExpectedWin]])))</f>
        <v>1.0653988976143216</v>
      </c>
      <c r="AF250">
        <f>IF(Games[[#This Row],[Team]]="","",IF(Games[[#This Row],[Season]]&gt;=2021,17,16))</f>
        <v>16</v>
      </c>
      <c r="AG250">
        <f>IF(Games[[#This Row],[Team]]="","",KMax-(KMax-KFloor)*MIN(Games[[#This Row],[GamesPlayed]],Games[[#This Row],[SeasonLen]])/Games[[#This Row],[SeasonLen]])</f>
        <v>40.487500000000004</v>
      </c>
      <c r="AH250">
        <f>IF(Games[[#This Row],[Team]]="","",((ABS(Games[[#This Row],[MOV]])+3)^0.8)/(7.5+0.006*ABS(Games[[#This Row],[PreGmRate]]-Games[[#This Row],[OppPreGmRate]]))*IF(Games[[#This Row],[OT]]=1,0.7,1))</f>
        <v>0.81539018750072234</v>
      </c>
      <c r="AI25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0">
        <f>IF(Games[[#This Row],[Team]]="","",Games[[#This Row],[K]]*IF(Games[[#This Row],[DivG]]=1,DivMult,1)*IF(Games[[#This Row],[ConfG]]=1,ConfMult,1)*Games[[#This Row],[POMult]])</f>
        <v>41.297250000000005</v>
      </c>
      <c r="AK250">
        <f>IF(Games[[#This Row],[Team]]="","",(Games[[#This Row],[Keff]]*Games[[#This Row],[MOVMult]])*(Games[[#This Row],[Result]]-Games[[#This Row],[ExpectedWin]]))</f>
        <v>22.069852523076193</v>
      </c>
      <c r="AL250">
        <f>IF(Games[[#This Row],[Team]]="","",Games[[#This Row],[PreGmRate]]+Games[[#This Row],[RatingChange]])</f>
        <v>1489.6136947975958</v>
      </c>
      <c r="AM250">
        <f>IF(Games[[#This Row],[Team]]="","",IF(Games[[#This Row],[Type]]="R",IF(Games[[#This Row],[Result]]&gt;0.5,1,0),0))</f>
        <v>1</v>
      </c>
      <c r="AN250">
        <f>IF(Games[[#This Row],[Team]]="","",IF(Games[[#This Row],[Type]]="R",IF(Games[[#This Row],[Result]]&lt;0.5,1,0),0))</f>
        <v>0</v>
      </c>
      <c r="AO250">
        <f>IF(Games[[#This Row],[Team]]="","",IF(Games[[#This Row],[Type]]="R",IF(Games[[#This Row],[Result]]=0.5,1,0),0))</f>
        <v>0</v>
      </c>
    </row>
    <row r="251" spans="1:41" x14ac:dyDescent="0.35">
      <c r="A251" s="8">
        <v>35372</v>
      </c>
      <c r="B251">
        <v>1996</v>
      </c>
      <c r="C251" t="s">
        <v>197</v>
      </c>
      <c r="D251" t="s">
        <v>199</v>
      </c>
      <c r="E251" t="s">
        <v>122</v>
      </c>
      <c r="F251" t="s">
        <v>145</v>
      </c>
      <c r="G251" t="s">
        <v>200</v>
      </c>
      <c r="H251">
        <v>19</v>
      </c>
      <c r="I251">
        <v>26</v>
      </c>
      <c r="J251">
        <v>0</v>
      </c>
      <c r="K25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5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5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5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51">
        <f>IF(Games[[#This Row],[Team]]="","",IF(Games[[#This Row],[Conf]]=Games[[#This Row],[OppConf]],1,0))</f>
        <v>1</v>
      </c>
      <c r="P251">
        <f>IF(Games[[#This Row],[Team]]="","",IF(AND(Games[[#This Row],[Conf]]=Games[[#This Row],[OppConf]],Games[[#This Row],[Div]]=Games[[#This Row],[OppDiv]]),1,0))</f>
        <v>0</v>
      </c>
      <c r="Q251">
        <f>IF(Games[[#This Row],[Team]]="","",_xlfn.MINIFS(Games[Date],Games[Season],Games[[#This Row],[Season]]))</f>
        <v>35309</v>
      </c>
      <c r="R251">
        <f>IF(Games[[#This Row],[Team]]="","",INT((Games[[#This Row],[Date]]-(Games[[#This Row],[SeasonStart]]-MOD(WEEKDAY(Games[[#This Row],[SeasonStart]],2)-2,7)))/7)+1)</f>
        <v>10</v>
      </c>
      <c r="S251">
        <f>IF(Games[[#This Row],[Team]]="","",COUNTIFS(Games[Team],Games[[#This Row],[Team]],Games[Season],Games[[#This Row],[Season]],Games[Week],"&lt;="&amp;Games[[#This Row],[Week]]))</f>
        <v>9</v>
      </c>
      <c r="T251">
        <f>IF(Games[[#This Row],[Team]]="","",_xlfn.MAXIFS(Games[Week],Games[Team],Games[[#This Row],[Team]],Games[Season],Games[[#This Row],[Season]],Games[Week],"&lt;"&amp;Games[[#This Row],[Week]]))</f>
        <v>9</v>
      </c>
      <c r="U251">
        <f>IF(Games[[#This Row],[Team]]="","",_xlfn.MAXIFS(Games[Week],Games[Team],Games[[#This Row],[Opponent]],Games[Season],Games[[#This Row],[Season]],Games[Week],"&lt;"&amp;Games[[#This Row],[Week]]))</f>
        <v>9</v>
      </c>
      <c r="V25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5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5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5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1507.2277141848915</v>
      </c>
      <c r="Z25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1467.5438422745196</v>
      </c>
      <c r="AA25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0.65540962892885446</v>
      </c>
      <c r="AB251">
        <f>IF(Games[[#This Row],[Team]]="","",Games[[#This Row],[PointsFor]]-Games[[#This Row],[PointsAgainst]])</f>
        <v>-7</v>
      </c>
      <c r="AC251">
        <f>IF(Games[[#This Row],[Team]]="","",IF(Games[[#This Row],[MOV]]&gt;0,1,IF(Games[[#This Row],[MOV]]=0,0.5,0)))</f>
        <v>0</v>
      </c>
      <c r="AD251">
        <f>IF(Games[[#This Row],[Team]]="","",--(OR(AND(Games[[#This Row],[ExpectedWin]]&gt;=0.5,Games[[#This Row],[Result]]=1),AND(Games[[#This Row],[ExpectedWin]]&lt;0.5,Games[[#This Row],[Result]]=0))))</f>
        <v>0</v>
      </c>
      <c r="AE251">
        <f>IF(Games[[#This Row],[Team]]="","",-(Games[[#This Row],[Result]]*LN(Games[[#This Row],[ExpectedWin]])+(1-Games[[#This Row],[Result]])*LN(1-Games[[#This Row],[ExpectedWin]])))</f>
        <v>1.0653988976143216</v>
      </c>
      <c r="AF251">
        <f>IF(Games[[#This Row],[Team]]="","",IF(Games[[#This Row],[Season]]&gt;=2021,17,16))</f>
        <v>16</v>
      </c>
      <c r="AG251">
        <f>IF(Games[[#This Row],[Team]]="","",KMax-(KMax-KFloor)*MIN(Games[[#This Row],[GamesPlayed]],Games[[#This Row],[SeasonLen]])/Games[[#This Row],[SeasonLen]])</f>
        <v>40.487500000000004</v>
      </c>
      <c r="AH251">
        <f>IF(Games[[#This Row],[Team]]="","",((ABS(Games[[#This Row],[MOV]])+3)^0.8)/(7.5+0.006*ABS(Games[[#This Row],[PreGmRate]]-Games[[#This Row],[OppPreGmRate]]))*IF(Games[[#This Row],[OT]]=1,0.7,1))</f>
        <v>0.81539018750072234</v>
      </c>
      <c r="AI25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1">
        <f>IF(Games[[#This Row],[Team]]="","",Games[[#This Row],[K]]*IF(Games[[#This Row],[DivG]]=1,DivMult,1)*IF(Games[[#This Row],[ConfG]]=1,ConfMult,1)*Games[[#This Row],[POMult]])</f>
        <v>41.297250000000005</v>
      </c>
      <c r="AK251">
        <f>IF(Games[[#This Row],[Team]]="","",(Games[[#This Row],[Keff]]*Games[[#This Row],[MOVMult]])*(Games[[#This Row],[Result]]-Games[[#This Row],[ExpectedWin]]))</f>
        <v>-22.069852523076193</v>
      </c>
      <c r="AL251">
        <f>IF(Games[[#This Row],[Team]]="","",Games[[#This Row],[PreGmRate]]+Games[[#This Row],[RatingChange]])</f>
        <v>1485.1578616618153</v>
      </c>
      <c r="AM251">
        <f>IF(Games[[#This Row],[Team]]="","",IF(Games[[#This Row],[Type]]="R",IF(Games[[#This Row],[Result]]&gt;0.5,1,0),0))</f>
        <v>0</v>
      </c>
      <c r="AN251">
        <f>IF(Games[[#This Row],[Team]]="","",IF(Games[[#This Row],[Type]]="R",IF(Games[[#This Row],[Result]]&lt;0.5,1,0),0))</f>
        <v>1</v>
      </c>
      <c r="AO251">
        <f>IF(Games[[#This Row],[Team]]="","",IF(Games[[#This Row],[Type]]="R",IF(Games[[#This Row],[Result]]=0.5,1,0),0))</f>
        <v>0</v>
      </c>
    </row>
    <row r="252" spans="1:41" x14ac:dyDescent="0.35">
      <c r="A252" s="8">
        <v>35372</v>
      </c>
      <c r="B252">
        <v>1996</v>
      </c>
      <c r="C252" t="s">
        <v>197</v>
      </c>
      <c r="D252" t="s">
        <v>199</v>
      </c>
      <c r="E252" t="s">
        <v>136</v>
      </c>
      <c r="F252" t="s">
        <v>93</v>
      </c>
      <c r="G252" t="s">
        <v>200</v>
      </c>
      <c r="H252">
        <v>16</v>
      </c>
      <c r="I252">
        <v>8</v>
      </c>
      <c r="J252">
        <v>0</v>
      </c>
      <c r="K25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5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5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5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52">
        <f>IF(Games[[#This Row],[Team]]="","",IF(Games[[#This Row],[Conf]]=Games[[#This Row],[OppConf]],1,0))</f>
        <v>1</v>
      </c>
      <c r="P252">
        <f>IF(Games[[#This Row],[Team]]="","",IF(AND(Games[[#This Row],[Conf]]=Games[[#This Row],[OppConf]],Games[[#This Row],[Div]]=Games[[#This Row],[OppDiv]]),1,0))</f>
        <v>1</v>
      </c>
      <c r="Q252">
        <f>IF(Games[[#This Row],[Team]]="","",_xlfn.MINIFS(Games[Date],Games[Season],Games[[#This Row],[Season]]))</f>
        <v>35309</v>
      </c>
      <c r="R252">
        <f>IF(Games[[#This Row],[Team]]="","",INT((Games[[#This Row],[Date]]-(Games[[#This Row],[SeasonStart]]-MOD(WEEKDAY(Games[[#This Row],[SeasonStart]],2)-2,7)))/7)+1)</f>
        <v>10</v>
      </c>
      <c r="S252">
        <f>IF(Games[[#This Row],[Team]]="","",COUNTIFS(Games[Team],Games[[#This Row],[Team]],Games[Season],Games[[#This Row],[Season]],Games[Week],"&lt;="&amp;Games[[#This Row],[Week]]))</f>
        <v>9</v>
      </c>
      <c r="T252">
        <f>IF(Games[[#This Row],[Team]]="","",_xlfn.MAXIFS(Games[Week],Games[Team],Games[[#This Row],[Team]],Games[Season],Games[[#This Row],[Season]],Games[Week],"&lt;"&amp;Games[[#This Row],[Week]]))</f>
        <v>9</v>
      </c>
      <c r="U252">
        <f>IF(Games[[#This Row],[Team]]="","",_xlfn.MAXIFS(Games[Week],Games[Team],Games[[#This Row],[Opponent]],Games[Season],Games[[#This Row],[Season]],Games[Week],"&lt;"&amp;Games[[#This Row],[Week]]))</f>
        <v>9</v>
      </c>
      <c r="V25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5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5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5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1474.3044326876518</v>
      </c>
      <c r="Z25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1405.7814097727926</v>
      </c>
      <c r="AA25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0.69187836526946034</v>
      </c>
      <c r="AB252">
        <f>IF(Games[[#This Row],[Team]]="","",Games[[#This Row],[PointsFor]]-Games[[#This Row],[PointsAgainst]])</f>
        <v>8</v>
      </c>
      <c r="AC252">
        <f>IF(Games[[#This Row],[Team]]="","",IF(Games[[#This Row],[MOV]]&gt;0,1,IF(Games[[#This Row],[MOV]]=0,0.5,0)))</f>
        <v>1</v>
      </c>
      <c r="AD252">
        <f>IF(Games[[#This Row],[Team]]="","",--(OR(AND(Games[[#This Row],[ExpectedWin]]&gt;=0.5,Games[[#This Row],[Result]]=1),AND(Games[[#This Row],[ExpectedWin]]&lt;0.5,Games[[#This Row],[Result]]=0))))</f>
        <v>1</v>
      </c>
      <c r="AE252">
        <f>IF(Games[[#This Row],[Team]]="","",-(Games[[#This Row],[Result]]*LN(Games[[#This Row],[ExpectedWin]])+(1-Games[[#This Row],[Result]])*LN(1-Games[[#This Row],[ExpectedWin]])))</f>
        <v>0.36834511154629834</v>
      </c>
      <c r="AF252">
        <f>IF(Games[[#This Row],[Team]]="","",IF(Games[[#This Row],[Season]]&gt;=2021,17,16))</f>
        <v>16</v>
      </c>
      <c r="AG252">
        <f>IF(Games[[#This Row],[Team]]="","",KMax-(KMax-KFloor)*MIN(Games[[#This Row],[GamesPlayed]],Games[[#This Row],[SeasonLen]])/Games[[#This Row],[SeasonLen]])</f>
        <v>40.487500000000004</v>
      </c>
      <c r="AH252">
        <f>IF(Games[[#This Row],[Team]]="","",((ABS(Games[[#This Row],[MOV]])+3)^0.8)/(7.5+0.006*ABS(Games[[#This Row],[PreGmRate]]-Games[[#This Row],[OppPreGmRate]]))*IF(Games[[#This Row],[OT]]=1,0.7,1))</f>
        <v>0.86074633120785105</v>
      </c>
      <c r="AI25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2">
        <f>IF(Games[[#This Row],[Team]]="","",Games[[#This Row],[K]]*IF(Games[[#This Row],[DivG]]=1,DivMult,1)*IF(Games[[#This Row],[ConfG]]=1,ConfMult,1)*Games[[#This Row],[POMult]])</f>
        <v>45.426975000000013</v>
      </c>
      <c r="AK252">
        <f>IF(Games[[#This Row],[Team]]="","",(Games[[#This Row],[Keff]]*Games[[#This Row],[MOVMult]])*(Games[[#This Row],[Result]]-Games[[#This Row],[ExpectedWin]]))</f>
        <v>12.047895489303182</v>
      </c>
      <c r="AL252">
        <f>IF(Games[[#This Row],[Team]]="","",Games[[#This Row],[PreGmRate]]+Games[[#This Row],[RatingChange]])</f>
        <v>1486.3523281769549</v>
      </c>
      <c r="AM252">
        <f>IF(Games[[#This Row],[Team]]="","",IF(Games[[#This Row],[Type]]="R",IF(Games[[#This Row],[Result]]&gt;0.5,1,0),0))</f>
        <v>1</v>
      </c>
      <c r="AN252">
        <f>IF(Games[[#This Row],[Team]]="","",IF(Games[[#This Row],[Type]]="R",IF(Games[[#This Row],[Result]]&lt;0.5,1,0),0))</f>
        <v>0</v>
      </c>
      <c r="AO252">
        <f>IF(Games[[#This Row],[Team]]="","",IF(Games[[#This Row],[Type]]="R",IF(Games[[#This Row],[Result]]=0.5,1,0),0))</f>
        <v>0</v>
      </c>
    </row>
    <row r="253" spans="1:41" x14ac:dyDescent="0.35">
      <c r="A253" s="8">
        <v>35372</v>
      </c>
      <c r="B253">
        <v>1996</v>
      </c>
      <c r="C253" t="s">
        <v>197</v>
      </c>
      <c r="D253" t="s">
        <v>199</v>
      </c>
      <c r="E253" t="s">
        <v>93</v>
      </c>
      <c r="F253" t="s">
        <v>136</v>
      </c>
      <c r="G253" t="s">
        <v>201</v>
      </c>
      <c r="H253">
        <v>8</v>
      </c>
      <c r="I253">
        <v>16</v>
      </c>
      <c r="J253">
        <v>0</v>
      </c>
      <c r="K25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5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5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5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53">
        <f>IF(Games[[#This Row],[Team]]="","",IF(Games[[#This Row],[Conf]]=Games[[#This Row],[OppConf]],1,0))</f>
        <v>1</v>
      </c>
      <c r="P253">
        <f>IF(Games[[#This Row],[Team]]="","",IF(AND(Games[[#This Row],[Conf]]=Games[[#This Row],[OppConf]],Games[[#This Row],[Div]]=Games[[#This Row],[OppDiv]]),1,0))</f>
        <v>1</v>
      </c>
      <c r="Q253">
        <f>IF(Games[[#This Row],[Team]]="","",_xlfn.MINIFS(Games[Date],Games[Season],Games[[#This Row],[Season]]))</f>
        <v>35309</v>
      </c>
      <c r="R253">
        <f>IF(Games[[#This Row],[Team]]="","",INT((Games[[#This Row],[Date]]-(Games[[#This Row],[SeasonStart]]-MOD(WEEKDAY(Games[[#This Row],[SeasonStart]],2)-2,7)))/7)+1)</f>
        <v>10</v>
      </c>
      <c r="S253">
        <f>IF(Games[[#This Row],[Team]]="","",COUNTIFS(Games[Team],Games[[#This Row],[Team]],Games[Season],Games[[#This Row],[Season]],Games[Week],"&lt;="&amp;Games[[#This Row],[Week]]))</f>
        <v>9</v>
      </c>
      <c r="T253">
        <f>IF(Games[[#This Row],[Team]]="","",_xlfn.MAXIFS(Games[Week],Games[Team],Games[[#This Row],[Team]],Games[Season],Games[[#This Row],[Season]],Games[Week],"&lt;"&amp;Games[[#This Row],[Week]]))</f>
        <v>9</v>
      </c>
      <c r="U253">
        <f>IF(Games[[#This Row],[Team]]="","",_xlfn.MAXIFS(Games[Week],Games[Team],Games[[#This Row],[Opponent]],Games[Season],Games[[#This Row],[Season]],Games[Week],"&lt;"&amp;Games[[#This Row],[Week]]))</f>
        <v>9</v>
      </c>
      <c r="V25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5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5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5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1405.7814097727926</v>
      </c>
      <c r="Z25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1474.3044326876518</v>
      </c>
      <c r="AA25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0.30812163473053955</v>
      </c>
      <c r="AB253">
        <f>IF(Games[[#This Row],[Team]]="","",Games[[#This Row],[PointsFor]]-Games[[#This Row],[PointsAgainst]])</f>
        <v>-8</v>
      </c>
      <c r="AC253">
        <f>IF(Games[[#This Row],[Team]]="","",IF(Games[[#This Row],[MOV]]&gt;0,1,IF(Games[[#This Row],[MOV]]=0,0.5,0)))</f>
        <v>0</v>
      </c>
      <c r="AD253">
        <f>IF(Games[[#This Row],[Team]]="","",--(OR(AND(Games[[#This Row],[ExpectedWin]]&gt;=0.5,Games[[#This Row],[Result]]=1),AND(Games[[#This Row],[ExpectedWin]]&lt;0.5,Games[[#This Row],[Result]]=0))))</f>
        <v>1</v>
      </c>
      <c r="AE253">
        <f>IF(Games[[#This Row],[Team]]="","",-(Games[[#This Row],[Result]]*LN(Games[[#This Row],[ExpectedWin]])+(1-Games[[#This Row],[Result]])*LN(1-Games[[#This Row],[ExpectedWin]])))</f>
        <v>0.36834511154629818</v>
      </c>
      <c r="AF253">
        <f>IF(Games[[#This Row],[Team]]="","",IF(Games[[#This Row],[Season]]&gt;=2021,17,16))</f>
        <v>16</v>
      </c>
      <c r="AG253">
        <f>IF(Games[[#This Row],[Team]]="","",KMax-(KMax-KFloor)*MIN(Games[[#This Row],[GamesPlayed]],Games[[#This Row],[SeasonLen]])/Games[[#This Row],[SeasonLen]])</f>
        <v>40.487500000000004</v>
      </c>
      <c r="AH253">
        <f>IF(Games[[#This Row],[Team]]="","",((ABS(Games[[#This Row],[MOV]])+3)^0.8)/(7.5+0.006*ABS(Games[[#This Row],[PreGmRate]]-Games[[#This Row],[OppPreGmRate]]))*IF(Games[[#This Row],[OT]]=1,0.7,1))</f>
        <v>0.86074633120785105</v>
      </c>
      <c r="AI25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3">
        <f>IF(Games[[#This Row],[Team]]="","",Games[[#This Row],[K]]*IF(Games[[#This Row],[DivG]]=1,DivMult,1)*IF(Games[[#This Row],[ConfG]]=1,ConfMult,1)*Games[[#This Row],[POMult]])</f>
        <v>45.426975000000013</v>
      </c>
      <c r="AK253">
        <f>IF(Games[[#This Row],[Team]]="","",(Games[[#This Row],[Keff]]*Games[[#This Row],[MOVMult]])*(Games[[#This Row],[Result]]-Games[[#This Row],[ExpectedWin]]))</f>
        <v>-12.047895489303176</v>
      </c>
      <c r="AL253">
        <f>IF(Games[[#This Row],[Team]]="","",Games[[#This Row],[PreGmRate]]+Games[[#This Row],[RatingChange]])</f>
        <v>1393.7335142834895</v>
      </c>
      <c r="AM253">
        <f>IF(Games[[#This Row],[Team]]="","",IF(Games[[#This Row],[Type]]="R",IF(Games[[#This Row],[Result]]&gt;0.5,1,0),0))</f>
        <v>0</v>
      </c>
      <c r="AN253">
        <f>IF(Games[[#This Row],[Team]]="","",IF(Games[[#This Row],[Type]]="R",IF(Games[[#This Row],[Result]]&lt;0.5,1,0),0))</f>
        <v>1</v>
      </c>
      <c r="AO253">
        <f>IF(Games[[#This Row],[Team]]="","",IF(Games[[#This Row],[Type]]="R",IF(Games[[#This Row],[Result]]=0.5,1,0),0))</f>
        <v>0</v>
      </c>
    </row>
    <row r="254" spans="1:41" x14ac:dyDescent="0.35">
      <c r="A254" s="8">
        <v>35372</v>
      </c>
      <c r="B254">
        <v>1996</v>
      </c>
      <c r="C254" t="s">
        <v>197</v>
      </c>
      <c r="D254" t="s">
        <v>199</v>
      </c>
      <c r="E254" t="s">
        <v>141</v>
      </c>
      <c r="F254" t="s">
        <v>114</v>
      </c>
      <c r="G254" t="s">
        <v>201</v>
      </c>
      <c r="H254">
        <v>31</v>
      </c>
      <c r="I254">
        <v>21</v>
      </c>
      <c r="J254">
        <v>0</v>
      </c>
      <c r="K25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5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5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5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54">
        <f>IF(Games[[#This Row],[Team]]="","",IF(Games[[#This Row],[Conf]]=Games[[#This Row],[OppConf]],1,0))</f>
        <v>1</v>
      </c>
      <c r="P254">
        <f>IF(Games[[#This Row],[Team]]="","",IF(AND(Games[[#This Row],[Conf]]=Games[[#This Row],[OppConf]],Games[[#This Row],[Div]]=Games[[#This Row],[OppDiv]]),1,0))</f>
        <v>1</v>
      </c>
      <c r="Q254">
        <f>IF(Games[[#This Row],[Team]]="","",_xlfn.MINIFS(Games[Date],Games[Season],Games[[#This Row],[Season]]))</f>
        <v>35309</v>
      </c>
      <c r="R254">
        <f>IF(Games[[#This Row],[Team]]="","",INT((Games[[#This Row],[Date]]-(Games[[#This Row],[SeasonStart]]-MOD(WEEKDAY(Games[[#This Row],[SeasonStart]],2)-2,7)))/7)+1)</f>
        <v>10</v>
      </c>
      <c r="S254">
        <f>IF(Games[[#This Row],[Team]]="","",COUNTIFS(Games[Team],Games[[#This Row],[Team]],Games[Season],Games[[#This Row],[Season]],Games[Week],"&lt;="&amp;Games[[#This Row],[Week]]))</f>
        <v>9</v>
      </c>
      <c r="T254">
        <f>IF(Games[[#This Row],[Team]]="","",_xlfn.MAXIFS(Games[Week],Games[Team],Games[[#This Row],[Team]],Games[Season],Games[[#This Row],[Season]],Games[Week],"&lt;"&amp;Games[[#This Row],[Week]]))</f>
        <v>9</v>
      </c>
      <c r="U254">
        <f>IF(Games[[#This Row],[Team]]="","",_xlfn.MAXIFS(Games[Week],Games[Team],Games[[#This Row],[Opponent]],Games[Season],Games[[#This Row],[Season]],Games[Week],"&lt;"&amp;Games[[#This Row],[Week]]))</f>
        <v>9</v>
      </c>
      <c r="V25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5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5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5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1574.1629417950701</v>
      </c>
      <c r="Z25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1579.7986677541685</v>
      </c>
      <c r="AA25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0.39009636684138521</v>
      </c>
      <c r="AB254">
        <f>IF(Games[[#This Row],[Team]]="","",Games[[#This Row],[PointsFor]]-Games[[#This Row],[PointsAgainst]])</f>
        <v>10</v>
      </c>
      <c r="AC254">
        <f>IF(Games[[#This Row],[Team]]="","",IF(Games[[#This Row],[MOV]]&gt;0,1,IF(Games[[#This Row],[MOV]]=0,0.5,0)))</f>
        <v>1</v>
      </c>
      <c r="AD254">
        <f>IF(Games[[#This Row],[Team]]="","",--(OR(AND(Games[[#This Row],[ExpectedWin]]&gt;=0.5,Games[[#This Row],[Result]]=1),AND(Games[[#This Row],[ExpectedWin]]&lt;0.5,Games[[#This Row],[Result]]=0))))</f>
        <v>0</v>
      </c>
      <c r="AE254">
        <f>IF(Games[[#This Row],[Team]]="","",-(Games[[#This Row],[Result]]*LN(Games[[#This Row],[ExpectedWin]])+(1-Games[[#This Row],[Result]])*LN(1-Games[[#This Row],[ExpectedWin]])))</f>
        <v>0.94136147591616404</v>
      </c>
      <c r="AF254">
        <f>IF(Games[[#This Row],[Team]]="","",IF(Games[[#This Row],[Season]]&gt;=2021,17,16))</f>
        <v>16</v>
      </c>
      <c r="AG254">
        <f>IF(Games[[#This Row],[Team]]="","",KMax-(KMax-KFloor)*MIN(Games[[#This Row],[GamesPlayed]],Games[[#This Row],[SeasonLen]])/Games[[#This Row],[SeasonLen]])</f>
        <v>40.487500000000004</v>
      </c>
      <c r="AH254">
        <f>IF(Games[[#This Row],[Team]]="","",((ABS(Games[[#This Row],[MOV]])+3)^0.8)/(7.5+0.006*ABS(Games[[#This Row],[PreGmRate]]-Games[[#This Row],[OppPreGmRate]]))*IF(Games[[#This Row],[OT]]=1,0.7,1))</f>
        <v>1.0330938293023426</v>
      </c>
      <c r="AI25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4">
        <f>IF(Games[[#This Row],[Team]]="","",Games[[#This Row],[K]]*IF(Games[[#This Row],[DivG]]=1,DivMult,1)*IF(Games[[#This Row],[ConfG]]=1,ConfMult,1)*Games[[#This Row],[POMult]])</f>
        <v>45.426975000000013</v>
      </c>
      <c r="AK254">
        <f>IF(Games[[#This Row],[Team]]="","",(Games[[#This Row],[Keff]]*Games[[#This Row],[MOVMult]])*(Games[[#This Row],[Result]]-Games[[#This Row],[ExpectedWin]]))</f>
        <v>28.622977281955016</v>
      </c>
      <c r="AL254">
        <f>IF(Games[[#This Row],[Team]]="","",Games[[#This Row],[PreGmRate]]+Games[[#This Row],[RatingChange]])</f>
        <v>1602.785919077025</v>
      </c>
      <c r="AM254">
        <f>IF(Games[[#This Row],[Team]]="","",IF(Games[[#This Row],[Type]]="R",IF(Games[[#This Row],[Result]]&gt;0.5,1,0),0))</f>
        <v>1</v>
      </c>
      <c r="AN254">
        <f>IF(Games[[#This Row],[Team]]="","",IF(Games[[#This Row],[Type]]="R",IF(Games[[#This Row],[Result]]&lt;0.5,1,0),0))</f>
        <v>0</v>
      </c>
      <c r="AO254">
        <f>IF(Games[[#This Row],[Team]]="","",IF(Games[[#This Row],[Type]]="R",IF(Games[[#This Row],[Result]]=0.5,1,0),0))</f>
        <v>0</v>
      </c>
    </row>
    <row r="255" spans="1:41" x14ac:dyDescent="0.35">
      <c r="A255" s="8">
        <v>35372</v>
      </c>
      <c r="B255">
        <v>1996</v>
      </c>
      <c r="C255" t="s">
        <v>197</v>
      </c>
      <c r="D255" t="s">
        <v>199</v>
      </c>
      <c r="E255" t="s">
        <v>114</v>
      </c>
      <c r="F255" t="s">
        <v>141</v>
      </c>
      <c r="G255" t="s">
        <v>200</v>
      </c>
      <c r="H255">
        <v>21</v>
      </c>
      <c r="I255">
        <v>31</v>
      </c>
      <c r="J255">
        <v>0</v>
      </c>
      <c r="K25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5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5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5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55">
        <f>IF(Games[[#This Row],[Team]]="","",IF(Games[[#This Row],[Conf]]=Games[[#This Row],[OppConf]],1,0))</f>
        <v>1</v>
      </c>
      <c r="P255">
        <f>IF(Games[[#This Row],[Team]]="","",IF(AND(Games[[#This Row],[Conf]]=Games[[#This Row],[OppConf]],Games[[#This Row],[Div]]=Games[[#This Row],[OppDiv]]),1,0))</f>
        <v>1</v>
      </c>
      <c r="Q255">
        <f>IF(Games[[#This Row],[Team]]="","",_xlfn.MINIFS(Games[Date],Games[Season],Games[[#This Row],[Season]]))</f>
        <v>35309</v>
      </c>
      <c r="R255">
        <f>IF(Games[[#This Row],[Team]]="","",INT((Games[[#This Row],[Date]]-(Games[[#This Row],[SeasonStart]]-MOD(WEEKDAY(Games[[#This Row],[SeasonStart]],2)-2,7)))/7)+1)</f>
        <v>10</v>
      </c>
      <c r="S255">
        <f>IF(Games[[#This Row],[Team]]="","",COUNTIFS(Games[Team],Games[[#This Row],[Team]],Games[Season],Games[[#This Row],[Season]],Games[Week],"&lt;="&amp;Games[[#This Row],[Week]]))</f>
        <v>9</v>
      </c>
      <c r="T255">
        <f>IF(Games[[#This Row],[Team]]="","",_xlfn.MAXIFS(Games[Week],Games[Team],Games[[#This Row],[Team]],Games[Season],Games[[#This Row],[Season]],Games[Week],"&lt;"&amp;Games[[#This Row],[Week]]))</f>
        <v>9</v>
      </c>
      <c r="U255">
        <f>IF(Games[[#This Row],[Team]]="","",_xlfn.MAXIFS(Games[Week],Games[Team],Games[[#This Row],[Opponent]],Games[Season],Games[[#This Row],[Season]],Games[Week],"&lt;"&amp;Games[[#This Row],[Week]]))</f>
        <v>9</v>
      </c>
      <c r="V25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5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5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5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1579.7986677541685</v>
      </c>
      <c r="Z25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1574.1629417950701</v>
      </c>
      <c r="AA25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0.60990363315861484</v>
      </c>
      <c r="AB255">
        <f>IF(Games[[#This Row],[Team]]="","",Games[[#This Row],[PointsFor]]-Games[[#This Row],[PointsAgainst]])</f>
        <v>-10</v>
      </c>
      <c r="AC255">
        <f>IF(Games[[#This Row],[Team]]="","",IF(Games[[#This Row],[MOV]]&gt;0,1,IF(Games[[#This Row],[MOV]]=0,0.5,0)))</f>
        <v>0</v>
      </c>
      <c r="AD255">
        <f>IF(Games[[#This Row],[Team]]="","",--(OR(AND(Games[[#This Row],[ExpectedWin]]&gt;=0.5,Games[[#This Row],[Result]]=1),AND(Games[[#This Row],[ExpectedWin]]&lt;0.5,Games[[#This Row],[Result]]=0))))</f>
        <v>0</v>
      </c>
      <c r="AE255">
        <f>IF(Games[[#This Row],[Team]]="","",-(Games[[#This Row],[Result]]*LN(Games[[#This Row],[ExpectedWin]])+(1-Games[[#This Row],[Result]])*LN(1-Games[[#This Row],[ExpectedWin]])))</f>
        <v>0.94136147591616426</v>
      </c>
      <c r="AF255">
        <f>IF(Games[[#This Row],[Team]]="","",IF(Games[[#This Row],[Season]]&gt;=2021,17,16))</f>
        <v>16</v>
      </c>
      <c r="AG255">
        <f>IF(Games[[#This Row],[Team]]="","",KMax-(KMax-KFloor)*MIN(Games[[#This Row],[GamesPlayed]],Games[[#This Row],[SeasonLen]])/Games[[#This Row],[SeasonLen]])</f>
        <v>40.487500000000004</v>
      </c>
      <c r="AH255">
        <f>IF(Games[[#This Row],[Team]]="","",((ABS(Games[[#This Row],[MOV]])+3)^0.8)/(7.5+0.006*ABS(Games[[#This Row],[PreGmRate]]-Games[[#This Row],[OppPreGmRate]]))*IF(Games[[#This Row],[OT]]=1,0.7,1))</f>
        <v>1.0330938293023426</v>
      </c>
      <c r="AI25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5">
        <f>IF(Games[[#This Row],[Team]]="","",Games[[#This Row],[K]]*IF(Games[[#This Row],[DivG]]=1,DivMult,1)*IF(Games[[#This Row],[ConfG]]=1,ConfMult,1)*Games[[#This Row],[POMult]])</f>
        <v>45.426975000000013</v>
      </c>
      <c r="AK255">
        <f>IF(Games[[#This Row],[Team]]="","",(Games[[#This Row],[Keff]]*Games[[#This Row],[MOVMult]])*(Games[[#This Row],[Result]]-Games[[#This Row],[ExpectedWin]]))</f>
        <v>-28.62297728195502</v>
      </c>
      <c r="AL255">
        <f>IF(Games[[#This Row],[Team]]="","",Games[[#This Row],[PreGmRate]]+Games[[#This Row],[RatingChange]])</f>
        <v>1551.1756904722135</v>
      </c>
      <c r="AM255">
        <f>IF(Games[[#This Row],[Team]]="","",IF(Games[[#This Row],[Type]]="R",IF(Games[[#This Row],[Result]]&gt;0.5,1,0),0))</f>
        <v>0</v>
      </c>
      <c r="AN255">
        <f>IF(Games[[#This Row],[Team]]="","",IF(Games[[#This Row],[Type]]="R",IF(Games[[#This Row],[Result]]&lt;0.5,1,0),0))</f>
        <v>1</v>
      </c>
      <c r="AO255">
        <f>IF(Games[[#This Row],[Team]]="","",IF(Games[[#This Row],[Type]]="R",IF(Games[[#This Row],[Result]]=0.5,1,0),0))</f>
        <v>0</v>
      </c>
    </row>
    <row r="256" spans="1:41" x14ac:dyDescent="0.35">
      <c r="A256" s="8">
        <v>35372</v>
      </c>
      <c r="B256">
        <v>1996</v>
      </c>
      <c r="C256" t="s">
        <v>197</v>
      </c>
      <c r="D256" t="s">
        <v>199</v>
      </c>
      <c r="E256" t="s">
        <v>120</v>
      </c>
      <c r="F256" t="s">
        <v>118</v>
      </c>
      <c r="G256" t="s">
        <v>200</v>
      </c>
      <c r="H256">
        <v>28</v>
      </c>
      <c r="I256">
        <v>18</v>
      </c>
      <c r="J256">
        <v>0</v>
      </c>
      <c r="K25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5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5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5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56">
        <f>IF(Games[[#This Row],[Team]]="","",IF(Games[[#This Row],[Conf]]=Games[[#This Row],[OppConf]],1,0))</f>
        <v>1</v>
      </c>
      <c r="P256">
        <f>IF(Games[[#This Row],[Team]]="","",IF(AND(Games[[#This Row],[Conf]]=Games[[#This Row],[OppConf]],Games[[#This Row],[Div]]=Games[[#This Row],[OppDiv]]),1,0))</f>
        <v>1</v>
      </c>
      <c r="Q256">
        <f>IF(Games[[#This Row],[Team]]="","",_xlfn.MINIFS(Games[Date],Games[Season],Games[[#This Row],[Season]]))</f>
        <v>35309</v>
      </c>
      <c r="R256">
        <f>IF(Games[[#This Row],[Team]]="","",INT((Games[[#This Row],[Date]]-(Games[[#This Row],[SeasonStart]]-MOD(WEEKDAY(Games[[#This Row],[SeasonStart]],2)-2,7)))/7)+1)</f>
        <v>10</v>
      </c>
      <c r="S256">
        <f>IF(Games[[#This Row],[Team]]="","",COUNTIFS(Games[Team],Games[[#This Row],[Team]],Games[Season],Games[[#This Row],[Season]],Games[Week],"&lt;="&amp;Games[[#This Row],[Week]]))</f>
        <v>9</v>
      </c>
      <c r="T256">
        <f>IF(Games[[#This Row],[Team]]="","",_xlfn.MAXIFS(Games[Week],Games[Team],Games[[#This Row],[Team]],Games[Season],Games[[#This Row],[Season]],Games[Week],"&lt;"&amp;Games[[#This Row],[Week]]))</f>
        <v>9</v>
      </c>
      <c r="U256">
        <f>IF(Games[[#This Row],[Team]]="","",_xlfn.MAXIFS(Games[Week],Games[Team],Games[[#This Row],[Opponent]],Games[Season],Games[[#This Row],[Season]],Games[Week],"&lt;"&amp;Games[[#This Row],[Week]]))</f>
        <v>9</v>
      </c>
      <c r="V25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5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5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5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1672.3117303551442</v>
      </c>
      <c r="Z25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1473.9487892336094</v>
      </c>
      <c r="AA25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0.82582670433927674</v>
      </c>
      <c r="AB256">
        <f>IF(Games[[#This Row],[Team]]="","",Games[[#This Row],[PointsFor]]-Games[[#This Row],[PointsAgainst]])</f>
        <v>10</v>
      </c>
      <c r="AC256">
        <f>IF(Games[[#This Row],[Team]]="","",IF(Games[[#This Row],[MOV]]&gt;0,1,IF(Games[[#This Row],[MOV]]=0,0.5,0)))</f>
        <v>1</v>
      </c>
      <c r="AD256">
        <f>IF(Games[[#This Row],[Team]]="","",--(OR(AND(Games[[#This Row],[ExpectedWin]]&gt;=0.5,Games[[#This Row],[Result]]=1),AND(Games[[#This Row],[ExpectedWin]]&lt;0.5,Games[[#This Row],[Result]]=0))))</f>
        <v>1</v>
      </c>
      <c r="AE256">
        <f>IF(Games[[#This Row],[Team]]="","",-(Games[[#This Row],[Result]]*LN(Games[[#This Row],[ExpectedWin]])+(1-Games[[#This Row],[Result]])*LN(1-Games[[#This Row],[ExpectedWin]])))</f>
        <v>0.19137032851451416</v>
      </c>
      <c r="AF256">
        <f>IF(Games[[#This Row],[Team]]="","",IF(Games[[#This Row],[Season]]&gt;=2021,17,16))</f>
        <v>16</v>
      </c>
      <c r="AG256">
        <f>IF(Games[[#This Row],[Team]]="","",KMax-(KMax-KFloor)*MIN(Games[[#This Row],[GamesPlayed]],Games[[#This Row],[SeasonLen]])/Games[[#This Row],[SeasonLen]])</f>
        <v>40.487500000000004</v>
      </c>
      <c r="AH256">
        <f>IF(Games[[#This Row],[Team]]="","",((ABS(Games[[#This Row],[MOV]])+3)^0.8)/(7.5+0.006*ABS(Games[[#This Row],[PreGmRate]]-Games[[#This Row],[OppPreGmRate]]))*IF(Games[[#This Row],[OT]]=1,0.7,1))</f>
        <v>0.89562462799237152</v>
      </c>
      <c r="AI25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6">
        <f>IF(Games[[#This Row],[Team]]="","",Games[[#This Row],[K]]*IF(Games[[#This Row],[DivG]]=1,DivMult,1)*IF(Games[[#This Row],[ConfG]]=1,ConfMult,1)*Games[[#This Row],[POMult]])</f>
        <v>45.426975000000013</v>
      </c>
      <c r="AK256">
        <f>IF(Games[[#This Row],[Team]]="","",(Games[[#This Row],[Keff]]*Games[[#This Row],[MOVMult]])*(Games[[#This Row],[Result]]-Games[[#This Row],[ExpectedWin]]))</f>
        <v>7.0863306834755102</v>
      </c>
      <c r="AL256">
        <f>IF(Games[[#This Row],[Team]]="","",Games[[#This Row],[PreGmRate]]+Games[[#This Row],[RatingChange]])</f>
        <v>1679.3980610386197</v>
      </c>
      <c r="AM256">
        <f>IF(Games[[#This Row],[Team]]="","",IF(Games[[#This Row],[Type]]="R",IF(Games[[#This Row],[Result]]&gt;0.5,1,0),0))</f>
        <v>1</v>
      </c>
      <c r="AN256">
        <f>IF(Games[[#This Row],[Team]]="","",IF(Games[[#This Row],[Type]]="R",IF(Games[[#This Row],[Result]]&lt;0.5,1,0),0))</f>
        <v>0</v>
      </c>
      <c r="AO256">
        <f>IF(Games[[#This Row],[Team]]="","",IF(Games[[#This Row],[Type]]="R",IF(Games[[#This Row],[Result]]=0.5,1,0),0))</f>
        <v>0</v>
      </c>
    </row>
    <row r="257" spans="1:41" x14ac:dyDescent="0.35">
      <c r="A257" s="8">
        <v>35372</v>
      </c>
      <c r="B257">
        <v>1996</v>
      </c>
      <c r="C257" t="s">
        <v>197</v>
      </c>
      <c r="D257" t="s">
        <v>199</v>
      </c>
      <c r="E257" t="s">
        <v>118</v>
      </c>
      <c r="F257" t="s">
        <v>120</v>
      </c>
      <c r="G257" t="s">
        <v>201</v>
      </c>
      <c r="H257">
        <v>18</v>
      </c>
      <c r="I257">
        <v>28</v>
      </c>
      <c r="J257">
        <v>0</v>
      </c>
      <c r="K25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5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5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5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57">
        <f>IF(Games[[#This Row],[Team]]="","",IF(Games[[#This Row],[Conf]]=Games[[#This Row],[OppConf]],1,0))</f>
        <v>1</v>
      </c>
      <c r="P257">
        <f>IF(Games[[#This Row],[Team]]="","",IF(AND(Games[[#This Row],[Conf]]=Games[[#This Row],[OppConf]],Games[[#This Row],[Div]]=Games[[#This Row],[OppDiv]]),1,0))</f>
        <v>1</v>
      </c>
      <c r="Q257">
        <f>IF(Games[[#This Row],[Team]]="","",_xlfn.MINIFS(Games[Date],Games[Season],Games[[#This Row],[Season]]))</f>
        <v>35309</v>
      </c>
      <c r="R257">
        <f>IF(Games[[#This Row],[Team]]="","",INT((Games[[#This Row],[Date]]-(Games[[#This Row],[SeasonStart]]-MOD(WEEKDAY(Games[[#This Row],[SeasonStart]],2)-2,7)))/7)+1)</f>
        <v>10</v>
      </c>
      <c r="S257">
        <f>IF(Games[[#This Row],[Team]]="","",COUNTIFS(Games[Team],Games[[#This Row],[Team]],Games[Season],Games[[#This Row],[Season]],Games[Week],"&lt;="&amp;Games[[#This Row],[Week]]))</f>
        <v>9</v>
      </c>
      <c r="T257">
        <f>IF(Games[[#This Row],[Team]]="","",_xlfn.MAXIFS(Games[Week],Games[Team],Games[[#This Row],[Team]],Games[Season],Games[[#This Row],[Season]],Games[Week],"&lt;"&amp;Games[[#This Row],[Week]]))</f>
        <v>9</v>
      </c>
      <c r="U257">
        <f>IF(Games[[#This Row],[Team]]="","",_xlfn.MAXIFS(Games[Week],Games[Team],Games[[#This Row],[Opponent]],Games[Season],Games[[#This Row],[Season]],Games[Week],"&lt;"&amp;Games[[#This Row],[Week]]))</f>
        <v>9</v>
      </c>
      <c r="V25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5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5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5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1473.9487892336094</v>
      </c>
      <c r="Z25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1672.3117303551442</v>
      </c>
      <c r="AA25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0.1741732956607232</v>
      </c>
      <c r="AB257">
        <f>IF(Games[[#This Row],[Team]]="","",Games[[#This Row],[PointsFor]]-Games[[#This Row],[PointsAgainst]])</f>
        <v>-10</v>
      </c>
      <c r="AC257">
        <f>IF(Games[[#This Row],[Team]]="","",IF(Games[[#This Row],[MOV]]&gt;0,1,IF(Games[[#This Row],[MOV]]=0,0.5,0)))</f>
        <v>0</v>
      </c>
      <c r="AD257">
        <f>IF(Games[[#This Row],[Team]]="","",--(OR(AND(Games[[#This Row],[ExpectedWin]]&gt;=0.5,Games[[#This Row],[Result]]=1),AND(Games[[#This Row],[ExpectedWin]]&lt;0.5,Games[[#This Row],[Result]]=0))))</f>
        <v>1</v>
      </c>
      <c r="AE257">
        <f>IF(Games[[#This Row],[Team]]="","",-(Games[[#This Row],[Result]]*LN(Games[[#This Row],[ExpectedWin]])+(1-Games[[#This Row],[Result]])*LN(1-Games[[#This Row],[ExpectedWin]])))</f>
        <v>0.19137032851451405</v>
      </c>
      <c r="AF257">
        <f>IF(Games[[#This Row],[Team]]="","",IF(Games[[#This Row],[Season]]&gt;=2021,17,16))</f>
        <v>16</v>
      </c>
      <c r="AG257">
        <f>IF(Games[[#This Row],[Team]]="","",KMax-(KMax-KFloor)*MIN(Games[[#This Row],[GamesPlayed]],Games[[#This Row],[SeasonLen]])/Games[[#This Row],[SeasonLen]])</f>
        <v>40.487500000000004</v>
      </c>
      <c r="AH257">
        <f>IF(Games[[#This Row],[Team]]="","",((ABS(Games[[#This Row],[MOV]])+3)^0.8)/(7.5+0.006*ABS(Games[[#This Row],[PreGmRate]]-Games[[#This Row],[OppPreGmRate]]))*IF(Games[[#This Row],[OT]]=1,0.7,1))</f>
        <v>0.89562462799237152</v>
      </c>
      <c r="AI25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7">
        <f>IF(Games[[#This Row],[Team]]="","",Games[[#This Row],[K]]*IF(Games[[#This Row],[DivG]]=1,DivMult,1)*IF(Games[[#This Row],[ConfG]]=1,ConfMult,1)*Games[[#This Row],[POMult]])</f>
        <v>45.426975000000013</v>
      </c>
      <c r="AK257">
        <f>IF(Games[[#This Row],[Team]]="","",(Games[[#This Row],[Keff]]*Games[[#This Row],[MOVMult]])*(Games[[#This Row],[Result]]-Games[[#This Row],[ExpectedWin]]))</f>
        <v>-7.0863306834755075</v>
      </c>
      <c r="AL257">
        <f>IF(Games[[#This Row],[Team]]="","",Games[[#This Row],[PreGmRate]]+Games[[#This Row],[RatingChange]])</f>
        <v>1466.8624585501339</v>
      </c>
      <c r="AM257">
        <f>IF(Games[[#This Row],[Team]]="","",IF(Games[[#This Row],[Type]]="R",IF(Games[[#This Row],[Result]]&gt;0.5,1,0),0))</f>
        <v>0</v>
      </c>
      <c r="AN257">
        <f>IF(Games[[#This Row],[Team]]="","",IF(Games[[#This Row],[Type]]="R",IF(Games[[#This Row],[Result]]&lt;0.5,1,0),0))</f>
        <v>1</v>
      </c>
      <c r="AO257">
        <f>IF(Games[[#This Row],[Team]]="","",IF(Games[[#This Row],[Type]]="R",IF(Games[[#This Row],[Result]]=0.5,1,0),0))</f>
        <v>0</v>
      </c>
    </row>
    <row r="258" spans="1:41" x14ac:dyDescent="0.35">
      <c r="A258" s="8">
        <v>35372</v>
      </c>
      <c r="B258">
        <v>1996</v>
      </c>
      <c r="C258" t="s">
        <v>197</v>
      </c>
      <c r="D258" t="s">
        <v>199</v>
      </c>
      <c r="E258" t="s">
        <v>143</v>
      </c>
      <c r="F258" t="s">
        <v>150</v>
      </c>
      <c r="G258" t="s">
        <v>200</v>
      </c>
      <c r="H258">
        <v>42</v>
      </c>
      <c r="I258">
        <v>6</v>
      </c>
      <c r="J258">
        <v>0</v>
      </c>
      <c r="K25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5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5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5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58">
        <f>IF(Games[[#This Row],[Team]]="","",IF(Games[[#This Row],[Conf]]=Games[[#This Row],[OppConf]],1,0))</f>
        <v>0</v>
      </c>
      <c r="P258">
        <f>IF(Games[[#This Row],[Team]]="","",IF(AND(Games[[#This Row],[Conf]]=Games[[#This Row],[OppConf]],Games[[#This Row],[Div]]=Games[[#This Row],[OppDiv]]),1,0))</f>
        <v>0</v>
      </c>
      <c r="Q258">
        <f>IF(Games[[#This Row],[Team]]="","",_xlfn.MINIFS(Games[Date],Games[Season],Games[[#This Row],[Season]]))</f>
        <v>35309</v>
      </c>
      <c r="R258">
        <f>IF(Games[[#This Row],[Team]]="","",INT((Games[[#This Row],[Date]]-(Games[[#This Row],[SeasonStart]]-MOD(WEEKDAY(Games[[#This Row],[SeasonStart]],2)-2,7)))/7)+1)</f>
        <v>10</v>
      </c>
      <c r="S258">
        <f>IF(Games[[#This Row],[Team]]="","",COUNTIFS(Games[Team],Games[[#This Row],[Team]],Games[Season],Games[[#This Row],[Season]],Games[Week],"&lt;="&amp;Games[[#This Row],[Week]]))</f>
        <v>9</v>
      </c>
      <c r="T258">
        <f>IF(Games[[#This Row],[Team]]="","",_xlfn.MAXIFS(Games[Week],Games[Team],Games[[#This Row],[Team]],Games[Season],Games[[#This Row],[Season]],Games[Week],"&lt;"&amp;Games[[#This Row],[Week]]))</f>
        <v>9</v>
      </c>
      <c r="U258">
        <f>IF(Games[[#This Row],[Team]]="","",_xlfn.MAXIFS(Games[Week],Games[Team],Games[[#This Row],[Opponent]],Games[Season],Games[[#This Row],[Season]],Games[Week],"&lt;"&amp;Games[[#This Row],[Week]]))</f>
        <v>9</v>
      </c>
      <c r="V25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5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5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5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1579.6930609571564</v>
      </c>
      <c r="Z25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1398.0935748581014</v>
      </c>
      <c r="AA25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0.8115075887107025</v>
      </c>
      <c r="AB258">
        <f>IF(Games[[#This Row],[Team]]="","",Games[[#This Row],[PointsFor]]-Games[[#This Row],[PointsAgainst]])</f>
        <v>36</v>
      </c>
      <c r="AC258">
        <f>IF(Games[[#This Row],[Team]]="","",IF(Games[[#This Row],[MOV]]&gt;0,1,IF(Games[[#This Row],[MOV]]=0,0.5,0)))</f>
        <v>1</v>
      </c>
      <c r="AD258">
        <f>IF(Games[[#This Row],[Team]]="","",--(OR(AND(Games[[#This Row],[ExpectedWin]]&gt;=0.5,Games[[#This Row],[Result]]=1),AND(Games[[#This Row],[ExpectedWin]]&lt;0.5,Games[[#This Row],[Result]]=0))))</f>
        <v>1</v>
      </c>
      <c r="AE258">
        <f>IF(Games[[#This Row],[Team]]="","",-(Games[[#This Row],[Result]]*LN(Games[[#This Row],[ExpectedWin]])+(1-Games[[#This Row],[Result]])*LN(1-Games[[#This Row],[ExpectedWin]])))</f>
        <v>0.20886154061009132</v>
      </c>
      <c r="AF258">
        <f>IF(Games[[#This Row],[Team]]="","",IF(Games[[#This Row],[Season]]&gt;=2021,17,16))</f>
        <v>16</v>
      </c>
      <c r="AG258">
        <f>IF(Games[[#This Row],[Team]]="","",KMax-(KMax-KFloor)*MIN(Games[[#This Row],[GamesPlayed]],Games[[#This Row],[SeasonLen]])/Games[[#This Row],[SeasonLen]])</f>
        <v>40.487500000000004</v>
      </c>
      <c r="AH258">
        <f>IF(Games[[#This Row],[Team]]="","",((ABS(Games[[#This Row],[MOV]])+3)^0.8)/(7.5+0.006*ABS(Games[[#This Row],[PreGmRate]]-Games[[#This Row],[OppPreGmRate]]))*IF(Games[[#This Row],[OT]]=1,0.7,1))</f>
        <v>2.182121364741707</v>
      </c>
      <c r="AI25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8">
        <f>IF(Games[[#This Row],[Team]]="","",Games[[#This Row],[K]]*IF(Games[[#This Row],[DivG]]=1,DivMult,1)*IF(Games[[#This Row],[ConfG]]=1,ConfMult,1)*Games[[#This Row],[POMult]])</f>
        <v>40.487500000000004</v>
      </c>
      <c r="AK258">
        <f>IF(Games[[#This Row],[Team]]="","",(Games[[#This Row],[Keff]]*Games[[#This Row],[MOVMult]])*(Games[[#This Row],[Result]]-Games[[#This Row],[ExpectedWin]]))</f>
        <v>16.653047953053235</v>
      </c>
      <c r="AL258">
        <f>IF(Games[[#This Row],[Team]]="","",Games[[#This Row],[PreGmRate]]+Games[[#This Row],[RatingChange]])</f>
        <v>1596.3461089102095</v>
      </c>
      <c r="AM258">
        <f>IF(Games[[#This Row],[Team]]="","",IF(Games[[#This Row],[Type]]="R",IF(Games[[#This Row],[Result]]&gt;0.5,1,0),0))</f>
        <v>1</v>
      </c>
      <c r="AN258">
        <f>IF(Games[[#This Row],[Team]]="","",IF(Games[[#This Row],[Type]]="R",IF(Games[[#This Row],[Result]]&lt;0.5,1,0),0))</f>
        <v>0</v>
      </c>
      <c r="AO258">
        <f>IF(Games[[#This Row],[Team]]="","",IF(Games[[#This Row],[Type]]="R",IF(Games[[#This Row],[Result]]=0.5,1,0),0))</f>
        <v>0</v>
      </c>
    </row>
    <row r="259" spans="1:41" x14ac:dyDescent="0.35">
      <c r="A259" s="8">
        <v>35372</v>
      </c>
      <c r="B259">
        <v>1996</v>
      </c>
      <c r="C259" t="s">
        <v>197</v>
      </c>
      <c r="D259" t="s">
        <v>199</v>
      </c>
      <c r="E259" t="s">
        <v>150</v>
      </c>
      <c r="F259" t="s">
        <v>143</v>
      </c>
      <c r="G259" t="s">
        <v>201</v>
      </c>
      <c r="H259">
        <v>6</v>
      </c>
      <c r="I259">
        <v>42</v>
      </c>
      <c r="J259">
        <v>0</v>
      </c>
      <c r="K25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5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5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5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59">
        <f>IF(Games[[#This Row],[Team]]="","",IF(Games[[#This Row],[Conf]]=Games[[#This Row],[OppConf]],1,0))</f>
        <v>0</v>
      </c>
      <c r="P259">
        <f>IF(Games[[#This Row],[Team]]="","",IF(AND(Games[[#This Row],[Conf]]=Games[[#This Row],[OppConf]],Games[[#This Row],[Div]]=Games[[#This Row],[OppDiv]]),1,0))</f>
        <v>0</v>
      </c>
      <c r="Q259">
        <f>IF(Games[[#This Row],[Team]]="","",_xlfn.MINIFS(Games[Date],Games[Season],Games[[#This Row],[Season]]))</f>
        <v>35309</v>
      </c>
      <c r="R259">
        <f>IF(Games[[#This Row],[Team]]="","",INT((Games[[#This Row],[Date]]-(Games[[#This Row],[SeasonStart]]-MOD(WEEKDAY(Games[[#This Row],[SeasonStart]],2)-2,7)))/7)+1)</f>
        <v>10</v>
      </c>
      <c r="S259">
        <f>IF(Games[[#This Row],[Team]]="","",COUNTIFS(Games[Team],Games[[#This Row],[Team]],Games[Season],Games[[#This Row],[Season]],Games[Week],"&lt;="&amp;Games[[#This Row],[Week]]))</f>
        <v>9</v>
      </c>
      <c r="T259">
        <f>IF(Games[[#This Row],[Team]]="","",_xlfn.MAXIFS(Games[Week],Games[Team],Games[[#This Row],[Team]],Games[Season],Games[[#This Row],[Season]],Games[Week],"&lt;"&amp;Games[[#This Row],[Week]]))</f>
        <v>9</v>
      </c>
      <c r="U259">
        <f>IF(Games[[#This Row],[Team]]="","",_xlfn.MAXIFS(Games[Week],Games[Team],Games[[#This Row],[Opponent]],Games[Season],Games[[#This Row],[Season]],Games[Week],"&lt;"&amp;Games[[#This Row],[Week]]))</f>
        <v>9</v>
      </c>
      <c r="V25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5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5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5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1398.0935748581014</v>
      </c>
      <c r="Z25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1579.6930609571564</v>
      </c>
      <c r="AA25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0.18849241128929747</v>
      </c>
      <c r="AB259">
        <f>IF(Games[[#This Row],[Team]]="","",Games[[#This Row],[PointsFor]]-Games[[#This Row],[PointsAgainst]])</f>
        <v>-36</v>
      </c>
      <c r="AC259">
        <f>IF(Games[[#This Row],[Team]]="","",IF(Games[[#This Row],[MOV]]&gt;0,1,IF(Games[[#This Row],[MOV]]=0,0.5,0)))</f>
        <v>0</v>
      </c>
      <c r="AD259">
        <f>IF(Games[[#This Row],[Team]]="","",--(OR(AND(Games[[#This Row],[ExpectedWin]]&gt;=0.5,Games[[#This Row],[Result]]=1),AND(Games[[#This Row],[ExpectedWin]]&lt;0.5,Games[[#This Row],[Result]]=0))))</f>
        <v>1</v>
      </c>
      <c r="AE259">
        <f>IF(Games[[#This Row],[Team]]="","",-(Games[[#This Row],[Result]]*LN(Games[[#This Row],[ExpectedWin]])+(1-Games[[#This Row],[Result]])*LN(1-Games[[#This Row],[ExpectedWin]])))</f>
        <v>0.20886154061009132</v>
      </c>
      <c r="AF259">
        <f>IF(Games[[#This Row],[Team]]="","",IF(Games[[#This Row],[Season]]&gt;=2021,17,16))</f>
        <v>16</v>
      </c>
      <c r="AG259">
        <f>IF(Games[[#This Row],[Team]]="","",KMax-(KMax-KFloor)*MIN(Games[[#This Row],[GamesPlayed]],Games[[#This Row],[SeasonLen]])/Games[[#This Row],[SeasonLen]])</f>
        <v>40.487500000000004</v>
      </c>
      <c r="AH259">
        <f>IF(Games[[#This Row],[Team]]="","",((ABS(Games[[#This Row],[MOV]])+3)^0.8)/(7.5+0.006*ABS(Games[[#This Row],[PreGmRate]]-Games[[#This Row],[OppPreGmRate]]))*IF(Games[[#This Row],[OT]]=1,0.7,1))</f>
        <v>2.182121364741707</v>
      </c>
      <c r="AI25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9">
        <f>IF(Games[[#This Row],[Team]]="","",Games[[#This Row],[K]]*IF(Games[[#This Row],[DivG]]=1,DivMult,1)*IF(Games[[#This Row],[ConfG]]=1,ConfMult,1)*Games[[#This Row],[POMult]])</f>
        <v>40.487500000000004</v>
      </c>
      <c r="AK259">
        <f>IF(Games[[#This Row],[Team]]="","",(Games[[#This Row],[Keff]]*Games[[#This Row],[MOVMult]])*(Games[[#This Row],[Result]]-Games[[#This Row],[ExpectedWin]]))</f>
        <v>-16.653047953053232</v>
      </c>
      <c r="AL259">
        <f>IF(Games[[#This Row],[Team]]="","",Games[[#This Row],[PreGmRate]]+Games[[#This Row],[RatingChange]])</f>
        <v>1381.4405269050483</v>
      </c>
      <c r="AM259">
        <f>IF(Games[[#This Row],[Team]]="","",IF(Games[[#This Row],[Type]]="R",IF(Games[[#This Row],[Result]]&gt;0.5,1,0),0))</f>
        <v>0</v>
      </c>
      <c r="AN259">
        <f>IF(Games[[#This Row],[Team]]="","",IF(Games[[#This Row],[Type]]="R",IF(Games[[#This Row],[Result]]&lt;0.5,1,0),0))</f>
        <v>1</v>
      </c>
      <c r="AO259">
        <f>IF(Games[[#This Row],[Team]]="","",IF(Games[[#This Row],[Type]]="R",IF(Games[[#This Row],[Result]]=0.5,1,0),0))</f>
        <v>0</v>
      </c>
    </row>
    <row r="260" spans="1:41" x14ac:dyDescent="0.35">
      <c r="A260" s="8">
        <v>35372</v>
      </c>
      <c r="B260">
        <v>1996</v>
      </c>
      <c r="C260" t="s">
        <v>197</v>
      </c>
      <c r="D260" t="s">
        <v>199</v>
      </c>
      <c r="E260" t="s">
        <v>106</v>
      </c>
      <c r="F260" t="s">
        <v>154</v>
      </c>
      <c r="G260" t="s">
        <v>200</v>
      </c>
      <c r="H260">
        <v>38</v>
      </c>
      <c r="I260">
        <v>13</v>
      </c>
      <c r="J260">
        <v>0</v>
      </c>
      <c r="K26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6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6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6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60">
        <f>IF(Games[[#This Row],[Team]]="","",IF(Games[[#This Row],[Conf]]=Games[[#This Row],[OppConf]],1,0))</f>
        <v>0</v>
      </c>
      <c r="P260">
        <f>IF(Games[[#This Row],[Team]]="","",IF(AND(Games[[#This Row],[Conf]]=Games[[#This Row],[OppConf]],Games[[#This Row],[Div]]=Games[[#This Row],[OppDiv]]),1,0))</f>
        <v>0</v>
      </c>
      <c r="Q260">
        <f>IF(Games[[#This Row],[Team]]="","",_xlfn.MINIFS(Games[Date],Games[Season],Games[[#This Row],[Season]]))</f>
        <v>35309</v>
      </c>
      <c r="R260">
        <f>IF(Games[[#This Row],[Team]]="","",INT((Games[[#This Row],[Date]]-(Games[[#This Row],[SeasonStart]]-MOD(WEEKDAY(Games[[#This Row],[SeasonStart]],2)-2,7)))/7)+1)</f>
        <v>10</v>
      </c>
      <c r="S260">
        <f>IF(Games[[#This Row],[Team]]="","",COUNTIFS(Games[Team],Games[[#This Row],[Team]],Games[Season],Games[[#This Row],[Season]],Games[Week],"&lt;="&amp;Games[[#This Row],[Week]]))</f>
        <v>9</v>
      </c>
      <c r="T260">
        <f>IF(Games[[#This Row],[Team]]="","",_xlfn.MAXIFS(Games[Week],Games[Team],Games[[#This Row],[Team]],Games[Season],Games[[#This Row],[Season]],Games[Week],"&lt;"&amp;Games[[#This Row],[Week]]))</f>
        <v>9</v>
      </c>
      <c r="U260">
        <f>IF(Games[[#This Row],[Team]]="","",_xlfn.MAXIFS(Games[Week],Games[Team],Games[[#This Row],[Opponent]],Games[Season],Games[[#This Row],[Season]],Games[Week],"&lt;"&amp;Games[[#This Row],[Week]]))</f>
        <v>9</v>
      </c>
      <c r="V26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6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6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6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1483.4070188173571</v>
      </c>
      <c r="Z26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1610.5847570971994</v>
      </c>
      <c r="AA26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0.42125378611223929</v>
      </c>
      <c r="AB260">
        <f>IF(Games[[#This Row],[Team]]="","",Games[[#This Row],[PointsFor]]-Games[[#This Row],[PointsAgainst]])</f>
        <v>25</v>
      </c>
      <c r="AC260">
        <f>IF(Games[[#This Row],[Team]]="","",IF(Games[[#This Row],[MOV]]&gt;0,1,IF(Games[[#This Row],[MOV]]=0,0.5,0)))</f>
        <v>1</v>
      </c>
      <c r="AD260">
        <f>IF(Games[[#This Row],[Team]]="","",--(OR(AND(Games[[#This Row],[ExpectedWin]]&gt;=0.5,Games[[#This Row],[Result]]=1),AND(Games[[#This Row],[ExpectedWin]]&lt;0.5,Games[[#This Row],[Result]]=0))))</f>
        <v>0</v>
      </c>
      <c r="AE260">
        <f>IF(Games[[#This Row],[Team]]="","",-(Games[[#This Row],[Result]]*LN(Games[[#This Row],[ExpectedWin]])+(1-Games[[#This Row],[Result]])*LN(1-Games[[#This Row],[ExpectedWin]])))</f>
        <v>0.86451980955242025</v>
      </c>
      <c r="AF260">
        <f>IF(Games[[#This Row],[Team]]="","",IF(Games[[#This Row],[Season]]&gt;=2021,17,16))</f>
        <v>16</v>
      </c>
      <c r="AG260">
        <f>IF(Games[[#This Row],[Team]]="","",KMax-(KMax-KFloor)*MIN(Games[[#This Row],[GamesPlayed]],Games[[#This Row],[SeasonLen]])/Games[[#This Row],[SeasonLen]])</f>
        <v>40.487500000000004</v>
      </c>
      <c r="AH260">
        <f>IF(Games[[#This Row],[Team]]="","",((ABS(Games[[#This Row],[MOV]])+3)^0.8)/(7.5+0.006*ABS(Games[[#This Row],[PreGmRate]]-Games[[#This Row],[OppPreGmRate]]))*IF(Games[[#This Row],[OT]]=1,0.7,1))</f>
        <v>1.740143969750152</v>
      </c>
      <c r="AI26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0">
        <f>IF(Games[[#This Row],[Team]]="","",Games[[#This Row],[K]]*IF(Games[[#This Row],[DivG]]=1,DivMult,1)*IF(Games[[#This Row],[ConfG]]=1,ConfMult,1)*Games[[#This Row],[POMult]])</f>
        <v>40.487500000000004</v>
      </c>
      <c r="AK260">
        <f>IF(Games[[#This Row],[Team]]="","",(Games[[#This Row],[Keff]]*Games[[#This Row],[MOVMult]])*(Games[[#This Row],[Result]]-Games[[#This Row],[ExpectedWin]]))</f>
        <v>40.775031459880594</v>
      </c>
      <c r="AL260">
        <f>IF(Games[[#This Row],[Team]]="","",Games[[#This Row],[PreGmRate]]+Games[[#This Row],[RatingChange]])</f>
        <v>1524.1820502772377</v>
      </c>
      <c r="AM260">
        <f>IF(Games[[#This Row],[Team]]="","",IF(Games[[#This Row],[Type]]="R",IF(Games[[#This Row],[Result]]&gt;0.5,1,0),0))</f>
        <v>1</v>
      </c>
      <c r="AN260">
        <f>IF(Games[[#This Row],[Team]]="","",IF(Games[[#This Row],[Type]]="R",IF(Games[[#This Row],[Result]]&lt;0.5,1,0),0))</f>
        <v>0</v>
      </c>
      <c r="AO260">
        <f>IF(Games[[#This Row],[Team]]="","",IF(Games[[#This Row],[Type]]="R",IF(Games[[#This Row],[Result]]=0.5,1,0),0))</f>
        <v>0</v>
      </c>
    </row>
    <row r="261" spans="1:41" x14ac:dyDescent="0.35">
      <c r="A261" s="8">
        <v>35372</v>
      </c>
      <c r="B261">
        <v>1996</v>
      </c>
      <c r="C261" t="s">
        <v>197</v>
      </c>
      <c r="D261" t="s">
        <v>199</v>
      </c>
      <c r="E261" t="s">
        <v>154</v>
      </c>
      <c r="F261" t="s">
        <v>106</v>
      </c>
      <c r="G261" t="s">
        <v>201</v>
      </c>
      <c r="H261">
        <v>13</v>
      </c>
      <c r="I261">
        <v>38</v>
      </c>
      <c r="J261">
        <v>0</v>
      </c>
      <c r="K26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6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6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6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61">
        <f>IF(Games[[#This Row],[Team]]="","",IF(Games[[#This Row],[Conf]]=Games[[#This Row],[OppConf]],1,0))</f>
        <v>0</v>
      </c>
      <c r="P261">
        <f>IF(Games[[#This Row],[Team]]="","",IF(AND(Games[[#This Row],[Conf]]=Games[[#This Row],[OppConf]],Games[[#This Row],[Div]]=Games[[#This Row],[OppDiv]]),1,0))</f>
        <v>0</v>
      </c>
      <c r="Q261">
        <f>IF(Games[[#This Row],[Team]]="","",_xlfn.MINIFS(Games[Date],Games[Season],Games[[#This Row],[Season]]))</f>
        <v>35309</v>
      </c>
      <c r="R261">
        <f>IF(Games[[#This Row],[Team]]="","",INT((Games[[#This Row],[Date]]-(Games[[#This Row],[SeasonStart]]-MOD(WEEKDAY(Games[[#This Row],[SeasonStart]],2)-2,7)))/7)+1)</f>
        <v>10</v>
      </c>
      <c r="S261">
        <f>IF(Games[[#This Row],[Team]]="","",COUNTIFS(Games[Team],Games[[#This Row],[Team]],Games[Season],Games[[#This Row],[Season]],Games[Week],"&lt;="&amp;Games[[#This Row],[Week]]))</f>
        <v>9</v>
      </c>
      <c r="T261">
        <f>IF(Games[[#This Row],[Team]]="","",_xlfn.MAXIFS(Games[Week],Games[Team],Games[[#This Row],[Team]],Games[Season],Games[[#This Row],[Season]],Games[Week],"&lt;"&amp;Games[[#This Row],[Week]]))</f>
        <v>9</v>
      </c>
      <c r="U261">
        <f>IF(Games[[#This Row],[Team]]="","",_xlfn.MAXIFS(Games[Week],Games[Team],Games[[#This Row],[Opponent]],Games[Season],Games[[#This Row],[Season]],Games[Week],"&lt;"&amp;Games[[#This Row],[Week]]))</f>
        <v>9</v>
      </c>
      <c r="V26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6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6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6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1610.5847570971994</v>
      </c>
      <c r="Z26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1483.4070188173571</v>
      </c>
      <c r="AA26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0.5787462138877606</v>
      </c>
      <c r="AB261">
        <f>IF(Games[[#This Row],[Team]]="","",Games[[#This Row],[PointsFor]]-Games[[#This Row],[PointsAgainst]])</f>
        <v>-25</v>
      </c>
      <c r="AC261">
        <f>IF(Games[[#This Row],[Team]]="","",IF(Games[[#This Row],[MOV]]&gt;0,1,IF(Games[[#This Row],[MOV]]=0,0.5,0)))</f>
        <v>0</v>
      </c>
      <c r="AD261">
        <f>IF(Games[[#This Row],[Team]]="","",--(OR(AND(Games[[#This Row],[ExpectedWin]]&gt;=0.5,Games[[#This Row],[Result]]=1),AND(Games[[#This Row],[ExpectedWin]]&lt;0.5,Games[[#This Row],[Result]]=0))))</f>
        <v>0</v>
      </c>
      <c r="AE261">
        <f>IF(Games[[#This Row],[Team]]="","",-(Games[[#This Row],[Result]]*LN(Games[[#This Row],[ExpectedWin]])+(1-Games[[#This Row],[Result]])*LN(1-Games[[#This Row],[ExpectedWin]])))</f>
        <v>0.86451980955241992</v>
      </c>
      <c r="AF261">
        <f>IF(Games[[#This Row],[Team]]="","",IF(Games[[#This Row],[Season]]&gt;=2021,17,16))</f>
        <v>16</v>
      </c>
      <c r="AG261">
        <f>IF(Games[[#This Row],[Team]]="","",KMax-(KMax-KFloor)*MIN(Games[[#This Row],[GamesPlayed]],Games[[#This Row],[SeasonLen]])/Games[[#This Row],[SeasonLen]])</f>
        <v>40.487500000000004</v>
      </c>
      <c r="AH261">
        <f>IF(Games[[#This Row],[Team]]="","",((ABS(Games[[#This Row],[MOV]])+3)^0.8)/(7.5+0.006*ABS(Games[[#This Row],[PreGmRate]]-Games[[#This Row],[OppPreGmRate]]))*IF(Games[[#This Row],[OT]]=1,0.7,1))</f>
        <v>1.740143969750152</v>
      </c>
      <c r="AI26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1">
        <f>IF(Games[[#This Row],[Team]]="","",Games[[#This Row],[K]]*IF(Games[[#This Row],[DivG]]=1,DivMult,1)*IF(Games[[#This Row],[ConfG]]=1,ConfMult,1)*Games[[#This Row],[POMult]])</f>
        <v>40.487500000000004</v>
      </c>
      <c r="AK261">
        <f>IF(Games[[#This Row],[Team]]="","",(Games[[#This Row],[Keff]]*Games[[#This Row],[MOVMult]])*(Games[[#This Row],[Result]]-Games[[#This Row],[ExpectedWin]]))</f>
        <v>-40.77503145988058</v>
      </c>
      <c r="AL261">
        <f>IF(Games[[#This Row],[Team]]="","",Games[[#This Row],[PreGmRate]]+Games[[#This Row],[RatingChange]])</f>
        <v>1569.8097256373187</v>
      </c>
      <c r="AM261">
        <f>IF(Games[[#This Row],[Team]]="","",IF(Games[[#This Row],[Type]]="R",IF(Games[[#This Row],[Result]]&gt;0.5,1,0),0))</f>
        <v>0</v>
      </c>
      <c r="AN261">
        <f>IF(Games[[#This Row],[Team]]="","",IF(Games[[#This Row],[Type]]="R",IF(Games[[#This Row],[Result]]&lt;0.5,1,0),0))</f>
        <v>1</v>
      </c>
      <c r="AO261">
        <f>IF(Games[[#This Row],[Team]]="","",IF(Games[[#This Row],[Type]]="R",IF(Games[[#This Row],[Result]]=0.5,1,0),0))</f>
        <v>0</v>
      </c>
    </row>
    <row r="262" spans="1:41" x14ac:dyDescent="0.35">
      <c r="A262" s="8">
        <v>35372</v>
      </c>
      <c r="B262">
        <v>1996</v>
      </c>
      <c r="C262" t="s">
        <v>197</v>
      </c>
      <c r="D262" t="s">
        <v>199</v>
      </c>
      <c r="E262" t="s">
        <v>126</v>
      </c>
      <c r="F262" t="s">
        <v>130</v>
      </c>
      <c r="G262" t="s">
        <v>201</v>
      </c>
      <c r="H262">
        <v>21</v>
      </c>
      <c r="I262">
        <v>6</v>
      </c>
      <c r="J262">
        <v>0</v>
      </c>
      <c r="K26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6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6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6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62">
        <f>IF(Games[[#This Row],[Team]]="","",IF(Games[[#This Row],[Conf]]=Games[[#This Row],[OppConf]],1,0))</f>
        <v>0</v>
      </c>
      <c r="P262">
        <f>IF(Games[[#This Row],[Team]]="","",IF(AND(Games[[#This Row],[Conf]]=Games[[#This Row],[OppConf]],Games[[#This Row],[Div]]=Games[[#This Row],[OppDiv]]),1,0))</f>
        <v>0</v>
      </c>
      <c r="Q262">
        <f>IF(Games[[#This Row],[Team]]="","",_xlfn.MINIFS(Games[Date],Games[Season],Games[[#This Row],[Season]]))</f>
        <v>35309</v>
      </c>
      <c r="R262">
        <f>IF(Games[[#This Row],[Team]]="","",INT((Games[[#This Row],[Date]]-(Games[[#This Row],[SeasonStart]]-MOD(WEEKDAY(Games[[#This Row],[SeasonStart]],2)-2,7)))/7)+1)</f>
        <v>10</v>
      </c>
      <c r="S262">
        <f>IF(Games[[#This Row],[Team]]="","",COUNTIFS(Games[Team],Games[[#This Row],[Team]],Games[Season],Games[[#This Row],[Season]],Games[Week],"&lt;="&amp;Games[[#This Row],[Week]]))</f>
        <v>9</v>
      </c>
      <c r="T262">
        <f>IF(Games[[#This Row],[Team]]="","",_xlfn.MAXIFS(Games[Week],Games[Team],Games[[#This Row],[Team]],Games[Season],Games[[#This Row],[Season]],Games[Week],"&lt;"&amp;Games[[#This Row],[Week]]))</f>
        <v>9</v>
      </c>
      <c r="U262">
        <f>IF(Games[[#This Row],[Team]]="","",_xlfn.MAXIFS(Games[Week],Games[Team],Games[[#This Row],[Opponent]],Games[Season],Games[[#This Row],[Season]],Games[Week],"&lt;"&amp;Games[[#This Row],[Week]]))</f>
        <v>9</v>
      </c>
      <c r="V26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6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26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26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1525.7255636401976</v>
      </c>
      <c r="Z26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1522.1975753305378</v>
      </c>
      <c r="AA26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0.41105208720788117</v>
      </c>
      <c r="AB262">
        <f>IF(Games[[#This Row],[Team]]="","",Games[[#This Row],[PointsFor]]-Games[[#This Row],[PointsAgainst]])</f>
        <v>15</v>
      </c>
      <c r="AC262">
        <f>IF(Games[[#This Row],[Team]]="","",IF(Games[[#This Row],[MOV]]&gt;0,1,IF(Games[[#This Row],[MOV]]=0,0.5,0)))</f>
        <v>1</v>
      </c>
      <c r="AD262">
        <f>IF(Games[[#This Row],[Team]]="","",--(OR(AND(Games[[#This Row],[ExpectedWin]]&gt;=0.5,Games[[#This Row],[Result]]=1),AND(Games[[#This Row],[ExpectedWin]]&lt;0.5,Games[[#This Row],[Result]]=0))))</f>
        <v>0</v>
      </c>
      <c r="AE262">
        <f>IF(Games[[#This Row],[Team]]="","",-(Games[[#This Row],[Result]]*LN(Games[[#This Row],[ExpectedWin]])+(1-Games[[#This Row],[Result]])*LN(1-Games[[#This Row],[ExpectedWin]])))</f>
        <v>0.88903533964994275</v>
      </c>
      <c r="AF262">
        <f>IF(Games[[#This Row],[Team]]="","",IF(Games[[#This Row],[Season]]&gt;=2021,17,16))</f>
        <v>16</v>
      </c>
      <c r="AG262">
        <f>IF(Games[[#This Row],[Team]]="","",KMax-(KMax-KFloor)*MIN(Games[[#This Row],[GamesPlayed]],Games[[#This Row],[SeasonLen]])/Games[[#This Row],[SeasonLen]])</f>
        <v>40.487500000000004</v>
      </c>
      <c r="AH262">
        <f>IF(Games[[#This Row],[Team]]="","",((ABS(Games[[#This Row],[MOV]])+3)^0.8)/(7.5+0.006*ABS(Games[[#This Row],[PreGmRate]]-Games[[#This Row],[OppPreGmRate]]))*IF(Games[[#This Row],[OT]]=1,0.7,1))</f>
        <v>1.3425569543434583</v>
      </c>
      <c r="AI26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2">
        <f>IF(Games[[#This Row],[Team]]="","",Games[[#This Row],[K]]*IF(Games[[#This Row],[DivG]]=1,DivMult,1)*IF(Games[[#This Row],[ConfG]]=1,ConfMult,1)*Games[[#This Row],[POMult]])</f>
        <v>40.487500000000004</v>
      </c>
      <c r="AK262">
        <f>IF(Games[[#This Row],[Team]]="","",(Games[[#This Row],[Keff]]*Games[[#This Row],[MOVMult]])*(Games[[#This Row],[Result]]-Games[[#This Row],[ExpectedWin]]))</f>
        <v>32.013308999186705</v>
      </c>
      <c r="AL262">
        <f>IF(Games[[#This Row],[Team]]="","",Games[[#This Row],[PreGmRate]]+Games[[#This Row],[RatingChange]])</f>
        <v>1557.7388726393842</v>
      </c>
      <c r="AM262">
        <f>IF(Games[[#This Row],[Team]]="","",IF(Games[[#This Row],[Type]]="R",IF(Games[[#This Row],[Result]]&gt;0.5,1,0),0))</f>
        <v>1</v>
      </c>
      <c r="AN262">
        <f>IF(Games[[#This Row],[Team]]="","",IF(Games[[#This Row],[Type]]="R",IF(Games[[#This Row],[Result]]&lt;0.5,1,0),0))</f>
        <v>0</v>
      </c>
      <c r="AO262">
        <f>IF(Games[[#This Row],[Team]]="","",IF(Games[[#This Row],[Type]]="R",IF(Games[[#This Row],[Result]]=0.5,1,0),0))</f>
        <v>0</v>
      </c>
    </row>
    <row r="263" spans="1:41" x14ac:dyDescent="0.35">
      <c r="A263" s="8">
        <v>35372</v>
      </c>
      <c r="B263">
        <v>1996</v>
      </c>
      <c r="C263" t="s">
        <v>197</v>
      </c>
      <c r="D263" t="s">
        <v>199</v>
      </c>
      <c r="E263" t="s">
        <v>130</v>
      </c>
      <c r="F263" t="s">
        <v>126</v>
      </c>
      <c r="G263" t="s">
        <v>200</v>
      </c>
      <c r="H263">
        <v>6</v>
      </c>
      <c r="I263">
        <v>21</v>
      </c>
      <c r="J263">
        <v>0</v>
      </c>
      <c r="K26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6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6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6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63">
        <f>IF(Games[[#This Row],[Team]]="","",IF(Games[[#This Row],[Conf]]=Games[[#This Row],[OppConf]],1,0))</f>
        <v>0</v>
      </c>
      <c r="P263">
        <f>IF(Games[[#This Row],[Team]]="","",IF(AND(Games[[#This Row],[Conf]]=Games[[#This Row],[OppConf]],Games[[#This Row],[Div]]=Games[[#This Row],[OppDiv]]),1,0))</f>
        <v>0</v>
      </c>
      <c r="Q263">
        <f>IF(Games[[#This Row],[Team]]="","",_xlfn.MINIFS(Games[Date],Games[Season],Games[[#This Row],[Season]]))</f>
        <v>35309</v>
      </c>
      <c r="R263">
        <f>IF(Games[[#This Row],[Team]]="","",INT((Games[[#This Row],[Date]]-(Games[[#This Row],[SeasonStart]]-MOD(WEEKDAY(Games[[#This Row],[SeasonStart]],2)-2,7)))/7)+1)</f>
        <v>10</v>
      </c>
      <c r="S263">
        <f>IF(Games[[#This Row],[Team]]="","",COUNTIFS(Games[Team],Games[[#This Row],[Team]],Games[Season],Games[[#This Row],[Season]],Games[Week],"&lt;="&amp;Games[[#This Row],[Week]]))</f>
        <v>9</v>
      </c>
      <c r="T263">
        <f>IF(Games[[#This Row],[Team]]="","",_xlfn.MAXIFS(Games[Week],Games[Team],Games[[#This Row],[Team]],Games[Season],Games[[#This Row],[Season]],Games[Week],"&lt;"&amp;Games[[#This Row],[Week]]))</f>
        <v>9</v>
      </c>
      <c r="U263">
        <f>IF(Games[[#This Row],[Team]]="","",_xlfn.MAXIFS(Games[Week],Games[Team],Games[[#This Row],[Opponent]],Games[Season],Games[[#This Row],[Season]],Games[Week],"&lt;"&amp;Games[[#This Row],[Week]]))</f>
        <v>9</v>
      </c>
      <c r="V26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26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6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26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1522.1975753305378</v>
      </c>
      <c r="Z26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1525.7255636401976</v>
      </c>
      <c r="AA26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0.58894791279211889</v>
      </c>
      <c r="AB263">
        <f>IF(Games[[#This Row],[Team]]="","",Games[[#This Row],[PointsFor]]-Games[[#This Row],[PointsAgainst]])</f>
        <v>-15</v>
      </c>
      <c r="AC263">
        <f>IF(Games[[#This Row],[Team]]="","",IF(Games[[#This Row],[MOV]]&gt;0,1,IF(Games[[#This Row],[MOV]]=0,0.5,0)))</f>
        <v>0</v>
      </c>
      <c r="AD263">
        <f>IF(Games[[#This Row],[Team]]="","",--(OR(AND(Games[[#This Row],[ExpectedWin]]&gt;=0.5,Games[[#This Row],[Result]]=1),AND(Games[[#This Row],[ExpectedWin]]&lt;0.5,Games[[#This Row],[Result]]=0))))</f>
        <v>0</v>
      </c>
      <c r="AE263">
        <f>IF(Games[[#This Row],[Team]]="","",-(Games[[#This Row],[Result]]*LN(Games[[#This Row],[ExpectedWin]])+(1-Games[[#This Row],[Result]])*LN(1-Games[[#This Row],[ExpectedWin]])))</f>
        <v>0.88903533964994286</v>
      </c>
      <c r="AF263">
        <f>IF(Games[[#This Row],[Team]]="","",IF(Games[[#This Row],[Season]]&gt;=2021,17,16))</f>
        <v>16</v>
      </c>
      <c r="AG263">
        <f>IF(Games[[#This Row],[Team]]="","",KMax-(KMax-KFloor)*MIN(Games[[#This Row],[GamesPlayed]],Games[[#This Row],[SeasonLen]])/Games[[#This Row],[SeasonLen]])</f>
        <v>40.487500000000004</v>
      </c>
      <c r="AH263">
        <f>IF(Games[[#This Row],[Team]]="","",((ABS(Games[[#This Row],[MOV]])+3)^0.8)/(7.5+0.006*ABS(Games[[#This Row],[PreGmRate]]-Games[[#This Row],[OppPreGmRate]]))*IF(Games[[#This Row],[OT]]=1,0.7,1))</f>
        <v>1.3425569543434583</v>
      </c>
      <c r="AI26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3">
        <f>IF(Games[[#This Row],[Team]]="","",Games[[#This Row],[K]]*IF(Games[[#This Row],[DivG]]=1,DivMult,1)*IF(Games[[#This Row],[ConfG]]=1,ConfMult,1)*Games[[#This Row],[POMult]])</f>
        <v>40.487500000000004</v>
      </c>
      <c r="AK263">
        <f>IF(Games[[#This Row],[Team]]="","",(Games[[#This Row],[Keff]]*Games[[#This Row],[MOVMult]])*(Games[[#This Row],[Result]]-Games[[#This Row],[ExpectedWin]]))</f>
        <v>-32.013308999186705</v>
      </c>
      <c r="AL263">
        <f>IF(Games[[#This Row],[Team]]="","",Games[[#This Row],[PreGmRate]]+Games[[#This Row],[RatingChange]])</f>
        <v>1490.1842663313512</v>
      </c>
      <c r="AM263">
        <f>IF(Games[[#This Row],[Team]]="","",IF(Games[[#This Row],[Type]]="R",IF(Games[[#This Row],[Result]]&gt;0.5,1,0),0))</f>
        <v>0</v>
      </c>
      <c r="AN263">
        <f>IF(Games[[#This Row],[Team]]="","",IF(Games[[#This Row],[Type]]="R",IF(Games[[#This Row],[Result]]&lt;0.5,1,0),0))</f>
        <v>1</v>
      </c>
      <c r="AO263">
        <f>IF(Games[[#This Row],[Team]]="","",IF(Games[[#This Row],[Type]]="R",IF(Games[[#This Row],[Result]]=0.5,1,0),0))</f>
        <v>0</v>
      </c>
    </row>
    <row r="264" spans="1:41" x14ac:dyDescent="0.35">
      <c r="A264" s="8">
        <v>35372</v>
      </c>
      <c r="B264">
        <v>1996</v>
      </c>
      <c r="C264" t="s">
        <v>197</v>
      </c>
      <c r="D264" t="s">
        <v>199</v>
      </c>
      <c r="E264" t="s">
        <v>132</v>
      </c>
      <c r="F264" t="s">
        <v>128</v>
      </c>
      <c r="G264" t="s">
        <v>200</v>
      </c>
      <c r="H264">
        <v>42</v>
      </c>
      <c r="I264">
        <v>23</v>
      </c>
      <c r="J264">
        <v>0</v>
      </c>
      <c r="K26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6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6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6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64">
        <f>IF(Games[[#This Row],[Team]]="","",IF(Games[[#This Row],[Conf]]=Games[[#This Row],[OppConf]],1,0))</f>
        <v>1</v>
      </c>
      <c r="P264">
        <f>IF(Games[[#This Row],[Team]]="","",IF(AND(Games[[#This Row],[Conf]]=Games[[#This Row],[OppConf]],Games[[#This Row],[Div]]=Games[[#This Row],[OppDiv]]),1,0))</f>
        <v>1</v>
      </c>
      <c r="Q264">
        <f>IF(Games[[#This Row],[Team]]="","",_xlfn.MINIFS(Games[Date],Games[Season],Games[[#This Row],[Season]]))</f>
        <v>35309</v>
      </c>
      <c r="R264">
        <f>IF(Games[[#This Row],[Team]]="","",INT((Games[[#This Row],[Date]]-(Games[[#This Row],[SeasonStart]]-MOD(WEEKDAY(Games[[#This Row],[SeasonStart]],2)-2,7)))/7)+1)</f>
        <v>10</v>
      </c>
      <c r="S264">
        <f>IF(Games[[#This Row],[Team]]="","",COUNTIFS(Games[Team],Games[[#This Row],[Team]],Games[Season],Games[[#This Row],[Season]],Games[Week],"&lt;="&amp;Games[[#This Row],[Week]]))</f>
        <v>9</v>
      </c>
      <c r="T264">
        <f>IF(Games[[#This Row],[Team]]="","",_xlfn.MAXIFS(Games[Week],Games[Team],Games[[#This Row],[Team]],Games[Season],Games[[#This Row],[Season]],Games[Week],"&lt;"&amp;Games[[#This Row],[Week]]))</f>
        <v>9</v>
      </c>
      <c r="U264">
        <f>IF(Games[[#This Row],[Team]]="","",_xlfn.MAXIFS(Games[Week],Games[Team],Games[[#This Row],[Opponent]],Games[Season],Games[[#This Row],[Season]],Games[Week],"&lt;"&amp;Games[[#This Row],[Week]]))</f>
        <v>9</v>
      </c>
      <c r="V26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6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6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6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1561.7213937721497</v>
      </c>
      <c r="Z26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1522.5184059647415</v>
      </c>
      <c r="AA26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0.65478417018130308</v>
      </c>
      <c r="AB264">
        <f>IF(Games[[#This Row],[Team]]="","",Games[[#This Row],[PointsFor]]-Games[[#This Row],[PointsAgainst]])</f>
        <v>19</v>
      </c>
      <c r="AC264">
        <f>IF(Games[[#This Row],[Team]]="","",IF(Games[[#This Row],[MOV]]&gt;0,1,IF(Games[[#This Row],[MOV]]=0,0.5,0)))</f>
        <v>1</v>
      </c>
      <c r="AD264">
        <f>IF(Games[[#This Row],[Team]]="","",--(OR(AND(Games[[#This Row],[ExpectedWin]]&gt;=0.5,Games[[#This Row],[Result]]=1),AND(Games[[#This Row],[ExpectedWin]]&lt;0.5,Games[[#This Row],[Result]]=0))))</f>
        <v>1</v>
      </c>
      <c r="AE264">
        <f>IF(Games[[#This Row],[Team]]="","",-(Games[[#This Row],[Result]]*LN(Games[[#This Row],[ExpectedWin]])+(1-Games[[#This Row],[Result]])*LN(1-Games[[#This Row],[ExpectedWin]])))</f>
        <v>0.42344960882120375</v>
      </c>
      <c r="AF264">
        <f>IF(Games[[#This Row],[Team]]="","",IF(Games[[#This Row],[Season]]&gt;=2021,17,16))</f>
        <v>16</v>
      </c>
      <c r="AG264">
        <f>IF(Games[[#This Row],[Team]]="","",KMax-(KMax-KFloor)*MIN(Games[[#This Row],[GamesPlayed]],Games[[#This Row],[SeasonLen]])/Games[[#This Row],[SeasonLen]])</f>
        <v>40.487500000000004</v>
      </c>
      <c r="AH264">
        <f>IF(Games[[#This Row],[Team]]="","",((ABS(Games[[#This Row],[MOV]])+3)^0.8)/(7.5+0.006*ABS(Games[[#This Row],[PreGmRate]]-Games[[#This Row],[OppPreGmRate]]))*IF(Games[[#This Row],[OT]]=1,0.7,1))</f>
        <v>1.5327297636560058</v>
      </c>
      <c r="AI26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4">
        <f>IF(Games[[#This Row],[Team]]="","",Games[[#This Row],[K]]*IF(Games[[#This Row],[DivG]]=1,DivMult,1)*IF(Games[[#This Row],[ConfG]]=1,ConfMult,1)*Games[[#This Row],[POMult]])</f>
        <v>45.426975000000013</v>
      </c>
      <c r="AK264">
        <f>IF(Games[[#This Row],[Team]]="","",(Games[[#This Row],[Keff]]*Games[[#This Row],[MOVMult]])*(Games[[#This Row],[Result]]-Games[[#This Row],[ExpectedWin]]))</f>
        <v>24.036438088595158</v>
      </c>
      <c r="AL264">
        <f>IF(Games[[#This Row],[Team]]="","",Games[[#This Row],[PreGmRate]]+Games[[#This Row],[RatingChange]])</f>
        <v>1585.7578318607448</v>
      </c>
      <c r="AM264">
        <f>IF(Games[[#This Row],[Team]]="","",IF(Games[[#This Row],[Type]]="R",IF(Games[[#This Row],[Result]]&gt;0.5,1,0),0))</f>
        <v>1</v>
      </c>
      <c r="AN264">
        <f>IF(Games[[#This Row],[Team]]="","",IF(Games[[#This Row],[Type]]="R",IF(Games[[#This Row],[Result]]&lt;0.5,1,0),0))</f>
        <v>0</v>
      </c>
      <c r="AO264">
        <f>IF(Games[[#This Row],[Team]]="","",IF(Games[[#This Row],[Type]]="R",IF(Games[[#This Row],[Result]]=0.5,1,0),0))</f>
        <v>0</v>
      </c>
    </row>
    <row r="265" spans="1:41" x14ac:dyDescent="0.35">
      <c r="A265" s="8">
        <v>35372</v>
      </c>
      <c r="B265">
        <v>1996</v>
      </c>
      <c r="C265" t="s">
        <v>197</v>
      </c>
      <c r="D265" t="s">
        <v>199</v>
      </c>
      <c r="E265" t="s">
        <v>128</v>
      </c>
      <c r="F265" t="s">
        <v>132</v>
      </c>
      <c r="G265" t="s">
        <v>201</v>
      </c>
      <c r="H265">
        <v>23</v>
      </c>
      <c r="I265">
        <v>42</v>
      </c>
      <c r="J265">
        <v>0</v>
      </c>
      <c r="K26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6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6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6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65">
        <f>IF(Games[[#This Row],[Team]]="","",IF(Games[[#This Row],[Conf]]=Games[[#This Row],[OppConf]],1,0))</f>
        <v>1</v>
      </c>
      <c r="P265">
        <f>IF(Games[[#This Row],[Team]]="","",IF(AND(Games[[#This Row],[Conf]]=Games[[#This Row],[OppConf]],Games[[#This Row],[Div]]=Games[[#This Row],[OppDiv]]),1,0))</f>
        <v>1</v>
      </c>
      <c r="Q265">
        <f>IF(Games[[#This Row],[Team]]="","",_xlfn.MINIFS(Games[Date],Games[Season],Games[[#This Row],[Season]]))</f>
        <v>35309</v>
      </c>
      <c r="R265">
        <f>IF(Games[[#This Row],[Team]]="","",INT((Games[[#This Row],[Date]]-(Games[[#This Row],[SeasonStart]]-MOD(WEEKDAY(Games[[#This Row],[SeasonStart]],2)-2,7)))/7)+1)</f>
        <v>10</v>
      </c>
      <c r="S265">
        <f>IF(Games[[#This Row],[Team]]="","",COUNTIFS(Games[Team],Games[[#This Row],[Team]],Games[Season],Games[[#This Row],[Season]],Games[Week],"&lt;="&amp;Games[[#This Row],[Week]]))</f>
        <v>9</v>
      </c>
      <c r="T265">
        <f>IF(Games[[#This Row],[Team]]="","",_xlfn.MAXIFS(Games[Week],Games[Team],Games[[#This Row],[Team]],Games[Season],Games[[#This Row],[Season]],Games[Week],"&lt;"&amp;Games[[#This Row],[Week]]))</f>
        <v>9</v>
      </c>
      <c r="U265">
        <f>IF(Games[[#This Row],[Team]]="","",_xlfn.MAXIFS(Games[Week],Games[Team],Games[[#This Row],[Opponent]],Games[Season],Games[[#This Row],[Season]],Games[Week],"&lt;"&amp;Games[[#This Row],[Week]]))</f>
        <v>9</v>
      </c>
      <c r="V26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6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6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6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1522.5184059647415</v>
      </c>
      <c r="Z26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1561.7213937721497</v>
      </c>
      <c r="AA26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0.34521582981869697</v>
      </c>
      <c r="AB265">
        <f>IF(Games[[#This Row],[Team]]="","",Games[[#This Row],[PointsFor]]-Games[[#This Row],[PointsAgainst]])</f>
        <v>-19</v>
      </c>
      <c r="AC265">
        <f>IF(Games[[#This Row],[Team]]="","",IF(Games[[#This Row],[MOV]]&gt;0,1,IF(Games[[#This Row],[MOV]]=0,0.5,0)))</f>
        <v>0</v>
      </c>
      <c r="AD265">
        <f>IF(Games[[#This Row],[Team]]="","",--(OR(AND(Games[[#This Row],[ExpectedWin]]&gt;=0.5,Games[[#This Row],[Result]]=1),AND(Games[[#This Row],[ExpectedWin]]&lt;0.5,Games[[#This Row],[Result]]=0))))</f>
        <v>1</v>
      </c>
      <c r="AE265">
        <f>IF(Games[[#This Row],[Team]]="","",-(Games[[#This Row],[Result]]*LN(Games[[#This Row],[ExpectedWin]])+(1-Games[[#This Row],[Result]])*LN(1-Games[[#This Row],[ExpectedWin]])))</f>
        <v>0.42344960882120375</v>
      </c>
      <c r="AF265">
        <f>IF(Games[[#This Row],[Team]]="","",IF(Games[[#This Row],[Season]]&gt;=2021,17,16))</f>
        <v>16</v>
      </c>
      <c r="AG265">
        <f>IF(Games[[#This Row],[Team]]="","",KMax-(KMax-KFloor)*MIN(Games[[#This Row],[GamesPlayed]],Games[[#This Row],[SeasonLen]])/Games[[#This Row],[SeasonLen]])</f>
        <v>40.487500000000004</v>
      </c>
      <c r="AH265">
        <f>IF(Games[[#This Row],[Team]]="","",((ABS(Games[[#This Row],[MOV]])+3)^0.8)/(7.5+0.006*ABS(Games[[#This Row],[PreGmRate]]-Games[[#This Row],[OppPreGmRate]]))*IF(Games[[#This Row],[OT]]=1,0.7,1))</f>
        <v>1.5327297636560058</v>
      </c>
      <c r="AI26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5">
        <f>IF(Games[[#This Row],[Team]]="","",Games[[#This Row],[K]]*IF(Games[[#This Row],[DivG]]=1,DivMult,1)*IF(Games[[#This Row],[ConfG]]=1,ConfMult,1)*Games[[#This Row],[POMult]])</f>
        <v>45.426975000000013</v>
      </c>
      <c r="AK265">
        <f>IF(Games[[#This Row],[Team]]="","",(Games[[#This Row],[Keff]]*Games[[#This Row],[MOVMult]])*(Games[[#This Row],[Result]]-Games[[#This Row],[ExpectedWin]]))</f>
        <v>-24.036438088595162</v>
      </c>
      <c r="AL265">
        <f>IF(Games[[#This Row],[Team]]="","",Games[[#This Row],[PreGmRate]]+Games[[#This Row],[RatingChange]])</f>
        <v>1498.4819678761464</v>
      </c>
      <c r="AM265">
        <f>IF(Games[[#This Row],[Team]]="","",IF(Games[[#This Row],[Type]]="R",IF(Games[[#This Row],[Result]]&gt;0.5,1,0),0))</f>
        <v>0</v>
      </c>
      <c r="AN265">
        <f>IF(Games[[#This Row],[Team]]="","",IF(Games[[#This Row],[Type]]="R",IF(Games[[#This Row],[Result]]&lt;0.5,1,0),0))</f>
        <v>1</v>
      </c>
      <c r="AO265">
        <f>IF(Games[[#This Row],[Team]]="","",IF(Games[[#This Row],[Type]]="R",IF(Games[[#This Row],[Result]]=0.5,1,0),0))</f>
        <v>0</v>
      </c>
    </row>
    <row r="266" spans="1:41" x14ac:dyDescent="0.35">
      <c r="A266" s="8">
        <v>35372</v>
      </c>
      <c r="B266">
        <v>1996</v>
      </c>
      <c r="C266" t="s">
        <v>197</v>
      </c>
      <c r="D266" t="s">
        <v>199</v>
      </c>
      <c r="E266" t="s">
        <v>146</v>
      </c>
      <c r="F266" t="s">
        <v>153</v>
      </c>
      <c r="G266" t="s">
        <v>200</v>
      </c>
      <c r="H266">
        <v>23</v>
      </c>
      <c r="I266">
        <v>16</v>
      </c>
      <c r="J266">
        <v>0</v>
      </c>
      <c r="K26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6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6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6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66">
        <f>IF(Games[[#This Row],[Team]]="","",IF(Games[[#This Row],[Conf]]=Games[[#This Row],[OppConf]],1,0))</f>
        <v>1</v>
      </c>
      <c r="P266">
        <f>IF(Games[[#This Row],[Team]]="","",IF(AND(Games[[#This Row],[Conf]]=Games[[#This Row],[OppConf]],Games[[#This Row],[Div]]=Games[[#This Row],[OppDiv]]),1,0))</f>
        <v>0</v>
      </c>
      <c r="Q266">
        <f>IF(Games[[#This Row],[Team]]="","",_xlfn.MINIFS(Games[Date],Games[Season],Games[[#This Row],[Season]]))</f>
        <v>35309</v>
      </c>
      <c r="R266">
        <f>IF(Games[[#This Row],[Team]]="","",INT((Games[[#This Row],[Date]]-(Games[[#This Row],[SeasonStart]]-MOD(WEEKDAY(Games[[#This Row],[SeasonStart]],2)-2,7)))/7)+1)</f>
        <v>10</v>
      </c>
      <c r="S266">
        <f>IF(Games[[#This Row],[Team]]="","",COUNTIFS(Games[Team],Games[[#This Row],[Team]],Games[Season],Games[[#This Row],[Season]],Games[Week],"&lt;="&amp;Games[[#This Row],[Week]]))</f>
        <v>9</v>
      </c>
      <c r="T266">
        <f>IF(Games[[#This Row],[Team]]="","",_xlfn.MAXIFS(Games[Week],Games[Team],Games[[#This Row],[Team]],Games[Season],Games[[#This Row],[Season]],Games[Week],"&lt;"&amp;Games[[#This Row],[Week]]))</f>
        <v>9</v>
      </c>
      <c r="U266">
        <f>IF(Games[[#This Row],[Team]]="","",_xlfn.MAXIFS(Games[Week],Games[Team],Games[[#This Row],[Opponent]],Games[Season],Games[[#This Row],[Season]],Games[Week],"&lt;"&amp;Games[[#This Row],[Week]]))</f>
        <v>9</v>
      </c>
      <c r="V26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6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6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6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1446.2653934685682</v>
      </c>
      <c r="Z26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1553.0098177538425</v>
      </c>
      <c r="AA26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0.4501647691741788</v>
      </c>
      <c r="AB266">
        <f>IF(Games[[#This Row],[Team]]="","",Games[[#This Row],[PointsFor]]-Games[[#This Row],[PointsAgainst]])</f>
        <v>7</v>
      </c>
      <c r="AC266">
        <f>IF(Games[[#This Row],[Team]]="","",IF(Games[[#This Row],[MOV]]&gt;0,1,IF(Games[[#This Row],[MOV]]=0,0.5,0)))</f>
        <v>1</v>
      </c>
      <c r="AD266">
        <f>IF(Games[[#This Row],[Team]]="","",--(OR(AND(Games[[#This Row],[ExpectedWin]]&gt;=0.5,Games[[#This Row],[Result]]=1),AND(Games[[#This Row],[ExpectedWin]]&lt;0.5,Games[[#This Row],[Result]]=0))))</f>
        <v>0</v>
      </c>
      <c r="AE266">
        <f>IF(Games[[#This Row],[Team]]="","",-(Games[[#This Row],[Result]]*LN(Games[[#This Row],[ExpectedWin]])+(1-Games[[#This Row],[Result]])*LN(1-Games[[#This Row],[ExpectedWin]])))</f>
        <v>0.79814160951528901</v>
      </c>
      <c r="AF266">
        <f>IF(Games[[#This Row],[Team]]="","",IF(Games[[#This Row],[Season]]&gt;=2021,17,16))</f>
        <v>16</v>
      </c>
      <c r="AG266">
        <f>IF(Games[[#This Row],[Team]]="","",KMax-(KMax-KFloor)*MIN(Games[[#This Row],[GamesPlayed]],Games[[#This Row],[SeasonLen]])/Games[[#This Row],[SeasonLen]])</f>
        <v>40.487500000000004</v>
      </c>
      <c r="AH266">
        <f>IF(Games[[#This Row],[Team]]="","",((ABS(Games[[#This Row],[MOV]])+3)^0.8)/(7.5+0.006*ABS(Games[[#This Row],[PreGmRate]]-Games[[#This Row],[OppPreGmRate]]))*IF(Games[[#This Row],[OT]]=1,0.7,1))</f>
        <v>0.77508744853521738</v>
      </c>
      <c r="AI26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6">
        <f>IF(Games[[#This Row],[Team]]="","",Games[[#This Row],[K]]*IF(Games[[#This Row],[DivG]]=1,DivMult,1)*IF(Games[[#This Row],[ConfG]]=1,ConfMult,1)*Games[[#This Row],[POMult]])</f>
        <v>41.297250000000005</v>
      </c>
      <c r="AK266">
        <f>IF(Games[[#This Row],[Team]]="","",(Games[[#This Row],[Keff]]*Games[[#This Row],[MOVMult]])*(Games[[#This Row],[Result]]-Games[[#This Row],[ExpectedWin]]))</f>
        <v>17.599664980488566</v>
      </c>
      <c r="AL266">
        <f>IF(Games[[#This Row],[Team]]="","",Games[[#This Row],[PreGmRate]]+Games[[#This Row],[RatingChange]])</f>
        <v>1463.8650584490567</v>
      </c>
      <c r="AM266">
        <f>IF(Games[[#This Row],[Team]]="","",IF(Games[[#This Row],[Type]]="R",IF(Games[[#This Row],[Result]]&gt;0.5,1,0),0))</f>
        <v>1</v>
      </c>
      <c r="AN266">
        <f>IF(Games[[#This Row],[Team]]="","",IF(Games[[#This Row],[Type]]="R",IF(Games[[#This Row],[Result]]&lt;0.5,1,0),0))</f>
        <v>0</v>
      </c>
      <c r="AO266">
        <f>IF(Games[[#This Row],[Team]]="","",IF(Games[[#This Row],[Type]]="R",IF(Games[[#This Row],[Result]]=0.5,1,0),0))</f>
        <v>0</v>
      </c>
    </row>
    <row r="267" spans="1:41" x14ac:dyDescent="0.35">
      <c r="A267" s="8">
        <v>35372</v>
      </c>
      <c r="B267">
        <v>1996</v>
      </c>
      <c r="C267" t="s">
        <v>197</v>
      </c>
      <c r="D267" t="s">
        <v>199</v>
      </c>
      <c r="E267" t="s">
        <v>153</v>
      </c>
      <c r="F267" t="s">
        <v>146</v>
      </c>
      <c r="G267" t="s">
        <v>201</v>
      </c>
      <c r="H267">
        <v>16</v>
      </c>
      <c r="I267">
        <v>23</v>
      </c>
      <c r="J267">
        <v>0</v>
      </c>
      <c r="K26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6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6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6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67">
        <f>IF(Games[[#This Row],[Team]]="","",IF(Games[[#This Row],[Conf]]=Games[[#This Row],[OppConf]],1,0))</f>
        <v>1</v>
      </c>
      <c r="P267">
        <f>IF(Games[[#This Row],[Team]]="","",IF(AND(Games[[#This Row],[Conf]]=Games[[#This Row],[OppConf]],Games[[#This Row],[Div]]=Games[[#This Row],[OppDiv]]),1,0))</f>
        <v>0</v>
      </c>
      <c r="Q267">
        <f>IF(Games[[#This Row],[Team]]="","",_xlfn.MINIFS(Games[Date],Games[Season],Games[[#This Row],[Season]]))</f>
        <v>35309</v>
      </c>
      <c r="R267">
        <f>IF(Games[[#This Row],[Team]]="","",INT((Games[[#This Row],[Date]]-(Games[[#This Row],[SeasonStart]]-MOD(WEEKDAY(Games[[#This Row],[SeasonStart]],2)-2,7)))/7)+1)</f>
        <v>10</v>
      </c>
      <c r="S267">
        <f>IF(Games[[#This Row],[Team]]="","",COUNTIFS(Games[Team],Games[[#This Row],[Team]],Games[Season],Games[[#This Row],[Season]],Games[Week],"&lt;="&amp;Games[[#This Row],[Week]]))</f>
        <v>9</v>
      </c>
      <c r="T267">
        <f>IF(Games[[#This Row],[Team]]="","",_xlfn.MAXIFS(Games[Week],Games[Team],Games[[#This Row],[Team]],Games[Season],Games[[#This Row],[Season]],Games[Week],"&lt;"&amp;Games[[#This Row],[Week]]))</f>
        <v>9</v>
      </c>
      <c r="U267">
        <f>IF(Games[[#This Row],[Team]]="","",_xlfn.MAXIFS(Games[Week],Games[Team],Games[[#This Row],[Opponent]],Games[Season],Games[[#This Row],[Season]],Games[Week],"&lt;"&amp;Games[[#This Row],[Week]]))</f>
        <v>9</v>
      </c>
      <c r="V26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6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6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6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1553.0098177538425</v>
      </c>
      <c r="Z26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1446.2653934685682</v>
      </c>
      <c r="AA26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0.5498352308258212</v>
      </c>
      <c r="AB267">
        <f>IF(Games[[#This Row],[Team]]="","",Games[[#This Row],[PointsFor]]-Games[[#This Row],[PointsAgainst]])</f>
        <v>-7</v>
      </c>
      <c r="AC267">
        <f>IF(Games[[#This Row],[Team]]="","",IF(Games[[#This Row],[MOV]]&gt;0,1,IF(Games[[#This Row],[MOV]]=0,0.5,0)))</f>
        <v>0</v>
      </c>
      <c r="AD267">
        <f>IF(Games[[#This Row],[Team]]="","",--(OR(AND(Games[[#This Row],[ExpectedWin]]&gt;=0.5,Games[[#This Row],[Result]]=1),AND(Games[[#This Row],[ExpectedWin]]&lt;0.5,Games[[#This Row],[Result]]=0))))</f>
        <v>0</v>
      </c>
      <c r="AE267">
        <f>IF(Games[[#This Row],[Team]]="","",-(Games[[#This Row],[Result]]*LN(Games[[#This Row],[ExpectedWin]])+(1-Games[[#This Row],[Result]])*LN(1-Games[[#This Row],[ExpectedWin]])))</f>
        <v>0.79814160951528901</v>
      </c>
      <c r="AF267">
        <f>IF(Games[[#This Row],[Team]]="","",IF(Games[[#This Row],[Season]]&gt;=2021,17,16))</f>
        <v>16</v>
      </c>
      <c r="AG267">
        <f>IF(Games[[#This Row],[Team]]="","",KMax-(KMax-KFloor)*MIN(Games[[#This Row],[GamesPlayed]],Games[[#This Row],[SeasonLen]])/Games[[#This Row],[SeasonLen]])</f>
        <v>40.487500000000004</v>
      </c>
      <c r="AH267">
        <f>IF(Games[[#This Row],[Team]]="","",((ABS(Games[[#This Row],[MOV]])+3)^0.8)/(7.5+0.006*ABS(Games[[#This Row],[PreGmRate]]-Games[[#This Row],[OppPreGmRate]]))*IF(Games[[#This Row],[OT]]=1,0.7,1))</f>
        <v>0.77508744853521738</v>
      </c>
      <c r="AI26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7">
        <f>IF(Games[[#This Row],[Team]]="","",Games[[#This Row],[K]]*IF(Games[[#This Row],[DivG]]=1,DivMult,1)*IF(Games[[#This Row],[ConfG]]=1,ConfMult,1)*Games[[#This Row],[POMult]])</f>
        <v>41.297250000000005</v>
      </c>
      <c r="AK267">
        <f>IF(Games[[#This Row],[Team]]="","",(Games[[#This Row],[Keff]]*Games[[#This Row],[MOVMult]])*(Games[[#This Row],[Result]]-Games[[#This Row],[ExpectedWin]]))</f>
        <v>-17.599664980488566</v>
      </c>
      <c r="AL267">
        <f>IF(Games[[#This Row],[Team]]="","",Games[[#This Row],[PreGmRate]]+Games[[#This Row],[RatingChange]])</f>
        <v>1535.410152773354</v>
      </c>
      <c r="AM267">
        <f>IF(Games[[#This Row],[Team]]="","",IF(Games[[#This Row],[Type]]="R",IF(Games[[#This Row],[Result]]&gt;0.5,1,0),0))</f>
        <v>0</v>
      </c>
      <c r="AN267">
        <f>IF(Games[[#This Row],[Team]]="","",IF(Games[[#This Row],[Type]]="R",IF(Games[[#This Row],[Result]]&lt;0.5,1,0),0))</f>
        <v>1</v>
      </c>
      <c r="AO267">
        <f>IF(Games[[#This Row],[Team]]="","",IF(Games[[#This Row],[Type]]="R",IF(Games[[#This Row],[Result]]=0.5,1,0),0))</f>
        <v>0</v>
      </c>
    </row>
    <row r="268" spans="1:41" x14ac:dyDescent="0.35">
      <c r="A268" s="8">
        <v>35372</v>
      </c>
      <c r="B268">
        <v>1996</v>
      </c>
      <c r="C268" t="s">
        <v>197</v>
      </c>
      <c r="D268" t="s">
        <v>199</v>
      </c>
      <c r="E268" t="s">
        <v>148</v>
      </c>
      <c r="F268" t="s">
        <v>134</v>
      </c>
      <c r="G268" t="s">
        <v>201</v>
      </c>
      <c r="H268">
        <v>24</v>
      </c>
      <c r="I268">
        <v>17</v>
      </c>
      <c r="J268">
        <v>0</v>
      </c>
      <c r="K26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6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6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6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68">
        <f>IF(Games[[#This Row],[Team]]="","",IF(Games[[#This Row],[Conf]]=Games[[#This Row],[OppConf]],1,0))</f>
        <v>1</v>
      </c>
      <c r="P268">
        <f>IF(Games[[#This Row],[Team]]="","",IF(AND(Games[[#This Row],[Conf]]=Games[[#This Row],[OppConf]],Games[[#This Row],[Div]]=Games[[#This Row],[OppDiv]]),1,0))</f>
        <v>1</v>
      </c>
      <c r="Q268">
        <f>IF(Games[[#This Row],[Team]]="","",_xlfn.MINIFS(Games[Date],Games[Season],Games[[#This Row],[Season]]))</f>
        <v>35309</v>
      </c>
      <c r="R268">
        <f>IF(Games[[#This Row],[Team]]="","",INT((Games[[#This Row],[Date]]-(Games[[#This Row],[SeasonStart]]-MOD(WEEKDAY(Games[[#This Row],[SeasonStart]],2)-2,7)))/7)+1)</f>
        <v>10</v>
      </c>
      <c r="S268">
        <f>IF(Games[[#This Row],[Team]]="","",COUNTIFS(Games[Team],Games[[#This Row],[Team]],Games[Season],Games[[#This Row],[Season]],Games[Week],"&lt;="&amp;Games[[#This Row],[Week]]))</f>
        <v>9</v>
      </c>
      <c r="T268">
        <f>IF(Games[[#This Row],[Team]]="","",_xlfn.MAXIFS(Games[Week],Games[Team],Games[[#This Row],[Team]],Games[Season],Games[[#This Row],[Season]],Games[Week],"&lt;"&amp;Games[[#This Row],[Week]]))</f>
        <v>9</v>
      </c>
      <c r="U268">
        <f>IF(Games[[#This Row],[Team]]="","",_xlfn.MAXIFS(Games[Week],Games[Team],Games[[#This Row],[Opponent]],Games[Season],Games[[#This Row],[Season]],Games[Week],"&lt;"&amp;Games[[#This Row],[Week]]))</f>
        <v>8</v>
      </c>
      <c r="V26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6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26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26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1603.0043183084319</v>
      </c>
      <c r="Z26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1403.8518452469343</v>
      </c>
      <c r="AA26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0.64423504608912785</v>
      </c>
      <c r="AB268">
        <f>IF(Games[[#This Row],[Team]]="","",Games[[#This Row],[PointsFor]]-Games[[#This Row],[PointsAgainst]])</f>
        <v>7</v>
      </c>
      <c r="AC268">
        <f>IF(Games[[#This Row],[Team]]="","",IF(Games[[#This Row],[MOV]]&gt;0,1,IF(Games[[#This Row],[MOV]]=0,0.5,0)))</f>
        <v>1</v>
      </c>
      <c r="AD268">
        <f>IF(Games[[#This Row],[Team]]="","",--(OR(AND(Games[[#This Row],[ExpectedWin]]&gt;=0.5,Games[[#This Row],[Result]]=1),AND(Games[[#This Row],[ExpectedWin]]&lt;0.5,Games[[#This Row],[Result]]=0))))</f>
        <v>1</v>
      </c>
      <c r="AE268">
        <f>IF(Games[[#This Row],[Team]]="","",-(Games[[#This Row],[Result]]*LN(Games[[#This Row],[ExpectedWin]])+(1-Games[[#This Row],[Result]])*LN(1-Games[[#This Row],[ExpectedWin]])))</f>
        <v>0.43969164106693082</v>
      </c>
      <c r="AF268">
        <f>IF(Games[[#This Row],[Team]]="","",IF(Games[[#This Row],[Season]]&gt;=2021,17,16))</f>
        <v>16</v>
      </c>
      <c r="AG268">
        <f>IF(Games[[#This Row],[Team]]="","",KMax-(KMax-KFloor)*MIN(Games[[#This Row],[GamesPlayed]],Games[[#This Row],[SeasonLen]])/Games[[#This Row],[SeasonLen]])</f>
        <v>40.487500000000004</v>
      </c>
      <c r="AH268">
        <f>IF(Games[[#This Row],[Team]]="","",((ABS(Games[[#This Row],[MOV]])+3)^0.8)/(7.5+0.006*ABS(Games[[#This Row],[PreGmRate]]-Games[[#This Row],[OppPreGmRate]]))*IF(Games[[#This Row],[OT]]=1,0.7,1))</f>
        <v>0.72566247767706715</v>
      </c>
      <c r="AI26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8">
        <f>IF(Games[[#This Row],[Team]]="","",Games[[#This Row],[K]]*IF(Games[[#This Row],[DivG]]=1,DivMult,1)*IF(Games[[#This Row],[ConfG]]=1,ConfMult,1)*Games[[#This Row],[POMult]])</f>
        <v>45.426975000000013</v>
      </c>
      <c r="AK268">
        <f>IF(Games[[#This Row],[Team]]="","",(Games[[#This Row],[Keff]]*Games[[#This Row],[MOVMult]])*(Games[[#This Row],[Result]]-Games[[#This Row],[ExpectedWin]]))</f>
        <v>11.7276676261957</v>
      </c>
      <c r="AL268">
        <f>IF(Games[[#This Row],[Team]]="","",Games[[#This Row],[PreGmRate]]+Games[[#This Row],[RatingChange]])</f>
        <v>1614.7319859346276</v>
      </c>
      <c r="AM268">
        <f>IF(Games[[#This Row],[Team]]="","",IF(Games[[#This Row],[Type]]="R",IF(Games[[#This Row],[Result]]&gt;0.5,1,0),0))</f>
        <v>1</v>
      </c>
      <c r="AN268">
        <f>IF(Games[[#This Row],[Team]]="","",IF(Games[[#This Row],[Type]]="R",IF(Games[[#This Row],[Result]]&lt;0.5,1,0),0))</f>
        <v>0</v>
      </c>
      <c r="AO268">
        <f>IF(Games[[#This Row],[Team]]="","",IF(Games[[#This Row],[Type]]="R",IF(Games[[#This Row],[Result]]=0.5,1,0),0))</f>
        <v>0</v>
      </c>
    </row>
    <row r="269" spans="1:41" x14ac:dyDescent="0.35">
      <c r="A269" s="8">
        <v>35372</v>
      </c>
      <c r="B269">
        <v>1996</v>
      </c>
      <c r="C269" t="s">
        <v>197</v>
      </c>
      <c r="D269" t="s">
        <v>199</v>
      </c>
      <c r="E269" t="s">
        <v>134</v>
      </c>
      <c r="F269" t="s">
        <v>148</v>
      </c>
      <c r="G269" t="s">
        <v>200</v>
      </c>
      <c r="H269">
        <v>17</v>
      </c>
      <c r="I269">
        <v>24</v>
      </c>
      <c r="J269">
        <v>0</v>
      </c>
      <c r="K26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6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6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6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69">
        <f>IF(Games[[#This Row],[Team]]="","",IF(Games[[#This Row],[Conf]]=Games[[#This Row],[OppConf]],1,0))</f>
        <v>1</v>
      </c>
      <c r="P269">
        <f>IF(Games[[#This Row],[Team]]="","",IF(AND(Games[[#This Row],[Conf]]=Games[[#This Row],[OppConf]],Games[[#This Row],[Div]]=Games[[#This Row],[OppDiv]]),1,0))</f>
        <v>1</v>
      </c>
      <c r="Q269">
        <f>IF(Games[[#This Row],[Team]]="","",_xlfn.MINIFS(Games[Date],Games[Season],Games[[#This Row],[Season]]))</f>
        <v>35309</v>
      </c>
      <c r="R269">
        <f>IF(Games[[#This Row],[Team]]="","",INT((Games[[#This Row],[Date]]-(Games[[#This Row],[SeasonStart]]-MOD(WEEKDAY(Games[[#This Row],[SeasonStart]],2)-2,7)))/7)+1)</f>
        <v>10</v>
      </c>
      <c r="S269">
        <f>IF(Games[[#This Row],[Team]]="","",COUNTIFS(Games[Team],Games[[#This Row],[Team]],Games[Season],Games[[#This Row],[Season]],Games[Week],"&lt;="&amp;Games[[#This Row],[Week]]))</f>
        <v>9</v>
      </c>
      <c r="T269">
        <f>IF(Games[[#This Row],[Team]]="","",_xlfn.MAXIFS(Games[Week],Games[Team],Games[[#This Row],[Team]],Games[Season],Games[[#This Row],[Season]],Games[Week],"&lt;"&amp;Games[[#This Row],[Week]]))</f>
        <v>8</v>
      </c>
      <c r="U269">
        <f>IF(Games[[#This Row],[Team]]="","",_xlfn.MAXIFS(Games[Week],Games[Team],Games[[#This Row],[Opponent]],Games[Season],Games[[#This Row],[Season]],Games[Week],"&lt;"&amp;Games[[#This Row],[Week]]))</f>
        <v>9</v>
      </c>
      <c r="V26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26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6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26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1403.8518452469343</v>
      </c>
      <c r="Z26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1603.0043183084319</v>
      </c>
      <c r="AA26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0.35576495391087226</v>
      </c>
      <c r="AB269">
        <f>IF(Games[[#This Row],[Team]]="","",Games[[#This Row],[PointsFor]]-Games[[#This Row],[PointsAgainst]])</f>
        <v>-7</v>
      </c>
      <c r="AC269">
        <f>IF(Games[[#This Row],[Team]]="","",IF(Games[[#This Row],[MOV]]&gt;0,1,IF(Games[[#This Row],[MOV]]=0,0.5,0)))</f>
        <v>0</v>
      </c>
      <c r="AD269">
        <f>IF(Games[[#This Row],[Team]]="","",--(OR(AND(Games[[#This Row],[ExpectedWin]]&gt;=0.5,Games[[#This Row],[Result]]=1),AND(Games[[#This Row],[ExpectedWin]]&lt;0.5,Games[[#This Row],[Result]]=0))))</f>
        <v>1</v>
      </c>
      <c r="AE269">
        <f>IF(Games[[#This Row],[Team]]="","",-(Games[[#This Row],[Result]]*LN(Games[[#This Row],[ExpectedWin]])+(1-Games[[#This Row],[Result]])*LN(1-Games[[#This Row],[ExpectedWin]])))</f>
        <v>0.43969164106693098</v>
      </c>
      <c r="AF269">
        <f>IF(Games[[#This Row],[Team]]="","",IF(Games[[#This Row],[Season]]&gt;=2021,17,16))</f>
        <v>16</v>
      </c>
      <c r="AG269">
        <f>IF(Games[[#This Row],[Team]]="","",KMax-(KMax-KFloor)*MIN(Games[[#This Row],[GamesPlayed]],Games[[#This Row],[SeasonLen]])/Games[[#This Row],[SeasonLen]])</f>
        <v>40.487500000000004</v>
      </c>
      <c r="AH269">
        <f>IF(Games[[#This Row],[Team]]="","",((ABS(Games[[#This Row],[MOV]])+3)^0.8)/(7.5+0.006*ABS(Games[[#This Row],[PreGmRate]]-Games[[#This Row],[OppPreGmRate]]))*IF(Games[[#This Row],[OT]]=1,0.7,1))</f>
        <v>0.72566247767706715</v>
      </c>
      <c r="AI26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9">
        <f>IF(Games[[#This Row],[Team]]="","",Games[[#This Row],[K]]*IF(Games[[#This Row],[DivG]]=1,DivMult,1)*IF(Games[[#This Row],[ConfG]]=1,ConfMult,1)*Games[[#This Row],[POMult]])</f>
        <v>45.426975000000013</v>
      </c>
      <c r="AK269">
        <f>IF(Games[[#This Row],[Team]]="","",(Games[[#This Row],[Keff]]*Games[[#This Row],[MOVMult]])*(Games[[#This Row],[Result]]-Games[[#This Row],[ExpectedWin]]))</f>
        <v>-11.727667626195704</v>
      </c>
      <c r="AL269">
        <f>IF(Games[[#This Row],[Team]]="","",Games[[#This Row],[PreGmRate]]+Games[[#This Row],[RatingChange]])</f>
        <v>1392.1241776207387</v>
      </c>
      <c r="AM269">
        <f>IF(Games[[#This Row],[Team]]="","",IF(Games[[#This Row],[Type]]="R",IF(Games[[#This Row],[Result]]&gt;0.5,1,0),0))</f>
        <v>0</v>
      </c>
      <c r="AN269">
        <f>IF(Games[[#This Row],[Team]]="","",IF(Games[[#This Row],[Type]]="R",IF(Games[[#This Row],[Result]]&lt;0.5,1,0),0))</f>
        <v>1</v>
      </c>
      <c r="AO269">
        <f>IF(Games[[#This Row],[Team]]="","",IF(Games[[#This Row],[Type]]="R",IF(Games[[#This Row],[Result]]=0.5,1,0),0))</f>
        <v>0</v>
      </c>
    </row>
    <row r="270" spans="1:41" x14ac:dyDescent="0.35">
      <c r="A270" s="8">
        <v>35373</v>
      </c>
      <c r="B270">
        <v>1996</v>
      </c>
      <c r="C270" t="s">
        <v>197</v>
      </c>
      <c r="D270" t="s">
        <v>199</v>
      </c>
      <c r="E270" t="s">
        <v>116</v>
      </c>
      <c r="F270" t="s">
        <v>140</v>
      </c>
      <c r="G270" t="s">
        <v>201</v>
      </c>
      <c r="H270">
        <v>22</v>
      </c>
      <c r="I270">
        <v>21</v>
      </c>
      <c r="J270">
        <v>0</v>
      </c>
      <c r="K27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7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7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7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70">
        <f>IF(Games[[#This Row],[Team]]="","",IF(Games[[#This Row],[Conf]]=Games[[#This Row],[OppConf]],1,0))</f>
        <v>1</v>
      </c>
      <c r="P270">
        <f>IF(Games[[#This Row],[Team]]="","",IF(AND(Games[[#This Row],[Conf]]=Games[[#This Row],[OppConf]],Games[[#This Row],[Div]]=Games[[#This Row],[OppDiv]]),1,0))</f>
        <v>1</v>
      </c>
      <c r="Q270">
        <f>IF(Games[[#This Row],[Team]]="","",_xlfn.MINIFS(Games[Date],Games[Season],Games[[#This Row],[Season]]))</f>
        <v>35309</v>
      </c>
      <c r="R270">
        <f>IF(Games[[#This Row],[Team]]="","",INT((Games[[#This Row],[Date]]-(Games[[#This Row],[SeasonStart]]-MOD(WEEKDAY(Games[[#This Row],[SeasonStart]],2)-2,7)))/7)+1)</f>
        <v>10</v>
      </c>
      <c r="S270">
        <f>IF(Games[[#This Row],[Team]]="","",COUNTIFS(Games[Team],Games[[#This Row],[Team]],Games[Season],Games[[#This Row],[Season]],Games[Week],"&lt;="&amp;Games[[#This Row],[Week]]))</f>
        <v>9</v>
      </c>
      <c r="T270">
        <f>IF(Games[[#This Row],[Team]]="","",_xlfn.MAXIFS(Games[Week],Games[Team],Games[[#This Row],[Team]],Games[Season],Games[[#This Row],[Season]],Games[Week],"&lt;"&amp;Games[[#This Row],[Week]]))</f>
        <v>9</v>
      </c>
      <c r="U270">
        <f>IF(Games[[#This Row],[Team]]="","",_xlfn.MAXIFS(Games[Week],Games[Team],Games[[#This Row],[Opponent]],Games[Season],Games[[#This Row],[Season]],Games[Week],"&lt;"&amp;Games[[#This Row],[Week]]))</f>
        <v>8</v>
      </c>
      <c r="V27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27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27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27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1628.6880141429488</v>
      </c>
      <c r="Z27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1549.6275992580477</v>
      </c>
      <c r="AA27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0.47564127580001725</v>
      </c>
      <c r="AB270">
        <f>IF(Games[[#This Row],[Team]]="","",Games[[#This Row],[PointsFor]]-Games[[#This Row],[PointsAgainst]])</f>
        <v>1</v>
      </c>
      <c r="AC270">
        <f>IF(Games[[#This Row],[Team]]="","",IF(Games[[#This Row],[MOV]]&gt;0,1,IF(Games[[#This Row],[MOV]]=0,0.5,0)))</f>
        <v>1</v>
      </c>
      <c r="AD270">
        <f>IF(Games[[#This Row],[Team]]="","",--(OR(AND(Games[[#This Row],[ExpectedWin]]&gt;=0.5,Games[[#This Row],[Result]]=1),AND(Games[[#This Row],[ExpectedWin]]&lt;0.5,Games[[#This Row],[Result]]=0))))</f>
        <v>0</v>
      </c>
      <c r="AE270">
        <f>IF(Games[[#This Row],[Team]]="","",-(Games[[#This Row],[Result]]*LN(Games[[#This Row],[ExpectedWin]])+(1-Games[[#This Row],[Result]])*LN(1-Games[[#This Row],[ExpectedWin]])))</f>
        <v>0.74309133113560355</v>
      </c>
      <c r="AF270">
        <f>IF(Games[[#This Row],[Team]]="","",IF(Games[[#This Row],[Season]]&gt;=2021,17,16))</f>
        <v>16</v>
      </c>
      <c r="AG270">
        <f>IF(Games[[#This Row],[Team]]="","",KMax-(KMax-KFloor)*MIN(Games[[#This Row],[GamesPlayed]],Games[[#This Row],[SeasonLen]])/Games[[#This Row],[SeasonLen]])</f>
        <v>40.487500000000004</v>
      </c>
      <c r="AH270">
        <f>IF(Games[[#This Row],[Team]]="","",((ABS(Games[[#This Row],[MOV]])+3)^0.8)/(7.5+0.006*ABS(Games[[#This Row],[PreGmRate]]-Games[[#This Row],[OppPreGmRate]]))*IF(Games[[#This Row],[OT]]=1,0.7,1))</f>
        <v>0.38014739574289447</v>
      </c>
      <c r="AI27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0">
        <f>IF(Games[[#This Row],[Team]]="","",Games[[#This Row],[K]]*IF(Games[[#This Row],[DivG]]=1,DivMult,1)*IF(Games[[#This Row],[ConfG]]=1,ConfMult,1)*Games[[#This Row],[POMult]])</f>
        <v>45.426975000000013</v>
      </c>
      <c r="AK270">
        <f>IF(Games[[#This Row],[Team]]="","",(Games[[#This Row],[Keff]]*Games[[#This Row],[MOVMult]])*(Games[[#This Row],[Result]]-Games[[#This Row],[ExpectedWin]]))</f>
        <v>9.0551226201147195</v>
      </c>
      <c r="AL270">
        <f>IF(Games[[#This Row],[Team]]="","",Games[[#This Row],[PreGmRate]]+Games[[#This Row],[RatingChange]])</f>
        <v>1637.7431367630634</v>
      </c>
      <c r="AM270">
        <f>IF(Games[[#This Row],[Team]]="","",IF(Games[[#This Row],[Type]]="R",IF(Games[[#This Row],[Result]]&gt;0.5,1,0),0))</f>
        <v>1</v>
      </c>
      <c r="AN270">
        <f>IF(Games[[#This Row],[Team]]="","",IF(Games[[#This Row],[Type]]="R",IF(Games[[#This Row],[Result]]&lt;0.5,1,0),0))</f>
        <v>0</v>
      </c>
      <c r="AO270">
        <f>IF(Games[[#This Row],[Team]]="","",IF(Games[[#This Row],[Type]]="R",IF(Games[[#This Row],[Result]]=0.5,1,0),0))</f>
        <v>0</v>
      </c>
    </row>
    <row r="271" spans="1:41" x14ac:dyDescent="0.35">
      <c r="A271" s="8">
        <v>35373</v>
      </c>
      <c r="B271">
        <v>1996</v>
      </c>
      <c r="C271" t="s">
        <v>197</v>
      </c>
      <c r="D271" t="s">
        <v>199</v>
      </c>
      <c r="E271" t="s">
        <v>140</v>
      </c>
      <c r="F271" t="s">
        <v>116</v>
      </c>
      <c r="G271" t="s">
        <v>200</v>
      </c>
      <c r="H271">
        <v>21</v>
      </c>
      <c r="I271">
        <v>22</v>
      </c>
      <c r="J271">
        <v>0</v>
      </c>
      <c r="K27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7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7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7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71">
        <f>IF(Games[[#This Row],[Team]]="","",IF(Games[[#This Row],[Conf]]=Games[[#This Row],[OppConf]],1,0))</f>
        <v>1</v>
      </c>
      <c r="P271">
        <f>IF(Games[[#This Row],[Team]]="","",IF(AND(Games[[#This Row],[Conf]]=Games[[#This Row],[OppConf]],Games[[#This Row],[Div]]=Games[[#This Row],[OppDiv]]),1,0))</f>
        <v>1</v>
      </c>
      <c r="Q271">
        <f>IF(Games[[#This Row],[Team]]="","",_xlfn.MINIFS(Games[Date],Games[Season],Games[[#This Row],[Season]]))</f>
        <v>35309</v>
      </c>
      <c r="R271">
        <f>IF(Games[[#This Row],[Team]]="","",INT((Games[[#This Row],[Date]]-(Games[[#This Row],[SeasonStart]]-MOD(WEEKDAY(Games[[#This Row],[SeasonStart]],2)-2,7)))/7)+1)</f>
        <v>10</v>
      </c>
      <c r="S271">
        <f>IF(Games[[#This Row],[Team]]="","",COUNTIFS(Games[Team],Games[[#This Row],[Team]],Games[Season],Games[[#This Row],[Season]],Games[Week],"&lt;="&amp;Games[[#This Row],[Week]]))</f>
        <v>9</v>
      </c>
      <c r="T271">
        <f>IF(Games[[#This Row],[Team]]="","",_xlfn.MAXIFS(Games[Week],Games[Team],Games[[#This Row],[Team]],Games[Season],Games[[#This Row],[Season]],Games[Week],"&lt;"&amp;Games[[#This Row],[Week]]))</f>
        <v>8</v>
      </c>
      <c r="U271">
        <f>IF(Games[[#This Row],[Team]]="","",_xlfn.MAXIFS(Games[Week],Games[Team],Games[[#This Row],[Opponent]],Games[Season],Games[[#This Row],[Season]],Games[Week],"&lt;"&amp;Games[[#This Row],[Week]]))</f>
        <v>9</v>
      </c>
      <c r="V27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27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27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27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1549.6275992580477</v>
      </c>
      <c r="Z27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1628.6880141429488</v>
      </c>
      <c r="AA27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0.52435872419998275</v>
      </c>
      <c r="AB271">
        <f>IF(Games[[#This Row],[Team]]="","",Games[[#This Row],[PointsFor]]-Games[[#This Row],[PointsAgainst]])</f>
        <v>-1</v>
      </c>
      <c r="AC271">
        <f>IF(Games[[#This Row],[Team]]="","",IF(Games[[#This Row],[MOV]]&gt;0,1,IF(Games[[#This Row],[MOV]]=0,0.5,0)))</f>
        <v>0</v>
      </c>
      <c r="AD271">
        <f>IF(Games[[#This Row],[Team]]="","",--(OR(AND(Games[[#This Row],[ExpectedWin]]&gt;=0.5,Games[[#This Row],[Result]]=1),AND(Games[[#This Row],[ExpectedWin]]&lt;0.5,Games[[#This Row],[Result]]=0))))</f>
        <v>0</v>
      </c>
      <c r="AE271">
        <f>IF(Games[[#This Row],[Team]]="","",-(Games[[#This Row],[Result]]*LN(Games[[#This Row],[ExpectedWin]])+(1-Games[[#This Row],[Result]])*LN(1-Games[[#This Row],[ExpectedWin]])))</f>
        <v>0.74309133113560355</v>
      </c>
      <c r="AF271">
        <f>IF(Games[[#This Row],[Team]]="","",IF(Games[[#This Row],[Season]]&gt;=2021,17,16))</f>
        <v>16</v>
      </c>
      <c r="AG271">
        <f>IF(Games[[#This Row],[Team]]="","",KMax-(KMax-KFloor)*MIN(Games[[#This Row],[GamesPlayed]],Games[[#This Row],[SeasonLen]])/Games[[#This Row],[SeasonLen]])</f>
        <v>40.487500000000004</v>
      </c>
      <c r="AH271">
        <f>IF(Games[[#This Row],[Team]]="","",((ABS(Games[[#This Row],[MOV]])+3)^0.8)/(7.5+0.006*ABS(Games[[#This Row],[PreGmRate]]-Games[[#This Row],[OppPreGmRate]]))*IF(Games[[#This Row],[OT]]=1,0.7,1))</f>
        <v>0.38014739574289447</v>
      </c>
      <c r="AI27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1">
        <f>IF(Games[[#This Row],[Team]]="","",Games[[#This Row],[K]]*IF(Games[[#This Row],[DivG]]=1,DivMult,1)*IF(Games[[#This Row],[ConfG]]=1,ConfMult,1)*Games[[#This Row],[POMult]])</f>
        <v>45.426975000000013</v>
      </c>
      <c r="AK271">
        <f>IF(Games[[#This Row],[Team]]="","",(Games[[#This Row],[Keff]]*Games[[#This Row],[MOVMult]])*(Games[[#This Row],[Result]]-Games[[#This Row],[ExpectedWin]]))</f>
        <v>-9.0551226201147195</v>
      </c>
      <c r="AL271">
        <f>IF(Games[[#This Row],[Team]]="","",Games[[#This Row],[PreGmRate]]+Games[[#This Row],[RatingChange]])</f>
        <v>1540.5724766379331</v>
      </c>
      <c r="AM271">
        <f>IF(Games[[#This Row],[Team]]="","",IF(Games[[#This Row],[Type]]="R",IF(Games[[#This Row],[Result]]&gt;0.5,1,0),0))</f>
        <v>0</v>
      </c>
      <c r="AN271">
        <f>IF(Games[[#This Row],[Team]]="","",IF(Games[[#This Row],[Type]]="R",IF(Games[[#This Row],[Result]]&lt;0.5,1,0),0))</f>
        <v>1</v>
      </c>
      <c r="AO271">
        <f>IF(Games[[#This Row],[Team]]="","",IF(Games[[#This Row],[Type]]="R",IF(Games[[#This Row],[Result]]=0.5,1,0),0))</f>
        <v>0</v>
      </c>
    </row>
    <row r="272" spans="1:41" x14ac:dyDescent="0.35">
      <c r="A272" s="8">
        <v>35379</v>
      </c>
      <c r="B272">
        <v>1996</v>
      </c>
      <c r="C272" t="s">
        <v>197</v>
      </c>
      <c r="D272" t="s">
        <v>199</v>
      </c>
      <c r="E272" t="s">
        <v>150</v>
      </c>
      <c r="F272" t="s">
        <v>98</v>
      </c>
      <c r="G272" t="s">
        <v>200</v>
      </c>
      <c r="H272">
        <v>59</v>
      </c>
      <c r="I272">
        <v>16</v>
      </c>
      <c r="J272">
        <v>0</v>
      </c>
      <c r="K27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7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7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7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72">
        <f>IF(Games[[#This Row],[Team]]="","",IF(Games[[#This Row],[Conf]]=Games[[#This Row],[OppConf]],1,0))</f>
        <v>1</v>
      </c>
      <c r="P272">
        <f>IF(Games[[#This Row],[Team]]="","",IF(AND(Games[[#This Row],[Conf]]=Games[[#This Row],[OppConf]],Games[[#This Row],[Div]]=Games[[#This Row],[OppDiv]]),1,0))</f>
        <v>1</v>
      </c>
      <c r="Q272">
        <f>IF(Games[[#This Row],[Team]]="","",_xlfn.MINIFS(Games[Date],Games[Season],Games[[#This Row],[Season]]))</f>
        <v>35309</v>
      </c>
      <c r="R272">
        <f>IF(Games[[#This Row],[Team]]="","",INT((Games[[#This Row],[Date]]-(Games[[#This Row],[SeasonStart]]-MOD(WEEKDAY(Games[[#This Row],[SeasonStart]],2)-2,7)))/7)+1)</f>
        <v>11</v>
      </c>
      <c r="S272">
        <f>IF(Games[[#This Row],[Team]]="","",COUNTIFS(Games[Team],Games[[#This Row],[Team]],Games[Season],Games[[#This Row],[Season]],Games[Week],"&lt;="&amp;Games[[#This Row],[Week]]))</f>
        <v>10</v>
      </c>
      <c r="T272">
        <f>IF(Games[[#This Row],[Team]]="","",_xlfn.MAXIFS(Games[Week],Games[Team],Games[[#This Row],[Team]],Games[Season],Games[[#This Row],[Season]],Games[Week],"&lt;"&amp;Games[[#This Row],[Week]]))</f>
        <v>10</v>
      </c>
      <c r="U272">
        <f>IF(Games[[#This Row],[Team]]="","",_xlfn.MAXIFS(Games[Week],Games[Team],Games[[#This Row],[Opponent]],Games[Season],Games[[#This Row],[Season]],Games[Week],"&lt;"&amp;Games[[#This Row],[Week]]))</f>
        <v>10</v>
      </c>
      <c r="V27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7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7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7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1381.4405269050483</v>
      </c>
      <c r="Z27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1377.1861075760885</v>
      </c>
      <c r="AA27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0.60801017234302523</v>
      </c>
      <c r="AB272">
        <f>IF(Games[[#This Row],[Team]]="","",Games[[#This Row],[PointsFor]]-Games[[#This Row],[PointsAgainst]])</f>
        <v>43</v>
      </c>
      <c r="AC272">
        <f>IF(Games[[#This Row],[Team]]="","",IF(Games[[#This Row],[MOV]]&gt;0,1,IF(Games[[#This Row],[MOV]]=0,0.5,0)))</f>
        <v>1</v>
      </c>
      <c r="AD272">
        <f>IF(Games[[#This Row],[Team]]="","",--(OR(AND(Games[[#This Row],[ExpectedWin]]&gt;=0.5,Games[[#This Row],[Result]]=1),AND(Games[[#This Row],[ExpectedWin]]&lt;0.5,Games[[#This Row],[Result]]=0))))</f>
        <v>1</v>
      </c>
      <c r="AE272">
        <f>IF(Games[[#This Row],[Team]]="","",-(Games[[#This Row],[Result]]*LN(Games[[#This Row],[ExpectedWin]])+(1-Games[[#This Row],[Result]])*LN(1-Games[[#This Row],[ExpectedWin]])))</f>
        <v>0.49756366632858462</v>
      </c>
      <c r="AF272">
        <f>IF(Games[[#This Row],[Team]]="","",IF(Games[[#This Row],[Season]]&gt;=2021,17,16))</f>
        <v>16</v>
      </c>
      <c r="AG272">
        <f>IF(Games[[#This Row],[Team]]="","",KMax-(KMax-KFloor)*MIN(Games[[#This Row],[GamesPlayed]],Games[[#This Row],[SeasonLen]])/Games[[#This Row],[SeasonLen]])</f>
        <v>39.875</v>
      </c>
      <c r="AH272">
        <f>IF(Games[[#This Row],[Team]]="","",((ABS(Games[[#This Row],[MOV]])+3)^0.8)/(7.5+0.006*ABS(Games[[#This Row],[PreGmRate]]-Games[[#This Row],[OppPreGmRate]]))*IF(Games[[#This Row],[OT]]=1,0.7,1))</f>
        <v>2.8422964657010961</v>
      </c>
      <c r="AI27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2">
        <f>IF(Games[[#This Row],[Team]]="","",Games[[#This Row],[K]]*IF(Games[[#This Row],[DivG]]=1,DivMult,1)*IF(Games[[#This Row],[ConfG]]=1,ConfMult,1)*Games[[#This Row],[POMult]])</f>
        <v>44.739750000000008</v>
      </c>
      <c r="AK272">
        <f>IF(Games[[#This Row],[Team]]="","",(Games[[#This Row],[Keff]]*Games[[#This Row],[MOVMult]])*(Games[[#This Row],[Result]]-Games[[#This Row],[ExpectedWin]]))</f>
        <v>49.846850702031169</v>
      </c>
      <c r="AL272">
        <f>IF(Games[[#This Row],[Team]]="","",Games[[#This Row],[PreGmRate]]+Games[[#This Row],[RatingChange]])</f>
        <v>1431.2873776070794</v>
      </c>
      <c r="AM272">
        <f>IF(Games[[#This Row],[Team]]="","",IF(Games[[#This Row],[Type]]="R",IF(Games[[#This Row],[Result]]&gt;0.5,1,0),0))</f>
        <v>1</v>
      </c>
      <c r="AN272">
        <f>IF(Games[[#This Row],[Team]]="","",IF(Games[[#This Row],[Type]]="R",IF(Games[[#This Row],[Result]]&lt;0.5,1,0),0))</f>
        <v>0</v>
      </c>
      <c r="AO272">
        <f>IF(Games[[#This Row],[Team]]="","",IF(Games[[#This Row],[Type]]="R",IF(Games[[#This Row],[Result]]=0.5,1,0),0))</f>
        <v>0</v>
      </c>
    </row>
    <row r="273" spans="1:41" x14ac:dyDescent="0.35">
      <c r="A273" s="8">
        <v>35379</v>
      </c>
      <c r="B273">
        <v>1996</v>
      </c>
      <c r="C273" t="s">
        <v>197</v>
      </c>
      <c r="D273" t="s">
        <v>199</v>
      </c>
      <c r="E273" t="s">
        <v>98</v>
      </c>
      <c r="F273" t="s">
        <v>150</v>
      </c>
      <c r="G273" t="s">
        <v>201</v>
      </c>
      <c r="H273">
        <v>16</v>
      </c>
      <c r="I273">
        <v>59</v>
      </c>
      <c r="J273">
        <v>0</v>
      </c>
      <c r="K27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7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7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7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73">
        <f>IF(Games[[#This Row],[Team]]="","",IF(Games[[#This Row],[Conf]]=Games[[#This Row],[OppConf]],1,0))</f>
        <v>1</v>
      </c>
      <c r="P273">
        <f>IF(Games[[#This Row],[Team]]="","",IF(AND(Games[[#This Row],[Conf]]=Games[[#This Row],[OppConf]],Games[[#This Row],[Div]]=Games[[#This Row],[OppDiv]]),1,0))</f>
        <v>1</v>
      </c>
      <c r="Q273">
        <f>IF(Games[[#This Row],[Team]]="","",_xlfn.MINIFS(Games[Date],Games[Season],Games[[#This Row],[Season]]))</f>
        <v>35309</v>
      </c>
      <c r="R273">
        <f>IF(Games[[#This Row],[Team]]="","",INT((Games[[#This Row],[Date]]-(Games[[#This Row],[SeasonStart]]-MOD(WEEKDAY(Games[[#This Row],[SeasonStart]],2)-2,7)))/7)+1)</f>
        <v>11</v>
      </c>
      <c r="S273">
        <f>IF(Games[[#This Row],[Team]]="","",COUNTIFS(Games[Team],Games[[#This Row],[Team]],Games[Season],Games[[#This Row],[Season]],Games[Week],"&lt;="&amp;Games[[#This Row],[Week]]))</f>
        <v>10</v>
      </c>
      <c r="T273">
        <f>IF(Games[[#This Row],[Team]]="","",_xlfn.MAXIFS(Games[Week],Games[Team],Games[[#This Row],[Team]],Games[Season],Games[[#This Row],[Season]],Games[Week],"&lt;"&amp;Games[[#This Row],[Week]]))</f>
        <v>10</v>
      </c>
      <c r="U273">
        <f>IF(Games[[#This Row],[Team]]="","",_xlfn.MAXIFS(Games[Week],Games[Team],Games[[#This Row],[Opponent]],Games[Season],Games[[#This Row],[Season]],Games[Week],"&lt;"&amp;Games[[#This Row],[Week]]))</f>
        <v>10</v>
      </c>
      <c r="V27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7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7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7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1377.1861075760885</v>
      </c>
      <c r="Z27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1381.4405269050483</v>
      </c>
      <c r="AA27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0.39198982765697471</v>
      </c>
      <c r="AB273">
        <f>IF(Games[[#This Row],[Team]]="","",Games[[#This Row],[PointsFor]]-Games[[#This Row],[PointsAgainst]])</f>
        <v>-43</v>
      </c>
      <c r="AC273">
        <f>IF(Games[[#This Row],[Team]]="","",IF(Games[[#This Row],[MOV]]&gt;0,1,IF(Games[[#This Row],[MOV]]=0,0.5,0)))</f>
        <v>0</v>
      </c>
      <c r="AD273">
        <f>IF(Games[[#This Row],[Team]]="","",--(OR(AND(Games[[#This Row],[ExpectedWin]]&gt;=0.5,Games[[#This Row],[Result]]=1),AND(Games[[#This Row],[ExpectedWin]]&lt;0.5,Games[[#This Row],[Result]]=0))))</f>
        <v>1</v>
      </c>
      <c r="AE273">
        <f>IF(Games[[#This Row],[Team]]="","",-(Games[[#This Row],[Result]]*LN(Games[[#This Row],[ExpectedWin]])+(1-Games[[#This Row],[Result]])*LN(1-Games[[#This Row],[ExpectedWin]])))</f>
        <v>0.49756366632858445</v>
      </c>
      <c r="AF273">
        <f>IF(Games[[#This Row],[Team]]="","",IF(Games[[#This Row],[Season]]&gt;=2021,17,16))</f>
        <v>16</v>
      </c>
      <c r="AG273">
        <f>IF(Games[[#This Row],[Team]]="","",KMax-(KMax-KFloor)*MIN(Games[[#This Row],[GamesPlayed]],Games[[#This Row],[SeasonLen]])/Games[[#This Row],[SeasonLen]])</f>
        <v>39.875</v>
      </c>
      <c r="AH273">
        <f>IF(Games[[#This Row],[Team]]="","",((ABS(Games[[#This Row],[MOV]])+3)^0.8)/(7.5+0.006*ABS(Games[[#This Row],[PreGmRate]]-Games[[#This Row],[OppPreGmRate]]))*IF(Games[[#This Row],[OT]]=1,0.7,1))</f>
        <v>2.8422964657010961</v>
      </c>
      <c r="AI27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3">
        <f>IF(Games[[#This Row],[Team]]="","",Games[[#This Row],[K]]*IF(Games[[#This Row],[DivG]]=1,DivMult,1)*IF(Games[[#This Row],[ConfG]]=1,ConfMult,1)*Games[[#This Row],[POMult]])</f>
        <v>44.739750000000008</v>
      </c>
      <c r="AK273">
        <f>IF(Games[[#This Row],[Team]]="","",(Games[[#This Row],[Keff]]*Games[[#This Row],[MOVMult]])*(Games[[#This Row],[Result]]-Games[[#This Row],[ExpectedWin]]))</f>
        <v>-49.846850702031162</v>
      </c>
      <c r="AL273">
        <f>IF(Games[[#This Row],[Team]]="","",Games[[#This Row],[PreGmRate]]+Games[[#This Row],[RatingChange]])</f>
        <v>1327.3392568740574</v>
      </c>
      <c r="AM273">
        <f>IF(Games[[#This Row],[Team]]="","",IF(Games[[#This Row],[Type]]="R",IF(Games[[#This Row],[Result]]&gt;0.5,1,0),0))</f>
        <v>0</v>
      </c>
      <c r="AN273">
        <f>IF(Games[[#This Row],[Team]]="","",IF(Games[[#This Row],[Type]]="R",IF(Games[[#This Row],[Result]]&lt;0.5,1,0),0))</f>
        <v>1</v>
      </c>
      <c r="AO273">
        <f>IF(Games[[#This Row],[Team]]="","",IF(Games[[#This Row],[Type]]="R",IF(Games[[#This Row],[Result]]=0.5,1,0),0))</f>
        <v>0</v>
      </c>
    </row>
    <row r="274" spans="1:41" x14ac:dyDescent="0.35">
      <c r="A274" s="8">
        <v>35379</v>
      </c>
      <c r="B274">
        <v>1996</v>
      </c>
      <c r="C274" t="s">
        <v>197</v>
      </c>
      <c r="D274" t="s">
        <v>199</v>
      </c>
      <c r="E274" t="s">
        <v>106</v>
      </c>
      <c r="F274" t="s">
        <v>141</v>
      </c>
      <c r="G274" t="s">
        <v>201</v>
      </c>
      <c r="H274">
        <v>24</v>
      </c>
      <c r="I274">
        <v>17</v>
      </c>
      <c r="J274">
        <v>0</v>
      </c>
      <c r="K27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7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7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7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74">
        <f>IF(Games[[#This Row],[Team]]="","",IF(Games[[#This Row],[Conf]]=Games[[#This Row],[OppConf]],1,0))</f>
        <v>0</v>
      </c>
      <c r="P274">
        <f>IF(Games[[#This Row],[Team]]="","",IF(AND(Games[[#This Row],[Conf]]=Games[[#This Row],[OppConf]],Games[[#This Row],[Div]]=Games[[#This Row],[OppDiv]]),1,0))</f>
        <v>0</v>
      </c>
      <c r="Q274">
        <f>IF(Games[[#This Row],[Team]]="","",_xlfn.MINIFS(Games[Date],Games[Season],Games[[#This Row],[Season]]))</f>
        <v>35309</v>
      </c>
      <c r="R274">
        <f>IF(Games[[#This Row],[Team]]="","",INT((Games[[#This Row],[Date]]-(Games[[#This Row],[SeasonStart]]-MOD(WEEKDAY(Games[[#This Row],[SeasonStart]],2)-2,7)))/7)+1)</f>
        <v>11</v>
      </c>
      <c r="S274">
        <f>IF(Games[[#This Row],[Team]]="","",COUNTIFS(Games[Team],Games[[#This Row],[Team]],Games[Season],Games[[#This Row],[Season]],Games[Week],"&lt;="&amp;Games[[#This Row],[Week]]))</f>
        <v>10</v>
      </c>
      <c r="T274">
        <f>IF(Games[[#This Row],[Team]]="","",_xlfn.MAXIFS(Games[Week],Games[Team],Games[[#This Row],[Team]],Games[Season],Games[[#This Row],[Season]],Games[Week],"&lt;"&amp;Games[[#This Row],[Week]]))</f>
        <v>10</v>
      </c>
      <c r="U274">
        <f>IF(Games[[#This Row],[Team]]="","",_xlfn.MAXIFS(Games[Week],Games[Team],Games[[#This Row],[Opponent]],Games[Season],Games[[#This Row],[Season]],Games[Week],"&lt;"&amp;Games[[#This Row],[Week]]))</f>
        <v>10</v>
      </c>
      <c r="V27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7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7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7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1524.1820502772377</v>
      </c>
      <c r="Z27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1602.785919077025</v>
      </c>
      <c r="AA27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0.29589026504996052</v>
      </c>
      <c r="AB274">
        <f>IF(Games[[#This Row],[Team]]="","",Games[[#This Row],[PointsFor]]-Games[[#This Row],[PointsAgainst]])</f>
        <v>7</v>
      </c>
      <c r="AC274">
        <f>IF(Games[[#This Row],[Team]]="","",IF(Games[[#This Row],[MOV]]&gt;0,1,IF(Games[[#This Row],[MOV]]=0,0.5,0)))</f>
        <v>1</v>
      </c>
      <c r="AD274">
        <f>IF(Games[[#This Row],[Team]]="","",--(OR(AND(Games[[#This Row],[ExpectedWin]]&gt;=0.5,Games[[#This Row],[Result]]=1),AND(Games[[#This Row],[ExpectedWin]]&lt;0.5,Games[[#This Row],[Result]]=0))))</f>
        <v>0</v>
      </c>
      <c r="AE274">
        <f>IF(Games[[#This Row],[Team]]="","",-(Games[[#This Row],[Result]]*LN(Games[[#This Row],[ExpectedWin]])+(1-Games[[#This Row],[Result]])*LN(1-Games[[#This Row],[ExpectedWin]])))</f>
        <v>1.2177666195765824</v>
      </c>
      <c r="AF274">
        <f>IF(Games[[#This Row],[Team]]="","",IF(Games[[#This Row],[Season]]&gt;=2021,17,16))</f>
        <v>16</v>
      </c>
      <c r="AG274">
        <f>IF(Games[[#This Row],[Team]]="","",KMax-(KMax-KFloor)*MIN(Games[[#This Row],[GamesPlayed]],Games[[#This Row],[SeasonLen]])/Games[[#This Row],[SeasonLen]])</f>
        <v>39.875</v>
      </c>
      <c r="AH274">
        <f>IF(Games[[#This Row],[Team]]="","",((ABS(Games[[#This Row],[MOV]])+3)^0.8)/(7.5+0.006*ABS(Games[[#This Row],[PreGmRate]]-Games[[#This Row],[OppPreGmRate]]))*IF(Games[[#This Row],[OT]]=1,0.7,1))</f>
        <v>0.79150422396679387</v>
      </c>
      <c r="AI27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4">
        <f>IF(Games[[#This Row],[Team]]="","",Games[[#This Row],[K]]*IF(Games[[#This Row],[DivG]]=1,DivMult,1)*IF(Games[[#This Row],[ConfG]]=1,ConfMult,1)*Games[[#This Row],[POMult]])</f>
        <v>39.875</v>
      </c>
      <c r="AK274">
        <f>IF(Games[[#This Row],[Team]]="","",(Games[[#This Row],[Keff]]*Games[[#This Row],[MOVMult]])*(Games[[#This Row],[Result]]-Games[[#This Row],[ExpectedWin]]))</f>
        <v>22.222569945295199</v>
      </c>
      <c r="AL274">
        <f>IF(Games[[#This Row],[Team]]="","",Games[[#This Row],[PreGmRate]]+Games[[#This Row],[RatingChange]])</f>
        <v>1546.4046202225329</v>
      </c>
      <c r="AM274">
        <f>IF(Games[[#This Row],[Team]]="","",IF(Games[[#This Row],[Type]]="R",IF(Games[[#This Row],[Result]]&gt;0.5,1,0),0))</f>
        <v>1</v>
      </c>
      <c r="AN274">
        <f>IF(Games[[#This Row],[Team]]="","",IF(Games[[#This Row],[Type]]="R",IF(Games[[#This Row],[Result]]&lt;0.5,1,0),0))</f>
        <v>0</v>
      </c>
      <c r="AO274">
        <f>IF(Games[[#This Row],[Team]]="","",IF(Games[[#This Row],[Type]]="R",IF(Games[[#This Row],[Result]]=0.5,1,0),0))</f>
        <v>0</v>
      </c>
    </row>
    <row r="275" spans="1:41" x14ac:dyDescent="0.35">
      <c r="A275" s="8">
        <v>35379</v>
      </c>
      <c r="B275">
        <v>1996</v>
      </c>
      <c r="C275" t="s">
        <v>197</v>
      </c>
      <c r="D275" t="s">
        <v>199</v>
      </c>
      <c r="E275" t="s">
        <v>141</v>
      </c>
      <c r="F275" t="s">
        <v>106</v>
      </c>
      <c r="G275" t="s">
        <v>200</v>
      </c>
      <c r="H275">
        <v>17</v>
      </c>
      <c r="I275">
        <v>24</v>
      </c>
      <c r="J275">
        <v>0</v>
      </c>
      <c r="K27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7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7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7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75">
        <f>IF(Games[[#This Row],[Team]]="","",IF(Games[[#This Row],[Conf]]=Games[[#This Row],[OppConf]],1,0))</f>
        <v>0</v>
      </c>
      <c r="P275">
        <f>IF(Games[[#This Row],[Team]]="","",IF(AND(Games[[#This Row],[Conf]]=Games[[#This Row],[OppConf]],Games[[#This Row],[Div]]=Games[[#This Row],[OppDiv]]),1,0))</f>
        <v>0</v>
      </c>
      <c r="Q275">
        <f>IF(Games[[#This Row],[Team]]="","",_xlfn.MINIFS(Games[Date],Games[Season],Games[[#This Row],[Season]]))</f>
        <v>35309</v>
      </c>
      <c r="R275">
        <f>IF(Games[[#This Row],[Team]]="","",INT((Games[[#This Row],[Date]]-(Games[[#This Row],[SeasonStart]]-MOD(WEEKDAY(Games[[#This Row],[SeasonStart]],2)-2,7)))/7)+1)</f>
        <v>11</v>
      </c>
      <c r="S275">
        <f>IF(Games[[#This Row],[Team]]="","",COUNTIFS(Games[Team],Games[[#This Row],[Team]],Games[Season],Games[[#This Row],[Season]],Games[Week],"&lt;="&amp;Games[[#This Row],[Week]]))</f>
        <v>10</v>
      </c>
      <c r="T275">
        <f>IF(Games[[#This Row],[Team]]="","",_xlfn.MAXIFS(Games[Week],Games[Team],Games[[#This Row],[Team]],Games[Season],Games[[#This Row],[Season]],Games[Week],"&lt;"&amp;Games[[#This Row],[Week]]))</f>
        <v>10</v>
      </c>
      <c r="U275">
        <f>IF(Games[[#This Row],[Team]]="","",_xlfn.MAXIFS(Games[Week],Games[Team],Games[[#This Row],[Opponent]],Games[Season],Games[[#This Row],[Season]],Games[Week],"&lt;"&amp;Games[[#This Row],[Week]]))</f>
        <v>10</v>
      </c>
      <c r="V27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7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7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7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1602.785919077025</v>
      </c>
      <c r="Z27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1524.1820502772377</v>
      </c>
      <c r="AA27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0.70410973495003937</v>
      </c>
      <c r="AB275">
        <f>IF(Games[[#This Row],[Team]]="","",Games[[#This Row],[PointsFor]]-Games[[#This Row],[PointsAgainst]])</f>
        <v>-7</v>
      </c>
      <c r="AC275">
        <f>IF(Games[[#This Row],[Team]]="","",IF(Games[[#This Row],[MOV]]&gt;0,1,IF(Games[[#This Row],[MOV]]=0,0.5,0)))</f>
        <v>0</v>
      </c>
      <c r="AD275">
        <f>IF(Games[[#This Row],[Team]]="","",--(OR(AND(Games[[#This Row],[ExpectedWin]]&gt;=0.5,Games[[#This Row],[Result]]=1),AND(Games[[#This Row],[ExpectedWin]]&lt;0.5,Games[[#This Row],[Result]]=0))))</f>
        <v>0</v>
      </c>
      <c r="AE275">
        <f>IF(Games[[#This Row],[Team]]="","",-(Games[[#This Row],[Result]]*LN(Games[[#This Row],[ExpectedWin]])+(1-Games[[#This Row],[Result]])*LN(1-Games[[#This Row],[ExpectedWin]])))</f>
        <v>1.2177666195765819</v>
      </c>
      <c r="AF275">
        <f>IF(Games[[#This Row],[Team]]="","",IF(Games[[#This Row],[Season]]&gt;=2021,17,16))</f>
        <v>16</v>
      </c>
      <c r="AG275">
        <f>IF(Games[[#This Row],[Team]]="","",KMax-(KMax-KFloor)*MIN(Games[[#This Row],[GamesPlayed]],Games[[#This Row],[SeasonLen]])/Games[[#This Row],[SeasonLen]])</f>
        <v>39.875</v>
      </c>
      <c r="AH275">
        <f>IF(Games[[#This Row],[Team]]="","",((ABS(Games[[#This Row],[MOV]])+3)^0.8)/(7.5+0.006*ABS(Games[[#This Row],[PreGmRate]]-Games[[#This Row],[OppPreGmRate]]))*IF(Games[[#This Row],[OT]]=1,0.7,1))</f>
        <v>0.79150422396679387</v>
      </c>
      <c r="AI27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5">
        <f>IF(Games[[#This Row],[Team]]="","",Games[[#This Row],[K]]*IF(Games[[#This Row],[DivG]]=1,DivMult,1)*IF(Games[[#This Row],[ConfG]]=1,ConfMult,1)*Games[[#This Row],[POMult]])</f>
        <v>39.875</v>
      </c>
      <c r="AK275">
        <f>IF(Games[[#This Row],[Team]]="","",(Games[[#This Row],[Keff]]*Games[[#This Row],[MOVMult]])*(Games[[#This Row],[Result]]-Games[[#This Row],[ExpectedWin]]))</f>
        <v>-22.222569945295195</v>
      </c>
      <c r="AL275">
        <f>IF(Games[[#This Row],[Team]]="","",Games[[#This Row],[PreGmRate]]+Games[[#This Row],[RatingChange]])</f>
        <v>1580.5633491317299</v>
      </c>
      <c r="AM275">
        <f>IF(Games[[#This Row],[Team]]="","",IF(Games[[#This Row],[Type]]="R",IF(Games[[#This Row],[Result]]&gt;0.5,1,0),0))</f>
        <v>0</v>
      </c>
      <c r="AN275">
        <f>IF(Games[[#This Row],[Team]]="","",IF(Games[[#This Row],[Type]]="R",IF(Games[[#This Row],[Result]]&lt;0.5,1,0),0))</f>
        <v>1</v>
      </c>
      <c r="AO275">
        <f>IF(Games[[#This Row],[Team]]="","",IF(Games[[#This Row],[Type]]="R",IF(Games[[#This Row],[Result]]=0.5,1,0),0))</f>
        <v>0</v>
      </c>
    </row>
    <row r="276" spans="1:41" x14ac:dyDescent="0.35">
      <c r="A276" s="8">
        <v>35379</v>
      </c>
      <c r="B276">
        <v>1996</v>
      </c>
      <c r="C276" t="s">
        <v>197</v>
      </c>
      <c r="D276" t="s">
        <v>199</v>
      </c>
      <c r="E276" t="s">
        <v>112</v>
      </c>
      <c r="F276" t="s">
        <v>143</v>
      </c>
      <c r="G276" t="s">
        <v>200</v>
      </c>
      <c r="H276">
        <v>34</v>
      </c>
      <c r="I276">
        <v>24</v>
      </c>
      <c r="J276">
        <v>0</v>
      </c>
      <c r="K27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7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7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7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76">
        <f>IF(Games[[#This Row],[Team]]="","",IF(Games[[#This Row],[Conf]]=Games[[#This Row],[OppConf]],1,0))</f>
        <v>1</v>
      </c>
      <c r="P276">
        <f>IF(Games[[#This Row],[Team]]="","",IF(AND(Games[[#This Row],[Conf]]=Games[[#This Row],[OppConf]],Games[[#This Row],[Div]]=Games[[#This Row],[OppDiv]]),1,0))</f>
        <v>1</v>
      </c>
      <c r="Q276">
        <f>IF(Games[[#This Row],[Team]]="","",_xlfn.MINIFS(Games[Date],Games[Season],Games[[#This Row],[Season]]))</f>
        <v>35309</v>
      </c>
      <c r="R276">
        <f>IF(Games[[#This Row],[Team]]="","",INT((Games[[#This Row],[Date]]-(Games[[#This Row],[SeasonStart]]-MOD(WEEKDAY(Games[[#This Row],[SeasonStart]],2)-2,7)))/7)+1)</f>
        <v>11</v>
      </c>
      <c r="S276">
        <f>IF(Games[[#This Row],[Team]]="","",COUNTIFS(Games[Team],Games[[#This Row],[Team]],Games[Season],Games[[#This Row],[Season]],Games[Week],"&lt;="&amp;Games[[#This Row],[Week]]))</f>
        <v>10</v>
      </c>
      <c r="T276">
        <f>IF(Games[[#This Row],[Team]]="","",_xlfn.MAXIFS(Games[Week],Games[Team],Games[[#This Row],[Team]],Games[Season],Games[[#This Row],[Season]],Games[Week],"&lt;"&amp;Games[[#This Row],[Week]]))</f>
        <v>10</v>
      </c>
      <c r="U276">
        <f>IF(Games[[#This Row],[Team]]="","",_xlfn.MAXIFS(Games[Week],Games[Team],Games[[#This Row],[Opponent]],Games[Season],Games[[#This Row],[Season]],Games[Week],"&lt;"&amp;Games[[#This Row],[Week]]))</f>
        <v>10</v>
      </c>
      <c r="V27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7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7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7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1474.7921833459932</v>
      </c>
      <c r="Z27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1596.3461089102095</v>
      </c>
      <c r="AA27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0.42916583662642349</v>
      </c>
      <c r="AB276">
        <f>IF(Games[[#This Row],[Team]]="","",Games[[#This Row],[PointsFor]]-Games[[#This Row],[PointsAgainst]])</f>
        <v>10</v>
      </c>
      <c r="AC276">
        <f>IF(Games[[#This Row],[Team]]="","",IF(Games[[#This Row],[MOV]]&gt;0,1,IF(Games[[#This Row],[MOV]]=0,0.5,0)))</f>
        <v>1</v>
      </c>
      <c r="AD276">
        <f>IF(Games[[#This Row],[Team]]="","",--(OR(AND(Games[[#This Row],[ExpectedWin]]&gt;=0.5,Games[[#This Row],[Result]]=1),AND(Games[[#This Row],[ExpectedWin]]&lt;0.5,Games[[#This Row],[Result]]=0))))</f>
        <v>0</v>
      </c>
      <c r="AE276">
        <f>IF(Games[[#This Row],[Team]]="","",-(Games[[#This Row],[Result]]*LN(Games[[#This Row],[ExpectedWin]])+(1-Games[[#This Row],[Result]])*LN(1-Games[[#This Row],[ExpectedWin]])))</f>
        <v>0.84591186918857886</v>
      </c>
      <c r="AF276">
        <f>IF(Games[[#This Row],[Team]]="","",IF(Games[[#This Row],[Season]]&gt;=2021,17,16))</f>
        <v>16</v>
      </c>
      <c r="AG276">
        <f>IF(Games[[#This Row],[Team]]="","",KMax-(KMax-KFloor)*MIN(Games[[#This Row],[GamesPlayed]],Games[[#This Row],[SeasonLen]])/Games[[#This Row],[SeasonLen]])</f>
        <v>39.875</v>
      </c>
      <c r="AH276">
        <f>IF(Games[[#This Row],[Team]]="","",((ABS(Games[[#This Row],[MOV]])+3)^0.8)/(7.5+0.006*ABS(Games[[#This Row],[PreGmRate]]-Games[[#This Row],[OppPreGmRate]]))*IF(Games[[#This Row],[OT]]=1,0.7,1))</f>
        <v>0.94578091036871692</v>
      </c>
      <c r="AI27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6">
        <f>IF(Games[[#This Row],[Team]]="","",Games[[#This Row],[K]]*IF(Games[[#This Row],[DivG]]=1,DivMult,1)*IF(Games[[#This Row],[ConfG]]=1,ConfMult,1)*Games[[#This Row],[POMult]])</f>
        <v>44.739750000000008</v>
      </c>
      <c r="AK276">
        <f>IF(Games[[#This Row],[Team]]="","",(Games[[#This Row],[Keff]]*Games[[#This Row],[MOVMult]])*(Games[[#This Row],[Result]]-Games[[#This Row],[ExpectedWin]]))</f>
        <v>24.154277636489194</v>
      </c>
      <c r="AL276">
        <f>IF(Games[[#This Row],[Team]]="","",Games[[#This Row],[PreGmRate]]+Games[[#This Row],[RatingChange]])</f>
        <v>1498.9464609824824</v>
      </c>
      <c r="AM276">
        <f>IF(Games[[#This Row],[Team]]="","",IF(Games[[#This Row],[Type]]="R",IF(Games[[#This Row],[Result]]&gt;0.5,1,0),0))</f>
        <v>1</v>
      </c>
      <c r="AN276">
        <f>IF(Games[[#This Row],[Team]]="","",IF(Games[[#This Row],[Type]]="R",IF(Games[[#This Row],[Result]]&lt;0.5,1,0),0))</f>
        <v>0</v>
      </c>
      <c r="AO276">
        <f>IF(Games[[#This Row],[Team]]="","",IF(Games[[#This Row],[Type]]="R",IF(Games[[#This Row],[Result]]=0.5,1,0),0))</f>
        <v>0</v>
      </c>
    </row>
    <row r="277" spans="1:41" x14ac:dyDescent="0.35">
      <c r="A277" s="8">
        <v>35379</v>
      </c>
      <c r="B277">
        <v>1996</v>
      </c>
      <c r="C277" t="s">
        <v>197</v>
      </c>
      <c r="D277" t="s">
        <v>199</v>
      </c>
      <c r="E277" t="s">
        <v>143</v>
      </c>
      <c r="F277" t="s">
        <v>112</v>
      </c>
      <c r="G277" t="s">
        <v>201</v>
      </c>
      <c r="H277">
        <v>24</v>
      </c>
      <c r="I277">
        <v>34</v>
      </c>
      <c r="J277">
        <v>0</v>
      </c>
      <c r="K27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7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7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7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77">
        <f>IF(Games[[#This Row],[Team]]="","",IF(Games[[#This Row],[Conf]]=Games[[#This Row],[OppConf]],1,0))</f>
        <v>1</v>
      </c>
      <c r="P277">
        <f>IF(Games[[#This Row],[Team]]="","",IF(AND(Games[[#This Row],[Conf]]=Games[[#This Row],[OppConf]],Games[[#This Row],[Div]]=Games[[#This Row],[OppDiv]]),1,0))</f>
        <v>1</v>
      </c>
      <c r="Q277">
        <f>IF(Games[[#This Row],[Team]]="","",_xlfn.MINIFS(Games[Date],Games[Season],Games[[#This Row],[Season]]))</f>
        <v>35309</v>
      </c>
      <c r="R277">
        <f>IF(Games[[#This Row],[Team]]="","",INT((Games[[#This Row],[Date]]-(Games[[#This Row],[SeasonStart]]-MOD(WEEKDAY(Games[[#This Row],[SeasonStart]],2)-2,7)))/7)+1)</f>
        <v>11</v>
      </c>
      <c r="S277">
        <f>IF(Games[[#This Row],[Team]]="","",COUNTIFS(Games[Team],Games[[#This Row],[Team]],Games[Season],Games[[#This Row],[Season]],Games[Week],"&lt;="&amp;Games[[#This Row],[Week]]))</f>
        <v>10</v>
      </c>
      <c r="T277">
        <f>IF(Games[[#This Row],[Team]]="","",_xlfn.MAXIFS(Games[Week],Games[Team],Games[[#This Row],[Team]],Games[Season],Games[[#This Row],[Season]],Games[Week],"&lt;"&amp;Games[[#This Row],[Week]]))</f>
        <v>10</v>
      </c>
      <c r="U277">
        <f>IF(Games[[#This Row],[Team]]="","",_xlfn.MAXIFS(Games[Week],Games[Team],Games[[#This Row],[Opponent]],Games[Season],Games[[#This Row],[Season]],Games[Week],"&lt;"&amp;Games[[#This Row],[Week]]))</f>
        <v>10</v>
      </c>
      <c r="V27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7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7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7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1596.3461089102095</v>
      </c>
      <c r="Z27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1474.7921833459932</v>
      </c>
      <c r="AA27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0.57083416337357651</v>
      </c>
      <c r="AB277">
        <f>IF(Games[[#This Row],[Team]]="","",Games[[#This Row],[PointsFor]]-Games[[#This Row],[PointsAgainst]])</f>
        <v>-10</v>
      </c>
      <c r="AC277">
        <f>IF(Games[[#This Row],[Team]]="","",IF(Games[[#This Row],[MOV]]&gt;0,1,IF(Games[[#This Row],[MOV]]=0,0.5,0)))</f>
        <v>0</v>
      </c>
      <c r="AD277">
        <f>IF(Games[[#This Row],[Team]]="","",--(OR(AND(Games[[#This Row],[ExpectedWin]]&gt;=0.5,Games[[#This Row],[Result]]=1),AND(Games[[#This Row],[ExpectedWin]]&lt;0.5,Games[[#This Row],[Result]]=0))))</f>
        <v>0</v>
      </c>
      <c r="AE277">
        <f>IF(Games[[#This Row],[Team]]="","",-(Games[[#This Row],[Result]]*LN(Games[[#This Row],[ExpectedWin]])+(1-Games[[#This Row],[Result]])*LN(1-Games[[#This Row],[ExpectedWin]])))</f>
        <v>0.84591186918857886</v>
      </c>
      <c r="AF277">
        <f>IF(Games[[#This Row],[Team]]="","",IF(Games[[#This Row],[Season]]&gt;=2021,17,16))</f>
        <v>16</v>
      </c>
      <c r="AG277">
        <f>IF(Games[[#This Row],[Team]]="","",KMax-(KMax-KFloor)*MIN(Games[[#This Row],[GamesPlayed]],Games[[#This Row],[SeasonLen]])/Games[[#This Row],[SeasonLen]])</f>
        <v>39.875</v>
      </c>
      <c r="AH277">
        <f>IF(Games[[#This Row],[Team]]="","",((ABS(Games[[#This Row],[MOV]])+3)^0.8)/(7.5+0.006*ABS(Games[[#This Row],[PreGmRate]]-Games[[#This Row],[OppPreGmRate]]))*IF(Games[[#This Row],[OT]]=1,0.7,1))</f>
        <v>0.94578091036871692</v>
      </c>
      <c r="AI27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7">
        <f>IF(Games[[#This Row],[Team]]="","",Games[[#This Row],[K]]*IF(Games[[#This Row],[DivG]]=1,DivMult,1)*IF(Games[[#This Row],[ConfG]]=1,ConfMult,1)*Games[[#This Row],[POMult]])</f>
        <v>44.739750000000008</v>
      </c>
      <c r="AK277">
        <f>IF(Games[[#This Row],[Team]]="","",(Games[[#This Row],[Keff]]*Games[[#This Row],[MOVMult]])*(Games[[#This Row],[Result]]-Games[[#This Row],[ExpectedWin]]))</f>
        <v>-24.154277636489194</v>
      </c>
      <c r="AL277">
        <f>IF(Games[[#This Row],[Team]]="","",Games[[#This Row],[PreGmRate]]+Games[[#This Row],[RatingChange]])</f>
        <v>1572.1918312737203</v>
      </c>
      <c r="AM277">
        <f>IF(Games[[#This Row],[Team]]="","",IF(Games[[#This Row],[Type]]="R",IF(Games[[#This Row],[Result]]&gt;0.5,1,0),0))</f>
        <v>0</v>
      </c>
      <c r="AN277">
        <f>IF(Games[[#This Row],[Team]]="","",IF(Games[[#This Row],[Type]]="R",IF(Games[[#This Row],[Result]]&lt;0.5,1,0),0))</f>
        <v>1</v>
      </c>
      <c r="AO277">
        <f>IF(Games[[#This Row],[Team]]="","",IF(Games[[#This Row],[Type]]="R",IF(Games[[#This Row],[Result]]=0.5,1,0),0))</f>
        <v>0</v>
      </c>
    </row>
    <row r="278" spans="1:41" x14ac:dyDescent="0.35">
      <c r="A278" s="8">
        <v>35379</v>
      </c>
      <c r="B278">
        <v>1996</v>
      </c>
      <c r="C278" t="s">
        <v>197</v>
      </c>
      <c r="D278" t="s">
        <v>199</v>
      </c>
      <c r="E278" t="s">
        <v>128</v>
      </c>
      <c r="F278" t="s">
        <v>122</v>
      </c>
      <c r="G278" t="s">
        <v>200</v>
      </c>
      <c r="H278">
        <v>37</v>
      </c>
      <c r="I278">
        <v>13</v>
      </c>
      <c r="J278">
        <v>0</v>
      </c>
      <c r="K27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7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7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7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78">
        <f>IF(Games[[#This Row],[Team]]="","",IF(Games[[#This Row],[Conf]]=Games[[#This Row],[OppConf]],1,0))</f>
        <v>1</v>
      </c>
      <c r="P278">
        <f>IF(Games[[#This Row],[Team]]="","",IF(AND(Games[[#This Row],[Conf]]=Games[[#This Row],[OppConf]],Games[[#This Row],[Div]]=Games[[#This Row],[OppDiv]]),1,0))</f>
        <v>1</v>
      </c>
      <c r="Q278">
        <f>IF(Games[[#This Row],[Team]]="","",_xlfn.MINIFS(Games[Date],Games[Season],Games[[#This Row],[Season]]))</f>
        <v>35309</v>
      </c>
      <c r="R278">
        <f>IF(Games[[#This Row],[Team]]="","",INT((Games[[#This Row],[Date]]-(Games[[#This Row],[SeasonStart]]-MOD(WEEKDAY(Games[[#This Row],[SeasonStart]],2)-2,7)))/7)+1)</f>
        <v>11</v>
      </c>
      <c r="S278">
        <f>IF(Games[[#This Row],[Team]]="","",COUNTIFS(Games[Team],Games[[#This Row],[Team]],Games[Season],Games[[#This Row],[Season]],Games[Week],"&lt;="&amp;Games[[#This Row],[Week]]))</f>
        <v>10</v>
      </c>
      <c r="T278">
        <f>IF(Games[[#This Row],[Team]]="","",_xlfn.MAXIFS(Games[Week],Games[Team],Games[[#This Row],[Team]],Games[Season],Games[[#This Row],[Season]],Games[Week],"&lt;"&amp;Games[[#This Row],[Week]]))</f>
        <v>10</v>
      </c>
      <c r="U278">
        <f>IF(Games[[#This Row],[Team]]="","",_xlfn.MAXIFS(Games[Week],Games[Team],Games[[#This Row],[Opponent]],Games[Season],Games[[#This Row],[Season]],Games[Week],"&lt;"&amp;Games[[#This Row],[Week]]))</f>
        <v>10</v>
      </c>
      <c r="V27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7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7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7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1498.4819678761464</v>
      </c>
      <c r="Z27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1485.1578616618153</v>
      </c>
      <c r="AA27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0.62038084700080776</v>
      </c>
      <c r="AB278">
        <f>IF(Games[[#This Row],[Team]]="","",Games[[#This Row],[PointsFor]]-Games[[#This Row],[PointsAgainst]])</f>
        <v>24</v>
      </c>
      <c r="AC278">
        <f>IF(Games[[#This Row],[Team]]="","",IF(Games[[#This Row],[MOV]]&gt;0,1,IF(Games[[#This Row],[MOV]]=0,0.5,0)))</f>
        <v>1</v>
      </c>
      <c r="AD278">
        <f>IF(Games[[#This Row],[Team]]="","",--(OR(AND(Games[[#This Row],[ExpectedWin]]&gt;=0.5,Games[[#This Row],[Result]]=1),AND(Games[[#This Row],[ExpectedWin]]&lt;0.5,Games[[#This Row],[Result]]=0))))</f>
        <v>1</v>
      </c>
      <c r="AE278">
        <f>IF(Games[[#This Row],[Team]]="","",-(Games[[#This Row],[Result]]*LN(Games[[#This Row],[ExpectedWin]])+(1-Games[[#This Row],[Result]])*LN(1-Games[[#This Row],[ExpectedWin]])))</f>
        <v>0.47742172017305468</v>
      </c>
      <c r="AF278">
        <f>IF(Games[[#This Row],[Team]]="","",IF(Games[[#This Row],[Season]]&gt;=2021,17,16))</f>
        <v>16</v>
      </c>
      <c r="AG278">
        <f>IF(Games[[#This Row],[Team]]="","",KMax-(KMax-KFloor)*MIN(Games[[#This Row],[GamesPlayed]],Games[[#This Row],[SeasonLen]])/Games[[#This Row],[SeasonLen]])</f>
        <v>39.875</v>
      </c>
      <c r="AH278">
        <f>IF(Games[[#This Row],[Team]]="","",((ABS(Games[[#This Row],[MOV]])+3)^0.8)/(7.5+0.006*ABS(Games[[#This Row],[PreGmRate]]-Games[[#This Row],[OppPreGmRate]]))*IF(Games[[#This Row],[OT]]=1,0.7,1))</f>
        <v>1.8425741655863872</v>
      </c>
      <c r="AI27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8">
        <f>IF(Games[[#This Row],[Team]]="","",Games[[#This Row],[K]]*IF(Games[[#This Row],[DivG]]=1,DivMult,1)*IF(Games[[#This Row],[ConfG]]=1,ConfMult,1)*Games[[#This Row],[POMult]])</f>
        <v>44.739750000000008</v>
      </c>
      <c r="AK278">
        <f>IF(Games[[#This Row],[Team]]="","",(Games[[#This Row],[Keff]]*Games[[#This Row],[MOVMult]])*(Games[[#This Row],[Result]]-Games[[#This Row],[ExpectedWin]]))</f>
        <v>31.294401238943077</v>
      </c>
      <c r="AL278">
        <f>IF(Games[[#This Row],[Team]]="","",Games[[#This Row],[PreGmRate]]+Games[[#This Row],[RatingChange]])</f>
        <v>1529.7763691150894</v>
      </c>
      <c r="AM278">
        <f>IF(Games[[#This Row],[Team]]="","",IF(Games[[#This Row],[Type]]="R",IF(Games[[#This Row],[Result]]&gt;0.5,1,0),0))</f>
        <v>1</v>
      </c>
      <c r="AN278">
        <f>IF(Games[[#This Row],[Team]]="","",IF(Games[[#This Row],[Type]]="R",IF(Games[[#This Row],[Result]]&lt;0.5,1,0),0))</f>
        <v>0</v>
      </c>
      <c r="AO278">
        <f>IF(Games[[#This Row],[Team]]="","",IF(Games[[#This Row],[Type]]="R",IF(Games[[#This Row],[Result]]=0.5,1,0),0))</f>
        <v>0</v>
      </c>
    </row>
    <row r="279" spans="1:41" x14ac:dyDescent="0.35">
      <c r="A279" s="8">
        <v>35379</v>
      </c>
      <c r="B279">
        <v>1996</v>
      </c>
      <c r="C279" t="s">
        <v>197</v>
      </c>
      <c r="D279" t="s">
        <v>199</v>
      </c>
      <c r="E279" t="s">
        <v>122</v>
      </c>
      <c r="F279" t="s">
        <v>128</v>
      </c>
      <c r="G279" t="s">
        <v>201</v>
      </c>
      <c r="H279">
        <v>13</v>
      </c>
      <c r="I279">
        <v>37</v>
      </c>
      <c r="J279">
        <v>0</v>
      </c>
      <c r="K27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7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7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7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79">
        <f>IF(Games[[#This Row],[Team]]="","",IF(Games[[#This Row],[Conf]]=Games[[#This Row],[OppConf]],1,0))</f>
        <v>1</v>
      </c>
      <c r="P279">
        <f>IF(Games[[#This Row],[Team]]="","",IF(AND(Games[[#This Row],[Conf]]=Games[[#This Row],[OppConf]],Games[[#This Row],[Div]]=Games[[#This Row],[OppDiv]]),1,0))</f>
        <v>1</v>
      </c>
      <c r="Q279">
        <f>IF(Games[[#This Row],[Team]]="","",_xlfn.MINIFS(Games[Date],Games[Season],Games[[#This Row],[Season]]))</f>
        <v>35309</v>
      </c>
      <c r="R279">
        <f>IF(Games[[#This Row],[Team]]="","",INT((Games[[#This Row],[Date]]-(Games[[#This Row],[SeasonStart]]-MOD(WEEKDAY(Games[[#This Row],[SeasonStart]],2)-2,7)))/7)+1)</f>
        <v>11</v>
      </c>
      <c r="S279">
        <f>IF(Games[[#This Row],[Team]]="","",COUNTIFS(Games[Team],Games[[#This Row],[Team]],Games[Season],Games[[#This Row],[Season]],Games[Week],"&lt;="&amp;Games[[#This Row],[Week]]))</f>
        <v>10</v>
      </c>
      <c r="T279">
        <f>IF(Games[[#This Row],[Team]]="","",_xlfn.MAXIFS(Games[Week],Games[Team],Games[[#This Row],[Team]],Games[Season],Games[[#This Row],[Season]],Games[Week],"&lt;"&amp;Games[[#This Row],[Week]]))</f>
        <v>10</v>
      </c>
      <c r="U279">
        <f>IF(Games[[#This Row],[Team]]="","",_xlfn.MAXIFS(Games[Week],Games[Team],Games[[#This Row],[Opponent]],Games[Season],Games[[#This Row],[Season]],Games[Week],"&lt;"&amp;Games[[#This Row],[Week]]))</f>
        <v>10</v>
      </c>
      <c r="V27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7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7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7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1485.1578616618153</v>
      </c>
      <c r="Z27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1498.4819678761464</v>
      </c>
      <c r="AA27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0.37961915299919219</v>
      </c>
      <c r="AB279">
        <f>IF(Games[[#This Row],[Team]]="","",Games[[#This Row],[PointsFor]]-Games[[#This Row],[PointsAgainst]])</f>
        <v>-24</v>
      </c>
      <c r="AC279">
        <f>IF(Games[[#This Row],[Team]]="","",IF(Games[[#This Row],[MOV]]&gt;0,1,IF(Games[[#This Row],[MOV]]=0,0.5,0)))</f>
        <v>0</v>
      </c>
      <c r="AD279">
        <f>IF(Games[[#This Row],[Team]]="","",--(OR(AND(Games[[#This Row],[ExpectedWin]]&gt;=0.5,Games[[#This Row],[Result]]=1),AND(Games[[#This Row],[ExpectedWin]]&lt;0.5,Games[[#This Row],[Result]]=0))))</f>
        <v>1</v>
      </c>
      <c r="AE279">
        <f>IF(Games[[#This Row],[Team]]="","",-(Games[[#This Row],[Result]]*LN(Games[[#This Row],[ExpectedWin]])+(1-Games[[#This Row],[Result]])*LN(1-Games[[#This Row],[ExpectedWin]])))</f>
        <v>0.47742172017305451</v>
      </c>
      <c r="AF279">
        <f>IF(Games[[#This Row],[Team]]="","",IF(Games[[#This Row],[Season]]&gt;=2021,17,16))</f>
        <v>16</v>
      </c>
      <c r="AG279">
        <f>IF(Games[[#This Row],[Team]]="","",KMax-(KMax-KFloor)*MIN(Games[[#This Row],[GamesPlayed]],Games[[#This Row],[SeasonLen]])/Games[[#This Row],[SeasonLen]])</f>
        <v>39.875</v>
      </c>
      <c r="AH279">
        <f>IF(Games[[#This Row],[Team]]="","",((ABS(Games[[#This Row],[MOV]])+3)^0.8)/(7.5+0.006*ABS(Games[[#This Row],[PreGmRate]]-Games[[#This Row],[OppPreGmRate]]))*IF(Games[[#This Row],[OT]]=1,0.7,1))</f>
        <v>1.8425741655863872</v>
      </c>
      <c r="AI27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9">
        <f>IF(Games[[#This Row],[Team]]="","",Games[[#This Row],[K]]*IF(Games[[#This Row],[DivG]]=1,DivMult,1)*IF(Games[[#This Row],[ConfG]]=1,ConfMult,1)*Games[[#This Row],[POMult]])</f>
        <v>44.739750000000008</v>
      </c>
      <c r="AK279">
        <f>IF(Games[[#This Row],[Team]]="","",(Games[[#This Row],[Keff]]*Games[[#This Row],[MOVMult]])*(Games[[#This Row],[Result]]-Games[[#This Row],[ExpectedWin]]))</f>
        <v>-31.29440123894307</v>
      </c>
      <c r="AL279">
        <f>IF(Games[[#This Row],[Team]]="","",Games[[#This Row],[PreGmRate]]+Games[[#This Row],[RatingChange]])</f>
        <v>1453.8634604228723</v>
      </c>
      <c r="AM279">
        <f>IF(Games[[#This Row],[Team]]="","",IF(Games[[#This Row],[Type]]="R",IF(Games[[#This Row],[Result]]&gt;0.5,1,0),0))</f>
        <v>0</v>
      </c>
      <c r="AN279">
        <f>IF(Games[[#This Row],[Team]]="","",IF(Games[[#This Row],[Type]]="R",IF(Games[[#This Row],[Result]]&lt;0.5,1,0),0))</f>
        <v>1</v>
      </c>
      <c r="AO279">
        <f>IF(Games[[#This Row],[Team]]="","",IF(Games[[#This Row],[Type]]="R",IF(Games[[#This Row],[Result]]=0.5,1,0),0))</f>
        <v>0</v>
      </c>
    </row>
    <row r="280" spans="1:41" x14ac:dyDescent="0.35">
      <c r="A280" s="8">
        <v>35379</v>
      </c>
      <c r="B280">
        <v>1996</v>
      </c>
      <c r="C280" t="s">
        <v>197</v>
      </c>
      <c r="D280" t="s">
        <v>199</v>
      </c>
      <c r="E280" t="s">
        <v>93</v>
      </c>
      <c r="F280" t="s">
        <v>154</v>
      </c>
      <c r="G280" t="s">
        <v>201</v>
      </c>
      <c r="H280">
        <v>37</v>
      </c>
      <c r="I280">
        <v>34</v>
      </c>
      <c r="J280">
        <v>1</v>
      </c>
      <c r="K28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8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8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8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80">
        <f>IF(Games[[#This Row],[Team]]="","",IF(Games[[#This Row],[Conf]]=Games[[#This Row],[OppConf]],1,0))</f>
        <v>1</v>
      </c>
      <c r="P280">
        <f>IF(Games[[#This Row],[Team]]="","",IF(AND(Games[[#This Row],[Conf]]=Games[[#This Row],[OppConf]],Games[[#This Row],[Div]]=Games[[#This Row],[OppDiv]]),1,0))</f>
        <v>1</v>
      </c>
      <c r="Q280">
        <f>IF(Games[[#This Row],[Team]]="","",_xlfn.MINIFS(Games[Date],Games[Season],Games[[#This Row],[Season]]))</f>
        <v>35309</v>
      </c>
      <c r="R280">
        <f>IF(Games[[#This Row],[Team]]="","",INT((Games[[#This Row],[Date]]-(Games[[#This Row],[SeasonStart]]-MOD(WEEKDAY(Games[[#This Row],[SeasonStart]],2)-2,7)))/7)+1)</f>
        <v>11</v>
      </c>
      <c r="S280">
        <f>IF(Games[[#This Row],[Team]]="","",COUNTIFS(Games[Team],Games[[#This Row],[Team]],Games[Season],Games[[#This Row],[Season]],Games[Week],"&lt;="&amp;Games[[#This Row],[Week]]))</f>
        <v>10</v>
      </c>
      <c r="T280">
        <f>IF(Games[[#This Row],[Team]]="","",_xlfn.MAXIFS(Games[Week],Games[Team],Games[[#This Row],[Team]],Games[Season],Games[[#This Row],[Season]],Games[Week],"&lt;"&amp;Games[[#This Row],[Week]]))</f>
        <v>10</v>
      </c>
      <c r="U280">
        <f>IF(Games[[#This Row],[Team]]="","",_xlfn.MAXIFS(Games[Week],Games[Team],Games[[#This Row],[Opponent]],Games[Season],Games[[#This Row],[Season]],Games[Week],"&lt;"&amp;Games[[#This Row],[Week]]))</f>
        <v>10</v>
      </c>
      <c r="V28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8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8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8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1393.7335142834895</v>
      </c>
      <c r="Z28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1569.8097256373187</v>
      </c>
      <c r="AA28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0.19340403003547382</v>
      </c>
      <c r="AB280">
        <f>IF(Games[[#This Row],[Team]]="","",Games[[#This Row],[PointsFor]]-Games[[#This Row],[PointsAgainst]])</f>
        <v>3</v>
      </c>
      <c r="AC280">
        <f>IF(Games[[#This Row],[Team]]="","",IF(Games[[#This Row],[MOV]]&gt;0,1,IF(Games[[#This Row],[MOV]]=0,0.5,0)))</f>
        <v>1</v>
      </c>
      <c r="AD280">
        <f>IF(Games[[#This Row],[Team]]="","",--(OR(AND(Games[[#This Row],[ExpectedWin]]&gt;=0.5,Games[[#This Row],[Result]]=1),AND(Games[[#This Row],[ExpectedWin]]&lt;0.5,Games[[#This Row],[Result]]=0))))</f>
        <v>0</v>
      </c>
      <c r="AE280">
        <f>IF(Games[[#This Row],[Team]]="","",-(Games[[#This Row],[Result]]*LN(Games[[#This Row],[ExpectedWin]])+(1-Games[[#This Row],[Result]])*LN(1-Games[[#This Row],[ExpectedWin]])))</f>
        <v>1.6429738583544331</v>
      </c>
      <c r="AF280">
        <f>IF(Games[[#This Row],[Team]]="","",IF(Games[[#This Row],[Season]]&gt;=2021,17,16))</f>
        <v>16</v>
      </c>
      <c r="AG280">
        <f>IF(Games[[#This Row],[Team]]="","",KMax-(KMax-KFloor)*MIN(Games[[#This Row],[GamesPlayed]],Games[[#This Row],[SeasonLen]])/Games[[#This Row],[SeasonLen]])</f>
        <v>39.875</v>
      </c>
      <c r="AH280">
        <f>IF(Games[[#This Row],[Team]]="","",((ABS(Games[[#This Row],[MOV]])+3)^0.8)/(7.5+0.006*ABS(Games[[#This Row],[PreGmRate]]-Games[[#This Row],[OppPreGmRate]]))*IF(Games[[#This Row],[OT]]=1,0.7,1))</f>
        <v>0.34302443252714321</v>
      </c>
      <c r="AI28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0">
        <f>IF(Games[[#This Row],[Team]]="","",Games[[#This Row],[K]]*IF(Games[[#This Row],[DivG]]=1,DivMult,1)*IF(Games[[#This Row],[ConfG]]=1,ConfMult,1)*Games[[#This Row],[POMult]])</f>
        <v>44.739750000000008</v>
      </c>
      <c r="AK280">
        <f>IF(Games[[#This Row],[Team]]="","",(Games[[#This Row],[Keff]]*Games[[#This Row],[MOVMult]])*(Games[[#This Row],[Result]]-Games[[#This Row],[ExpectedWin]]))</f>
        <v>12.378689096410385</v>
      </c>
      <c r="AL280">
        <f>IF(Games[[#This Row],[Team]]="","",Games[[#This Row],[PreGmRate]]+Games[[#This Row],[RatingChange]])</f>
        <v>1406.1122033798999</v>
      </c>
      <c r="AM280">
        <f>IF(Games[[#This Row],[Team]]="","",IF(Games[[#This Row],[Type]]="R",IF(Games[[#This Row],[Result]]&gt;0.5,1,0),0))</f>
        <v>1</v>
      </c>
      <c r="AN280">
        <f>IF(Games[[#This Row],[Team]]="","",IF(Games[[#This Row],[Type]]="R",IF(Games[[#This Row],[Result]]&lt;0.5,1,0),0))</f>
        <v>0</v>
      </c>
      <c r="AO280">
        <f>IF(Games[[#This Row],[Team]]="","",IF(Games[[#This Row],[Type]]="R",IF(Games[[#This Row],[Result]]=0.5,1,0),0))</f>
        <v>0</v>
      </c>
    </row>
    <row r="281" spans="1:41" x14ac:dyDescent="0.35">
      <c r="A281" s="8">
        <v>35379</v>
      </c>
      <c r="B281">
        <v>1996</v>
      </c>
      <c r="C281" t="s">
        <v>197</v>
      </c>
      <c r="D281" t="s">
        <v>199</v>
      </c>
      <c r="E281" t="s">
        <v>154</v>
      </c>
      <c r="F281" t="s">
        <v>93</v>
      </c>
      <c r="G281" t="s">
        <v>200</v>
      </c>
      <c r="H281">
        <v>34</v>
      </c>
      <c r="I281">
        <v>37</v>
      </c>
      <c r="J281">
        <v>1</v>
      </c>
      <c r="K28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8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8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8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81">
        <f>IF(Games[[#This Row],[Team]]="","",IF(Games[[#This Row],[Conf]]=Games[[#This Row],[OppConf]],1,0))</f>
        <v>1</v>
      </c>
      <c r="P281">
        <f>IF(Games[[#This Row],[Team]]="","",IF(AND(Games[[#This Row],[Conf]]=Games[[#This Row],[OppConf]],Games[[#This Row],[Div]]=Games[[#This Row],[OppDiv]]),1,0))</f>
        <v>1</v>
      </c>
      <c r="Q281">
        <f>IF(Games[[#This Row],[Team]]="","",_xlfn.MINIFS(Games[Date],Games[Season],Games[[#This Row],[Season]]))</f>
        <v>35309</v>
      </c>
      <c r="R281">
        <f>IF(Games[[#This Row],[Team]]="","",INT((Games[[#This Row],[Date]]-(Games[[#This Row],[SeasonStart]]-MOD(WEEKDAY(Games[[#This Row],[SeasonStart]],2)-2,7)))/7)+1)</f>
        <v>11</v>
      </c>
      <c r="S281">
        <f>IF(Games[[#This Row],[Team]]="","",COUNTIFS(Games[Team],Games[[#This Row],[Team]],Games[Season],Games[[#This Row],[Season]],Games[Week],"&lt;="&amp;Games[[#This Row],[Week]]))</f>
        <v>10</v>
      </c>
      <c r="T281">
        <f>IF(Games[[#This Row],[Team]]="","",_xlfn.MAXIFS(Games[Week],Games[Team],Games[[#This Row],[Team]],Games[Season],Games[[#This Row],[Season]],Games[Week],"&lt;"&amp;Games[[#This Row],[Week]]))</f>
        <v>10</v>
      </c>
      <c r="U281">
        <f>IF(Games[[#This Row],[Team]]="","",_xlfn.MAXIFS(Games[Week],Games[Team],Games[[#This Row],[Opponent]],Games[Season],Games[[#This Row],[Season]],Games[Week],"&lt;"&amp;Games[[#This Row],[Week]]))</f>
        <v>10</v>
      </c>
      <c r="V28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8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8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8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1569.8097256373187</v>
      </c>
      <c r="Z28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1393.7335142834895</v>
      </c>
      <c r="AA28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0.8065959699645262</v>
      </c>
      <c r="AB281">
        <f>IF(Games[[#This Row],[Team]]="","",Games[[#This Row],[PointsFor]]-Games[[#This Row],[PointsAgainst]])</f>
        <v>-3</v>
      </c>
      <c r="AC281">
        <f>IF(Games[[#This Row],[Team]]="","",IF(Games[[#This Row],[MOV]]&gt;0,1,IF(Games[[#This Row],[MOV]]=0,0.5,0)))</f>
        <v>0</v>
      </c>
      <c r="AD281">
        <f>IF(Games[[#This Row],[Team]]="","",--(OR(AND(Games[[#This Row],[ExpectedWin]]&gt;=0.5,Games[[#This Row],[Result]]=1),AND(Games[[#This Row],[ExpectedWin]]&lt;0.5,Games[[#This Row],[Result]]=0))))</f>
        <v>0</v>
      </c>
      <c r="AE281">
        <f>IF(Games[[#This Row],[Team]]="","",-(Games[[#This Row],[Result]]*LN(Games[[#This Row],[ExpectedWin]])+(1-Games[[#This Row],[Result]])*LN(1-Games[[#This Row],[ExpectedWin]])))</f>
        <v>1.6429738583544333</v>
      </c>
      <c r="AF281">
        <f>IF(Games[[#This Row],[Team]]="","",IF(Games[[#This Row],[Season]]&gt;=2021,17,16))</f>
        <v>16</v>
      </c>
      <c r="AG281">
        <f>IF(Games[[#This Row],[Team]]="","",KMax-(KMax-KFloor)*MIN(Games[[#This Row],[GamesPlayed]],Games[[#This Row],[SeasonLen]])/Games[[#This Row],[SeasonLen]])</f>
        <v>39.875</v>
      </c>
      <c r="AH281">
        <f>IF(Games[[#This Row],[Team]]="","",((ABS(Games[[#This Row],[MOV]])+3)^0.8)/(7.5+0.006*ABS(Games[[#This Row],[PreGmRate]]-Games[[#This Row],[OppPreGmRate]]))*IF(Games[[#This Row],[OT]]=1,0.7,1))</f>
        <v>0.34302443252714321</v>
      </c>
      <c r="AI28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1">
        <f>IF(Games[[#This Row],[Team]]="","",Games[[#This Row],[K]]*IF(Games[[#This Row],[DivG]]=1,DivMult,1)*IF(Games[[#This Row],[ConfG]]=1,ConfMult,1)*Games[[#This Row],[POMult]])</f>
        <v>44.739750000000008</v>
      </c>
      <c r="AK281">
        <f>IF(Games[[#This Row],[Team]]="","",(Games[[#This Row],[Keff]]*Games[[#This Row],[MOVMult]])*(Games[[#This Row],[Result]]-Games[[#This Row],[ExpectedWin]]))</f>
        <v>-12.378689096410385</v>
      </c>
      <c r="AL281">
        <f>IF(Games[[#This Row],[Team]]="","",Games[[#This Row],[PreGmRate]]+Games[[#This Row],[RatingChange]])</f>
        <v>1557.4310365409083</v>
      </c>
      <c r="AM281">
        <f>IF(Games[[#This Row],[Team]]="","",IF(Games[[#This Row],[Type]]="R",IF(Games[[#This Row],[Result]]&gt;0.5,1,0),0))</f>
        <v>0</v>
      </c>
      <c r="AN281">
        <f>IF(Games[[#This Row],[Team]]="","",IF(Games[[#This Row],[Type]]="R",IF(Games[[#This Row],[Result]]&lt;0.5,1,0),0))</f>
        <v>1</v>
      </c>
      <c r="AO281">
        <f>IF(Games[[#This Row],[Team]]="","",IF(Games[[#This Row],[Type]]="R",IF(Games[[#This Row],[Result]]=0.5,1,0),0))</f>
        <v>0</v>
      </c>
    </row>
    <row r="282" spans="1:41" x14ac:dyDescent="0.35">
      <c r="A282" s="8">
        <v>35379</v>
      </c>
      <c r="B282">
        <v>1996</v>
      </c>
      <c r="C282" t="s">
        <v>197</v>
      </c>
      <c r="D282" t="s">
        <v>199</v>
      </c>
      <c r="E282" t="s">
        <v>126</v>
      </c>
      <c r="F282" t="s">
        <v>120</v>
      </c>
      <c r="G282" t="s">
        <v>200</v>
      </c>
      <c r="H282">
        <v>27</v>
      </c>
      <c r="I282">
        <v>20</v>
      </c>
      <c r="J282">
        <v>0</v>
      </c>
      <c r="K28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8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8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8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82">
        <f>IF(Games[[#This Row],[Team]]="","",IF(Games[[#This Row],[Conf]]=Games[[#This Row],[OppConf]],1,0))</f>
        <v>0</v>
      </c>
      <c r="P282">
        <f>IF(Games[[#This Row],[Team]]="","",IF(AND(Games[[#This Row],[Conf]]=Games[[#This Row],[OppConf]],Games[[#This Row],[Div]]=Games[[#This Row],[OppDiv]]),1,0))</f>
        <v>0</v>
      </c>
      <c r="Q282">
        <f>IF(Games[[#This Row],[Team]]="","",_xlfn.MINIFS(Games[Date],Games[Season],Games[[#This Row],[Season]]))</f>
        <v>35309</v>
      </c>
      <c r="R282">
        <f>IF(Games[[#This Row],[Team]]="","",INT((Games[[#This Row],[Date]]-(Games[[#This Row],[SeasonStart]]-MOD(WEEKDAY(Games[[#This Row],[SeasonStart]],2)-2,7)))/7)+1)</f>
        <v>11</v>
      </c>
      <c r="S282">
        <f>IF(Games[[#This Row],[Team]]="","",COUNTIFS(Games[Team],Games[[#This Row],[Team]],Games[Season],Games[[#This Row],[Season]],Games[Week],"&lt;="&amp;Games[[#This Row],[Week]]))</f>
        <v>10</v>
      </c>
      <c r="T282">
        <f>IF(Games[[#This Row],[Team]]="","",_xlfn.MAXIFS(Games[Week],Games[Team],Games[[#This Row],[Team]],Games[Season],Games[[#This Row],[Season]],Games[Week],"&lt;"&amp;Games[[#This Row],[Week]]))</f>
        <v>10</v>
      </c>
      <c r="U282">
        <f>IF(Games[[#This Row],[Team]]="","",_xlfn.MAXIFS(Games[Week],Games[Team],Games[[#This Row],[Opponent]],Games[Season],Games[[#This Row],[Season]],Games[Week],"&lt;"&amp;Games[[#This Row],[Week]]))</f>
        <v>10</v>
      </c>
      <c r="V28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8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8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8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1557.7388726393842</v>
      </c>
      <c r="Z28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1679.3980610386197</v>
      </c>
      <c r="AA28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0.42901739790443821</v>
      </c>
      <c r="AB282">
        <f>IF(Games[[#This Row],[Team]]="","",Games[[#This Row],[PointsFor]]-Games[[#This Row],[PointsAgainst]])</f>
        <v>7</v>
      </c>
      <c r="AC282">
        <f>IF(Games[[#This Row],[Team]]="","",IF(Games[[#This Row],[MOV]]&gt;0,1,IF(Games[[#This Row],[MOV]]=0,0.5,0)))</f>
        <v>1</v>
      </c>
      <c r="AD282">
        <f>IF(Games[[#This Row],[Team]]="","",--(OR(AND(Games[[#This Row],[ExpectedWin]]&gt;=0.5,Games[[#This Row],[Result]]=1),AND(Games[[#This Row],[ExpectedWin]]&lt;0.5,Games[[#This Row],[Result]]=0))))</f>
        <v>0</v>
      </c>
      <c r="AE282">
        <f>IF(Games[[#This Row],[Team]]="","",-(Games[[#This Row],[Result]]*LN(Games[[#This Row],[ExpectedWin]])+(1-Games[[#This Row],[Result]])*LN(1-Games[[#This Row],[ExpectedWin]])))</f>
        <v>0.84625780632063385</v>
      </c>
      <c r="AF282">
        <f>IF(Games[[#This Row],[Team]]="","",IF(Games[[#This Row],[Season]]&gt;=2021,17,16))</f>
        <v>16</v>
      </c>
      <c r="AG282">
        <f>IF(Games[[#This Row],[Team]]="","",KMax-(KMax-KFloor)*MIN(Games[[#This Row],[GamesPlayed]],Games[[#This Row],[SeasonLen]])/Games[[#This Row],[SeasonLen]])</f>
        <v>39.875</v>
      </c>
      <c r="AH282">
        <f>IF(Games[[#This Row],[Team]]="","",((ABS(Games[[#This Row],[MOV]])+3)^0.8)/(7.5+0.006*ABS(Games[[#This Row],[PreGmRate]]-Games[[#This Row],[OppPreGmRate]]))*IF(Games[[#This Row],[OT]]=1,0.7,1))</f>
        <v>0.76665951938170362</v>
      </c>
      <c r="AI28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2">
        <f>IF(Games[[#This Row],[Team]]="","",Games[[#This Row],[K]]*IF(Games[[#This Row],[DivG]]=1,DivMult,1)*IF(Games[[#This Row],[ConfG]]=1,ConfMult,1)*Games[[#This Row],[POMult]])</f>
        <v>39.875</v>
      </c>
      <c r="AK282">
        <f>IF(Games[[#This Row],[Team]]="","",(Games[[#This Row],[Keff]]*Games[[#This Row],[MOVMult]])*(Games[[#This Row],[Result]]-Games[[#This Row],[ExpectedWin]]))</f>
        <v>17.455251236003679</v>
      </c>
      <c r="AL282">
        <f>IF(Games[[#This Row],[Team]]="","",Games[[#This Row],[PreGmRate]]+Games[[#This Row],[RatingChange]])</f>
        <v>1575.194123875388</v>
      </c>
      <c r="AM282">
        <f>IF(Games[[#This Row],[Team]]="","",IF(Games[[#This Row],[Type]]="R",IF(Games[[#This Row],[Result]]&gt;0.5,1,0),0))</f>
        <v>1</v>
      </c>
      <c r="AN282">
        <f>IF(Games[[#This Row],[Team]]="","",IF(Games[[#This Row],[Type]]="R",IF(Games[[#This Row],[Result]]&lt;0.5,1,0),0))</f>
        <v>0</v>
      </c>
      <c r="AO282">
        <f>IF(Games[[#This Row],[Team]]="","",IF(Games[[#This Row],[Type]]="R",IF(Games[[#This Row],[Result]]=0.5,1,0),0))</f>
        <v>0</v>
      </c>
    </row>
    <row r="283" spans="1:41" x14ac:dyDescent="0.35">
      <c r="A283" s="8">
        <v>35379</v>
      </c>
      <c r="B283">
        <v>1996</v>
      </c>
      <c r="C283" t="s">
        <v>197</v>
      </c>
      <c r="D283" t="s">
        <v>199</v>
      </c>
      <c r="E283" t="s">
        <v>120</v>
      </c>
      <c r="F283" t="s">
        <v>126</v>
      </c>
      <c r="G283" t="s">
        <v>201</v>
      </c>
      <c r="H283">
        <v>20</v>
      </c>
      <c r="I283">
        <v>27</v>
      </c>
      <c r="J283">
        <v>0</v>
      </c>
      <c r="K28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8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8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8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83">
        <f>IF(Games[[#This Row],[Team]]="","",IF(Games[[#This Row],[Conf]]=Games[[#This Row],[OppConf]],1,0))</f>
        <v>0</v>
      </c>
      <c r="P283">
        <f>IF(Games[[#This Row],[Team]]="","",IF(AND(Games[[#This Row],[Conf]]=Games[[#This Row],[OppConf]],Games[[#This Row],[Div]]=Games[[#This Row],[OppDiv]]),1,0))</f>
        <v>0</v>
      </c>
      <c r="Q283">
        <f>IF(Games[[#This Row],[Team]]="","",_xlfn.MINIFS(Games[Date],Games[Season],Games[[#This Row],[Season]]))</f>
        <v>35309</v>
      </c>
      <c r="R283">
        <f>IF(Games[[#This Row],[Team]]="","",INT((Games[[#This Row],[Date]]-(Games[[#This Row],[SeasonStart]]-MOD(WEEKDAY(Games[[#This Row],[SeasonStart]],2)-2,7)))/7)+1)</f>
        <v>11</v>
      </c>
      <c r="S283">
        <f>IF(Games[[#This Row],[Team]]="","",COUNTIFS(Games[Team],Games[[#This Row],[Team]],Games[Season],Games[[#This Row],[Season]],Games[Week],"&lt;="&amp;Games[[#This Row],[Week]]))</f>
        <v>10</v>
      </c>
      <c r="T283">
        <f>IF(Games[[#This Row],[Team]]="","",_xlfn.MAXIFS(Games[Week],Games[Team],Games[[#This Row],[Team]],Games[Season],Games[[#This Row],[Season]],Games[Week],"&lt;"&amp;Games[[#This Row],[Week]]))</f>
        <v>10</v>
      </c>
      <c r="U283">
        <f>IF(Games[[#This Row],[Team]]="","",_xlfn.MAXIFS(Games[Week],Games[Team],Games[[#This Row],[Opponent]],Games[Season],Games[[#This Row],[Season]],Games[Week],"&lt;"&amp;Games[[#This Row],[Week]]))</f>
        <v>10</v>
      </c>
      <c r="V28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8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8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8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1679.3980610386197</v>
      </c>
      <c r="Z28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1557.7388726393842</v>
      </c>
      <c r="AA28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0.57098260209556173</v>
      </c>
      <c r="AB283">
        <f>IF(Games[[#This Row],[Team]]="","",Games[[#This Row],[PointsFor]]-Games[[#This Row],[PointsAgainst]])</f>
        <v>-7</v>
      </c>
      <c r="AC283">
        <f>IF(Games[[#This Row],[Team]]="","",IF(Games[[#This Row],[MOV]]&gt;0,1,IF(Games[[#This Row],[MOV]]=0,0.5,0)))</f>
        <v>0</v>
      </c>
      <c r="AD283">
        <f>IF(Games[[#This Row],[Team]]="","",--(OR(AND(Games[[#This Row],[ExpectedWin]]&gt;=0.5,Games[[#This Row],[Result]]=1),AND(Games[[#This Row],[ExpectedWin]]&lt;0.5,Games[[#This Row],[Result]]=0))))</f>
        <v>0</v>
      </c>
      <c r="AE283">
        <f>IF(Games[[#This Row],[Team]]="","",-(Games[[#This Row],[Result]]*LN(Games[[#This Row],[ExpectedWin]])+(1-Games[[#This Row],[Result]])*LN(1-Games[[#This Row],[ExpectedWin]])))</f>
        <v>0.84625780632063363</v>
      </c>
      <c r="AF283">
        <f>IF(Games[[#This Row],[Team]]="","",IF(Games[[#This Row],[Season]]&gt;=2021,17,16))</f>
        <v>16</v>
      </c>
      <c r="AG283">
        <f>IF(Games[[#This Row],[Team]]="","",KMax-(KMax-KFloor)*MIN(Games[[#This Row],[GamesPlayed]],Games[[#This Row],[SeasonLen]])/Games[[#This Row],[SeasonLen]])</f>
        <v>39.875</v>
      </c>
      <c r="AH283">
        <f>IF(Games[[#This Row],[Team]]="","",((ABS(Games[[#This Row],[MOV]])+3)^0.8)/(7.5+0.006*ABS(Games[[#This Row],[PreGmRate]]-Games[[#This Row],[OppPreGmRate]]))*IF(Games[[#This Row],[OT]]=1,0.7,1))</f>
        <v>0.76665951938170362</v>
      </c>
      <c r="AI28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3">
        <f>IF(Games[[#This Row],[Team]]="","",Games[[#This Row],[K]]*IF(Games[[#This Row],[DivG]]=1,DivMult,1)*IF(Games[[#This Row],[ConfG]]=1,ConfMult,1)*Games[[#This Row],[POMult]])</f>
        <v>39.875</v>
      </c>
      <c r="AK283">
        <f>IF(Games[[#This Row],[Team]]="","",(Games[[#This Row],[Keff]]*Games[[#This Row],[MOVMult]])*(Games[[#This Row],[Result]]-Games[[#This Row],[ExpectedWin]]))</f>
        <v>-17.455251236003679</v>
      </c>
      <c r="AL283">
        <f>IF(Games[[#This Row],[Team]]="","",Games[[#This Row],[PreGmRate]]+Games[[#This Row],[RatingChange]])</f>
        <v>1661.942809802616</v>
      </c>
      <c r="AM283">
        <f>IF(Games[[#This Row],[Team]]="","",IF(Games[[#This Row],[Type]]="R",IF(Games[[#This Row],[Result]]&gt;0.5,1,0),0))</f>
        <v>0</v>
      </c>
      <c r="AN283">
        <f>IF(Games[[#This Row],[Team]]="","",IF(Games[[#This Row],[Type]]="R",IF(Games[[#This Row],[Result]]&lt;0.5,1,0),0))</f>
        <v>1</v>
      </c>
      <c r="AO283">
        <f>IF(Games[[#This Row],[Team]]="","",IF(Games[[#This Row],[Type]]="R",IF(Games[[#This Row],[Result]]=0.5,1,0),0))</f>
        <v>0</v>
      </c>
    </row>
    <row r="284" spans="1:41" x14ac:dyDescent="0.35">
      <c r="A284" s="8">
        <v>35379</v>
      </c>
      <c r="B284">
        <v>1996</v>
      </c>
      <c r="C284" t="s">
        <v>197</v>
      </c>
      <c r="D284" t="s">
        <v>199</v>
      </c>
      <c r="E284" t="s">
        <v>153</v>
      </c>
      <c r="F284" t="s">
        <v>134</v>
      </c>
      <c r="G284" t="s">
        <v>201</v>
      </c>
      <c r="H284">
        <v>31</v>
      </c>
      <c r="I284">
        <v>14</v>
      </c>
      <c r="J284">
        <v>0</v>
      </c>
      <c r="K28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8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8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8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84">
        <f>IF(Games[[#This Row],[Team]]="","",IF(Games[[#This Row],[Conf]]=Games[[#This Row],[OppConf]],1,0))</f>
        <v>0</v>
      </c>
      <c r="P284">
        <f>IF(Games[[#This Row],[Team]]="","",IF(AND(Games[[#This Row],[Conf]]=Games[[#This Row],[OppConf]],Games[[#This Row],[Div]]=Games[[#This Row],[OppDiv]]),1,0))</f>
        <v>0</v>
      </c>
      <c r="Q284">
        <f>IF(Games[[#This Row],[Team]]="","",_xlfn.MINIFS(Games[Date],Games[Season],Games[[#This Row],[Season]]))</f>
        <v>35309</v>
      </c>
      <c r="R284">
        <f>IF(Games[[#This Row],[Team]]="","",INT((Games[[#This Row],[Date]]-(Games[[#This Row],[SeasonStart]]-MOD(WEEKDAY(Games[[#This Row],[SeasonStart]],2)-2,7)))/7)+1)</f>
        <v>11</v>
      </c>
      <c r="S284">
        <f>IF(Games[[#This Row],[Team]]="","",COUNTIFS(Games[Team],Games[[#This Row],[Team]],Games[Season],Games[[#This Row],[Season]],Games[Week],"&lt;="&amp;Games[[#This Row],[Week]]))</f>
        <v>10</v>
      </c>
      <c r="T284">
        <f>IF(Games[[#This Row],[Team]]="","",_xlfn.MAXIFS(Games[Week],Games[Team],Games[[#This Row],[Team]],Games[Season],Games[[#This Row],[Season]],Games[Week],"&lt;"&amp;Games[[#This Row],[Week]]))</f>
        <v>10</v>
      </c>
      <c r="U284">
        <f>IF(Games[[#This Row],[Team]]="","",_xlfn.MAXIFS(Games[Week],Games[Team],Games[[#This Row],[Opponent]],Games[Season],Games[[#This Row],[Season]],Games[Week],"&lt;"&amp;Games[[#This Row],[Week]]))</f>
        <v>10</v>
      </c>
      <c r="V28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8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8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8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1535.410152773354</v>
      </c>
      <c r="Z28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1392.1241776207387</v>
      </c>
      <c r="AA28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0.60117301235491116</v>
      </c>
      <c r="AB284">
        <f>IF(Games[[#This Row],[Team]]="","",Games[[#This Row],[PointsFor]]-Games[[#This Row],[PointsAgainst]])</f>
        <v>17</v>
      </c>
      <c r="AC284">
        <f>IF(Games[[#This Row],[Team]]="","",IF(Games[[#This Row],[MOV]]&gt;0,1,IF(Games[[#This Row],[MOV]]=0,0.5,0)))</f>
        <v>1</v>
      </c>
      <c r="AD284">
        <f>IF(Games[[#This Row],[Team]]="","",--(OR(AND(Games[[#This Row],[ExpectedWin]]&gt;=0.5,Games[[#This Row],[Result]]=1),AND(Games[[#This Row],[ExpectedWin]]&lt;0.5,Games[[#This Row],[Result]]=0))))</f>
        <v>1</v>
      </c>
      <c r="AE284">
        <f>IF(Games[[#This Row],[Team]]="","",-(Games[[#This Row],[Result]]*LN(Games[[#This Row],[ExpectedWin]])+(1-Games[[#This Row],[Result]])*LN(1-Games[[#This Row],[ExpectedWin]])))</f>
        <v>0.50887251174011017</v>
      </c>
      <c r="AF284">
        <f>IF(Games[[#This Row],[Team]]="","",IF(Games[[#This Row],[Season]]&gt;=2021,17,16))</f>
        <v>16</v>
      </c>
      <c r="AG284">
        <f>IF(Games[[#This Row],[Team]]="","",KMax-(KMax-KFloor)*MIN(Games[[#This Row],[GamesPlayed]],Games[[#This Row],[SeasonLen]])/Games[[#This Row],[SeasonLen]])</f>
        <v>39.875</v>
      </c>
      <c r="AH284">
        <f>IF(Games[[#This Row],[Team]]="","",((ABS(Games[[#This Row],[MOV]])+3)^0.8)/(7.5+0.006*ABS(Games[[#This Row],[PreGmRate]]-Games[[#This Row],[OppPreGmRate]]))*IF(Games[[#This Row],[OT]]=1,0.7,1))</f>
        <v>1.3141123010607898</v>
      </c>
      <c r="AI28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4">
        <f>IF(Games[[#This Row],[Team]]="","",Games[[#This Row],[K]]*IF(Games[[#This Row],[DivG]]=1,DivMult,1)*IF(Games[[#This Row],[ConfG]]=1,ConfMult,1)*Games[[#This Row],[POMult]])</f>
        <v>39.875</v>
      </c>
      <c r="AK284">
        <f>IF(Games[[#This Row],[Team]]="","",(Games[[#This Row],[Keff]]*Games[[#This Row],[MOVMult]])*(Games[[#This Row],[Result]]-Games[[#This Row],[ExpectedWin]]))</f>
        <v>20.898625087069806</v>
      </c>
      <c r="AL284">
        <f>IF(Games[[#This Row],[Team]]="","",Games[[#This Row],[PreGmRate]]+Games[[#This Row],[RatingChange]])</f>
        <v>1556.3087778604238</v>
      </c>
      <c r="AM284">
        <f>IF(Games[[#This Row],[Team]]="","",IF(Games[[#This Row],[Type]]="R",IF(Games[[#This Row],[Result]]&gt;0.5,1,0),0))</f>
        <v>1</v>
      </c>
      <c r="AN284">
        <f>IF(Games[[#This Row],[Team]]="","",IF(Games[[#This Row],[Type]]="R",IF(Games[[#This Row],[Result]]&lt;0.5,1,0),0))</f>
        <v>0</v>
      </c>
      <c r="AO284">
        <f>IF(Games[[#This Row],[Team]]="","",IF(Games[[#This Row],[Type]]="R",IF(Games[[#This Row],[Result]]=0.5,1,0),0))</f>
        <v>0</v>
      </c>
    </row>
    <row r="285" spans="1:41" x14ac:dyDescent="0.35">
      <c r="A285" s="8">
        <v>35379</v>
      </c>
      <c r="B285">
        <v>1996</v>
      </c>
      <c r="C285" t="s">
        <v>197</v>
      </c>
      <c r="D285" t="s">
        <v>199</v>
      </c>
      <c r="E285" t="s">
        <v>134</v>
      </c>
      <c r="F285" t="s">
        <v>153</v>
      </c>
      <c r="G285" t="s">
        <v>200</v>
      </c>
      <c r="H285">
        <v>14</v>
      </c>
      <c r="I285">
        <v>31</v>
      </c>
      <c r="J285">
        <v>0</v>
      </c>
      <c r="K28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8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8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8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85">
        <f>IF(Games[[#This Row],[Team]]="","",IF(Games[[#This Row],[Conf]]=Games[[#This Row],[OppConf]],1,0))</f>
        <v>0</v>
      </c>
      <c r="P285">
        <f>IF(Games[[#This Row],[Team]]="","",IF(AND(Games[[#This Row],[Conf]]=Games[[#This Row],[OppConf]],Games[[#This Row],[Div]]=Games[[#This Row],[OppDiv]]),1,0))</f>
        <v>0</v>
      </c>
      <c r="Q285">
        <f>IF(Games[[#This Row],[Team]]="","",_xlfn.MINIFS(Games[Date],Games[Season],Games[[#This Row],[Season]]))</f>
        <v>35309</v>
      </c>
      <c r="R285">
        <f>IF(Games[[#This Row],[Team]]="","",INT((Games[[#This Row],[Date]]-(Games[[#This Row],[SeasonStart]]-MOD(WEEKDAY(Games[[#This Row],[SeasonStart]],2)-2,7)))/7)+1)</f>
        <v>11</v>
      </c>
      <c r="S285">
        <f>IF(Games[[#This Row],[Team]]="","",COUNTIFS(Games[Team],Games[[#This Row],[Team]],Games[Season],Games[[#This Row],[Season]],Games[Week],"&lt;="&amp;Games[[#This Row],[Week]]))</f>
        <v>10</v>
      </c>
      <c r="T285">
        <f>IF(Games[[#This Row],[Team]]="","",_xlfn.MAXIFS(Games[Week],Games[Team],Games[[#This Row],[Team]],Games[Season],Games[[#This Row],[Season]],Games[Week],"&lt;"&amp;Games[[#This Row],[Week]]))</f>
        <v>10</v>
      </c>
      <c r="U285">
        <f>IF(Games[[#This Row],[Team]]="","",_xlfn.MAXIFS(Games[Week],Games[Team],Games[[#This Row],[Opponent]],Games[Season],Games[[#This Row],[Season]],Games[Week],"&lt;"&amp;Games[[#This Row],[Week]]))</f>
        <v>10</v>
      </c>
      <c r="V28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8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8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8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1392.1241776207387</v>
      </c>
      <c r="Z28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1535.410152773354</v>
      </c>
      <c r="AA28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0.39882698764508878</v>
      </c>
      <c r="AB285">
        <f>IF(Games[[#This Row],[Team]]="","",Games[[#This Row],[PointsFor]]-Games[[#This Row],[PointsAgainst]])</f>
        <v>-17</v>
      </c>
      <c r="AC285">
        <f>IF(Games[[#This Row],[Team]]="","",IF(Games[[#This Row],[MOV]]&gt;0,1,IF(Games[[#This Row],[MOV]]=0,0.5,0)))</f>
        <v>0</v>
      </c>
      <c r="AD285">
        <f>IF(Games[[#This Row],[Team]]="","",--(OR(AND(Games[[#This Row],[ExpectedWin]]&gt;=0.5,Games[[#This Row],[Result]]=1),AND(Games[[#This Row],[ExpectedWin]]&lt;0.5,Games[[#This Row],[Result]]=0))))</f>
        <v>1</v>
      </c>
      <c r="AE285">
        <f>IF(Games[[#This Row],[Team]]="","",-(Games[[#This Row],[Result]]*LN(Games[[#This Row],[ExpectedWin]])+(1-Games[[#This Row],[Result]])*LN(1-Games[[#This Row],[ExpectedWin]])))</f>
        <v>0.50887251174010995</v>
      </c>
      <c r="AF285">
        <f>IF(Games[[#This Row],[Team]]="","",IF(Games[[#This Row],[Season]]&gt;=2021,17,16))</f>
        <v>16</v>
      </c>
      <c r="AG285">
        <f>IF(Games[[#This Row],[Team]]="","",KMax-(KMax-KFloor)*MIN(Games[[#This Row],[GamesPlayed]],Games[[#This Row],[SeasonLen]])/Games[[#This Row],[SeasonLen]])</f>
        <v>39.875</v>
      </c>
      <c r="AH285">
        <f>IF(Games[[#This Row],[Team]]="","",((ABS(Games[[#This Row],[MOV]])+3)^0.8)/(7.5+0.006*ABS(Games[[#This Row],[PreGmRate]]-Games[[#This Row],[OppPreGmRate]]))*IF(Games[[#This Row],[OT]]=1,0.7,1))</f>
        <v>1.3141123010607898</v>
      </c>
      <c r="AI28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5">
        <f>IF(Games[[#This Row],[Team]]="","",Games[[#This Row],[K]]*IF(Games[[#This Row],[DivG]]=1,DivMult,1)*IF(Games[[#This Row],[ConfG]]=1,ConfMult,1)*Games[[#This Row],[POMult]])</f>
        <v>39.875</v>
      </c>
      <c r="AK285">
        <f>IF(Games[[#This Row],[Team]]="","",(Games[[#This Row],[Keff]]*Games[[#This Row],[MOVMult]])*(Games[[#This Row],[Result]]-Games[[#This Row],[ExpectedWin]]))</f>
        <v>-20.898625087069803</v>
      </c>
      <c r="AL285">
        <f>IF(Games[[#This Row],[Team]]="","",Games[[#This Row],[PreGmRate]]+Games[[#This Row],[RatingChange]])</f>
        <v>1371.2255525336689</v>
      </c>
      <c r="AM285">
        <f>IF(Games[[#This Row],[Team]]="","",IF(Games[[#This Row],[Type]]="R",IF(Games[[#This Row],[Result]]&gt;0.5,1,0),0))</f>
        <v>0</v>
      </c>
      <c r="AN285">
        <f>IF(Games[[#This Row],[Team]]="","",IF(Games[[#This Row],[Type]]="R",IF(Games[[#This Row],[Result]]&lt;0.5,1,0),0))</f>
        <v>1</v>
      </c>
      <c r="AO285">
        <f>IF(Games[[#This Row],[Team]]="","",IF(Games[[#This Row],[Type]]="R",IF(Games[[#This Row],[Result]]=0.5,1,0),0))</f>
        <v>0</v>
      </c>
    </row>
    <row r="286" spans="1:41" x14ac:dyDescent="0.35">
      <c r="A286" s="8">
        <v>35379</v>
      </c>
      <c r="B286">
        <v>1996</v>
      </c>
      <c r="C286" t="s">
        <v>197</v>
      </c>
      <c r="D286" t="s">
        <v>199</v>
      </c>
      <c r="E286" t="s">
        <v>132</v>
      </c>
      <c r="F286" t="s">
        <v>138</v>
      </c>
      <c r="G286" t="s">
        <v>201</v>
      </c>
      <c r="H286">
        <v>31</v>
      </c>
      <c r="I286">
        <v>27</v>
      </c>
      <c r="J286">
        <v>0</v>
      </c>
      <c r="K28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8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8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8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86">
        <f>IF(Games[[#This Row],[Team]]="","",IF(Games[[#This Row],[Conf]]=Games[[#This Row],[OppConf]],1,0))</f>
        <v>1</v>
      </c>
      <c r="P286">
        <f>IF(Games[[#This Row],[Team]]="","",IF(AND(Games[[#This Row],[Conf]]=Games[[#This Row],[OppConf]],Games[[#This Row],[Div]]=Games[[#This Row],[OppDiv]]),1,0))</f>
        <v>1</v>
      </c>
      <c r="Q286">
        <f>IF(Games[[#This Row],[Team]]="","",_xlfn.MINIFS(Games[Date],Games[Season],Games[[#This Row],[Season]]))</f>
        <v>35309</v>
      </c>
      <c r="R286">
        <f>IF(Games[[#This Row],[Team]]="","",INT((Games[[#This Row],[Date]]-(Games[[#This Row],[SeasonStart]]-MOD(WEEKDAY(Games[[#This Row],[SeasonStart]],2)-2,7)))/7)+1)</f>
        <v>11</v>
      </c>
      <c r="S286">
        <f>IF(Games[[#This Row],[Team]]="","",COUNTIFS(Games[Team],Games[[#This Row],[Team]],Games[Season],Games[[#This Row],[Season]],Games[Week],"&lt;="&amp;Games[[#This Row],[Week]]))</f>
        <v>10</v>
      </c>
      <c r="T286">
        <f>IF(Games[[#This Row],[Team]]="","",_xlfn.MAXIFS(Games[Week],Games[Team],Games[[#This Row],[Team]],Games[Season],Games[[#This Row],[Season]],Games[Week],"&lt;"&amp;Games[[#This Row],[Week]]))</f>
        <v>10</v>
      </c>
      <c r="U286">
        <f>IF(Games[[#This Row],[Team]]="","",_xlfn.MAXIFS(Games[Week],Games[Team],Games[[#This Row],[Opponent]],Games[Season],Games[[#This Row],[Season]],Games[Week],"&lt;"&amp;Games[[#This Row],[Week]]))</f>
        <v>9</v>
      </c>
      <c r="V28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8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28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28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1585.7578318607448</v>
      </c>
      <c r="Z28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1366.5587649558579</v>
      </c>
      <c r="AA28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0.67022233978827028</v>
      </c>
      <c r="AB286">
        <f>IF(Games[[#This Row],[Team]]="","",Games[[#This Row],[PointsFor]]-Games[[#This Row],[PointsAgainst]])</f>
        <v>4</v>
      </c>
      <c r="AC286">
        <f>IF(Games[[#This Row],[Team]]="","",IF(Games[[#This Row],[MOV]]&gt;0,1,IF(Games[[#This Row],[MOV]]=0,0.5,0)))</f>
        <v>1</v>
      </c>
      <c r="AD286">
        <f>IF(Games[[#This Row],[Team]]="","",--(OR(AND(Games[[#This Row],[ExpectedWin]]&gt;=0.5,Games[[#This Row],[Result]]=1),AND(Games[[#This Row],[ExpectedWin]]&lt;0.5,Games[[#This Row],[Result]]=0))))</f>
        <v>1</v>
      </c>
      <c r="AE286">
        <f>IF(Games[[#This Row],[Team]]="","",-(Games[[#This Row],[Result]]*LN(Games[[#This Row],[ExpectedWin]])+(1-Games[[#This Row],[Result]])*LN(1-Games[[#This Row],[ExpectedWin]])))</f>
        <v>0.40014577121704659</v>
      </c>
      <c r="AF286">
        <f>IF(Games[[#This Row],[Team]]="","",IF(Games[[#This Row],[Season]]&gt;=2021,17,16))</f>
        <v>16</v>
      </c>
      <c r="AG286">
        <f>IF(Games[[#This Row],[Team]]="","",KMax-(KMax-KFloor)*MIN(Games[[#This Row],[GamesPlayed]],Games[[#This Row],[SeasonLen]])/Games[[#This Row],[SeasonLen]])</f>
        <v>39.875</v>
      </c>
      <c r="AH286">
        <f>IF(Games[[#This Row],[Team]]="","",((ABS(Games[[#This Row],[MOV]])+3)^0.8)/(7.5+0.006*ABS(Games[[#This Row],[PreGmRate]]-Games[[#This Row],[OppPreGmRate]]))*IF(Games[[#This Row],[OT]]=1,0.7,1))</f>
        <v>0.53807961319994002</v>
      </c>
      <c r="AI28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6">
        <f>IF(Games[[#This Row],[Team]]="","",Games[[#This Row],[K]]*IF(Games[[#This Row],[DivG]]=1,DivMult,1)*IF(Games[[#This Row],[ConfG]]=1,ConfMult,1)*Games[[#This Row],[POMult]])</f>
        <v>44.739750000000008</v>
      </c>
      <c r="AK286">
        <f>IF(Games[[#This Row],[Team]]="","",(Games[[#This Row],[Keff]]*Games[[#This Row],[MOVMult]])*(Games[[#This Row],[Result]]-Games[[#This Row],[ExpectedWin]]))</f>
        <v>7.9389181262122692</v>
      </c>
      <c r="AL286">
        <f>IF(Games[[#This Row],[Team]]="","",Games[[#This Row],[PreGmRate]]+Games[[#This Row],[RatingChange]])</f>
        <v>1593.696749986957</v>
      </c>
      <c r="AM286">
        <f>IF(Games[[#This Row],[Team]]="","",IF(Games[[#This Row],[Type]]="R",IF(Games[[#This Row],[Result]]&gt;0.5,1,0),0))</f>
        <v>1</v>
      </c>
      <c r="AN286">
        <f>IF(Games[[#This Row],[Team]]="","",IF(Games[[#This Row],[Type]]="R",IF(Games[[#This Row],[Result]]&lt;0.5,1,0),0))</f>
        <v>0</v>
      </c>
      <c r="AO286">
        <f>IF(Games[[#This Row],[Team]]="","",IF(Games[[#This Row],[Type]]="R",IF(Games[[#This Row],[Result]]=0.5,1,0),0))</f>
        <v>0</v>
      </c>
    </row>
    <row r="287" spans="1:41" x14ac:dyDescent="0.35">
      <c r="A287" s="8">
        <v>35379</v>
      </c>
      <c r="B287">
        <v>1996</v>
      </c>
      <c r="C287" t="s">
        <v>197</v>
      </c>
      <c r="D287" t="s">
        <v>199</v>
      </c>
      <c r="E287" t="s">
        <v>138</v>
      </c>
      <c r="F287" t="s">
        <v>132</v>
      </c>
      <c r="G287" t="s">
        <v>200</v>
      </c>
      <c r="H287">
        <v>27</v>
      </c>
      <c r="I287">
        <v>31</v>
      </c>
      <c r="J287">
        <v>0</v>
      </c>
      <c r="K28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8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8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8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87">
        <f>IF(Games[[#This Row],[Team]]="","",IF(Games[[#This Row],[Conf]]=Games[[#This Row],[OppConf]],1,0))</f>
        <v>1</v>
      </c>
      <c r="P287">
        <f>IF(Games[[#This Row],[Team]]="","",IF(AND(Games[[#This Row],[Conf]]=Games[[#This Row],[OppConf]],Games[[#This Row],[Div]]=Games[[#This Row],[OppDiv]]),1,0))</f>
        <v>1</v>
      </c>
      <c r="Q287">
        <f>IF(Games[[#This Row],[Team]]="","",_xlfn.MINIFS(Games[Date],Games[Season],Games[[#This Row],[Season]]))</f>
        <v>35309</v>
      </c>
      <c r="R287">
        <f>IF(Games[[#This Row],[Team]]="","",INT((Games[[#This Row],[Date]]-(Games[[#This Row],[SeasonStart]]-MOD(WEEKDAY(Games[[#This Row],[SeasonStart]],2)-2,7)))/7)+1)</f>
        <v>11</v>
      </c>
      <c r="S287">
        <f>IF(Games[[#This Row],[Team]]="","",COUNTIFS(Games[Team],Games[[#This Row],[Team]],Games[Season],Games[[#This Row],[Season]],Games[Week],"&lt;="&amp;Games[[#This Row],[Week]]))</f>
        <v>10</v>
      </c>
      <c r="T287">
        <f>IF(Games[[#This Row],[Team]]="","",_xlfn.MAXIFS(Games[Week],Games[Team],Games[[#This Row],[Team]],Games[Season],Games[[#This Row],[Season]],Games[Week],"&lt;"&amp;Games[[#This Row],[Week]]))</f>
        <v>9</v>
      </c>
      <c r="U287">
        <f>IF(Games[[#This Row],[Team]]="","",_xlfn.MAXIFS(Games[Week],Games[Team],Games[[#This Row],[Opponent]],Games[Season],Games[[#This Row],[Season]],Games[Week],"&lt;"&amp;Games[[#This Row],[Week]]))</f>
        <v>10</v>
      </c>
      <c r="V28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28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8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28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1366.5587649558579</v>
      </c>
      <c r="Z28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1585.7578318607448</v>
      </c>
      <c r="AA28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0.32977766021172983</v>
      </c>
      <c r="AB287">
        <f>IF(Games[[#This Row],[Team]]="","",Games[[#This Row],[PointsFor]]-Games[[#This Row],[PointsAgainst]])</f>
        <v>-4</v>
      </c>
      <c r="AC287">
        <f>IF(Games[[#This Row],[Team]]="","",IF(Games[[#This Row],[MOV]]&gt;0,1,IF(Games[[#This Row],[MOV]]=0,0.5,0)))</f>
        <v>0</v>
      </c>
      <c r="AD287">
        <f>IF(Games[[#This Row],[Team]]="","",--(OR(AND(Games[[#This Row],[ExpectedWin]]&gt;=0.5,Games[[#This Row],[Result]]=1),AND(Games[[#This Row],[ExpectedWin]]&lt;0.5,Games[[#This Row],[Result]]=0))))</f>
        <v>1</v>
      </c>
      <c r="AE287">
        <f>IF(Games[[#This Row],[Team]]="","",-(Games[[#This Row],[Result]]*LN(Games[[#This Row],[ExpectedWin]])+(1-Games[[#This Row],[Result]])*LN(1-Games[[#This Row],[ExpectedWin]])))</f>
        <v>0.40014577121704675</v>
      </c>
      <c r="AF287">
        <f>IF(Games[[#This Row],[Team]]="","",IF(Games[[#This Row],[Season]]&gt;=2021,17,16))</f>
        <v>16</v>
      </c>
      <c r="AG287">
        <f>IF(Games[[#This Row],[Team]]="","",KMax-(KMax-KFloor)*MIN(Games[[#This Row],[GamesPlayed]],Games[[#This Row],[SeasonLen]])/Games[[#This Row],[SeasonLen]])</f>
        <v>39.875</v>
      </c>
      <c r="AH287">
        <f>IF(Games[[#This Row],[Team]]="","",((ABS(Games[[#This Row],[MOV]])+3)^0.8)/(7.5+0.006*ABS(Games[[#This Row],[PreGmRate]]-Games[[#This Row],[OppPreGmRate]]))*IF(Games[[#This Row],[OT]]=1,0.7,1))</f>
        <v>0.53807961319994002</v>
      </c>
      <c r="AI28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7">
        <f>IF(Games[[#This Row],[Team]]="","",Games[[#This Row],[K]]*IF(Games[[#This Row],[DivG]]=1,DivMult,1)*IF(Games[[#This Row],[ConfG]]=1,ConfMult,1)*Games[[#This Row],[POMult]])</f>
        <v>44.739750000000008</v>
      </c>
      <c r="AK287">
        <f>IF(Games[[#This Row],[Team]]="","",(Games[[#This Row],[Keff]]*Games[[#This Row],[MOVMult]])*(Games[[#This Row],[Result]]-Games[[#This Row],[ExpectedWin]]))</f>
        <v>-7.9389181262122728</v>
      </c>
      <c r="AL287">
        <f>IF(Games[[#This Row],[Team]]="","",Games[[#This Row],[PreGmRate]]+Games[[#This Row],[RatingChange]])</f>
        <v>1358.6198468296457</v>
      </c>
      <c r="AM287">
        <f>IF(Games[[#This Row],[Team]]="","",IF(Games[[#This Row],[Type]]="R",IF(Games[[#This Row],[Result]]&gt;0.5,1,0),0))</f>
        <v>0</v>
      </c>
      <c r="AN287">
        <f>IF(Games[[#This Row],[Team]]="","",IF(Games[[#This Row],[Type]]="R",IF(Games[[#This Row],[Result]]&lt;0.5,1,0),0))</f>
        <v>1</v>
      </c>
      <c r="AO287">
        <f>IF(Games[[#This Row],[Team]]="","",IF(Games[[#This Row],[Type]]="R",IF(Games[[#This Row],[Result]]=0.5,1,0),0))</f>
        <v>0</v>
      </c>
    </row>
    <row r="288" spans="1:41" x14ac:dyDescent="0.35">
      <c r="A288" s="8">
        <v>35379</v>
      </c>
      <c r="B288">
        <v>1996</v>
      </c>
      <c r="C288" t="s">
        <v>197</v>
      </c>
      <c r="D288" t="s">
        <v>199</v>
      </c>
      <c r="E288" t="s">
        <v>151</v>
      </c>
      <c r="F288" t="s">
        <v>140</v>
      </c>
      <c r="G288" t="s">
        <v>200</v>
      </c>
      <c r="H288">
        <v>20</v>
      </c>
      <c r="I288">
        <v>17</v>
      </c>
      <c r="J288">
        <v>1</v>
      </c>
      <c r="K28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8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8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8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88">
        <f>IF(Games[[#This Row],[Team]]="","",IF(Games[[#This Row],[Conf]]=Games[[#This Row],[OppConf]],1,0))</f>
        <v>0</v>
      </c>
      <c r="P288">
        <f>IF(Games[[#This Row],[Team]]="","",IF(AND(Games[[#This Row],[Conf]]=Games[[#This Row],[OppConf]],Games[[#This Row],[Div]]=Games[[#This Row],[OppDiv]]),1,0))</f>
        <v>0</v>
      </c>
      <c r="Q288">
        <f>IF(Games[[#This Row],[Team]]="","",_xlfn.MINIFS(Games[Date],Games[Season],Games[[#This Row],[Season]]))</f>
        <v>35309</v>
      </c>
      <c r="R288">
        <f>IF(Games[[#This Row],[Team]]="","",INT((Games[[#This Row],[Date]]-(Games[[#This Row],[SeasonStart]]-MOD(WEEKDAY(Games[[#This Row],[SeasonStart]],2)-2,7)))/7)+1)</f>
        <v>11</v>
      </c>
      <c r="S288">
        <f>IF(Games[[#This Row],[Team]]="","",COUNTIFS(Games[Team],Games[[#This Row],[Team]],Games[Season],Games[[#This Row],[Season]],Games[Week],"&lt;="&amp;Games[[#This Row],[Week]]))</f>
        <v>10</v>
      </c>
      <c r="T288">
        <f>IF(Games[[#This Row],[Team]]="","",_xlfn.MAXIFS(Games[Week],Games[Team],Games[[#This Row],[Team]],Games[Season],Games[[#This Row],[Season]],Games[Week],"&lt;"&amp;Games[[#This Row],[Week]]))</f>
        <v>10</v>
      </c>
      <c r="U288">
        <f>IF(Games[[#This Row],[Team]]="","",_xlfn.MAXIFS(Games[Week],Games[Team],Games[[#This Row],[Opponent]],Games[Season],Games[[#This Row],[Season]],Games[Week],"&lt;"&amp;Games[[#This Row],[Week]]))</f>
        <v>10</v>
      </c>
      <c r="V28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8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28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28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1362.5342978653393</v>
      </c>
      <c r="Z28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1540.5724766379331</v>
      </c>
      <c r="AA28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0.35988436967003834</v>
      </c>
      <c r="AB288">
        <f>IF(Games[[#This Row],[Team]]="","",Games[[#This Row],[PointsFor]]-Games[[#This Row],[PointsAgainst]])</f>
        <v>3</v>
      </c>
      <c r="AC288">
        <f>IF(Games[[#This Row],[Team]]="","",IF(Games[[#This Row],[MOV]]&gt;0,1,IF(Games[[#This Row],[MOV]]=0,0.5,0)))</f>
        <v>1</v>
      </c>
      <c r="AD288">
        <f>IF(Games[[#This Row],[Team]]="","",--(OR(AND(Games[[#This Row],[ExpectedWin]]&gt;=0.5,Games[[#This Row],[Result]]=1),AND(Games[[#This Row],[ExpectedWin]]&lt;0.5,Games[[#This Row],[Result]]=0))))</f>
        <v>0</v>
      </c>
      <c r="AE288">
        <f>IF(Games[[#This Row],[Team]]="","",-(Games[[#This Row],[Result]]*LN(Games[[#This Row],[ExpectedWin]])+(1-Games[[#This Row],[Result]])*LN(1-Games[[#This Row],[ExpectedWin]])))</f>
        <v>1.0219724944872641</v>
      </c>
      <c r="AF288">
        <f>IF(Games[[#This Row],[Team]]="","",IF(Games[[#This Row],[Season]]&gt;=2021,17,16))</f>
        <v>16</v>
      </c>
      <c r="AG288">
        <f>IF(Games[[#This Row],[Team]]="","",KMax-(KMax-KFloor)*MIN(Games[[#This Row],[GamesPlayed]],Games[[#This Row],[SeasonLen]])/Games[[#This Row],[SeasonLen]])</f>
        <v>39.875</v>
      </c>
      <c r="AH288">
        <f>IF(Games[[#This Row],[Team]]="","",((ABS(Games[[#This Row],[MOV]])+3)^0.8)/(7.5+0.006*ABS(Games[[#This Row],[PreGmRate]]-Games[[#This Row],[OppPreGmRate]]))*IF(Games[[#This Row],[OT]]=1,0.7,1))</f>
        <v>0.34255315467864972</v>
      </c>
      <c r="AI28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8">
        <f>IF(Games[[#This Row],[Team]]="","",Games[[#This Row],[K]]*IF(Games[[#This Row],[DivG]]=1,DivMult,1)*IF(Games[[#This Row],[ConfG]]=1,ConfMult,1)*Games[[#This Row],[POMult]])</f>
        <v>39.875</v>
      </c>
      <c r="AK288">
        <f>IF(Games[[#This Row],[Team]]="","",(Games[[#This Row],[Keff]]*Games[[#This Row],[MOVMult]])*(Games[[#This Row],[Result]]-Games[[#This Row],[ExpectedWin]]))</f>
        <v>8.7435359375795478</v>
      </c>
      <c r="AL288">
        <f>IF(Games[[#This Row],[Team]]="","",Games[[#This Row],[PreGmRate]]+Games[[#This Row],[RatingChange]])</f>
        <v>1371.2778338029188</v>
      </c>
      <c r="AM288">
        <f>IF(Games[[#This Row],[Team]]="","",IF(Games[[#This Row],[Type]]="R",IF(Games[[#This Row],[Result]]&gt;0.5,1,0),0))</f>
        <v>1</v>
      </c>
      <c r="AN288">
        <f>IF(Games[[#This Row],[Team]]="","",IF(Games[[#This Row],[Type]]="R",IF(Games[[#This Row],[Result]]&lt;0.5,1,0),0))</f>
        <v>0</v>
      </c>
      <c r="AO288">
        <f>IF(Games[[#This Row],[Team]]="","",IF(Games[[#This Row],[Type]]="R",IF(Games[[#This Row],[Result]]=0.5,1,0),0))</f>
        <v>0</v>
      </c>
    </row>
    <row r="289" spans="1:41" x14ac:dyDescent="0.35">
      <c r="A289" s="8">
        <v>35379</v>
      </c>
      <c r="B289">
        <v>1996</v>
      </c>
      <c r="C289" t="s">
        <v>197</v>
      </c>
      <c r="D289" t="s">
        <v>199</v>
      </c>
      <c r="E289" t="s">
        <v>140</v>
      </c>
      <c r="F289" t="s">
        <v>151</v>
      </c>
      <c r="G289" t="s">
        <v>201</v>
      </c>
      <c r="H289">
        <v>17</v>
      </c>
      <c r="I289">
        <v>20</v>
      </c>
      <c r="J289">
        <v>1</v>
      </c>
      <c r="K28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8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8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8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89">
        <f>IF(Games[[#This Row],[Team]]="","",IF(Games[[#This Row],[Conf]]=Games[[#This Row],[OppConf]],1,0))</f>
        <v>0</v>
      </c>
      <c r="P289">
        <f>IF(Games[[#This Row],[Team]]="","",IF(AND(Games[[#This Row],[Conf]]=Games[[#This Row],[OppConf]],Games[[#This Row],[Div]]=Games[[#This Row],[OppDiv]]),1,0))</f>
        <v>0</v>
      </c>
      <c r="Q289">
        <f>IF(Games[[#This Row],[Team]]="","",_xlfn.MINIFS(Games[Date],Games[Season],Games[[#This Row],[Season]]))</f>
        <v>35309</v>
      </c>
      <c r="R289">
        <f>IF(Games[[#This Row],[Team]]="","",INT((Games[[#This Row],[Date]]-(Games[[#This Row],[SeasonStart]]-MOD(WEEKDAY(Games[[#This Row],[SeasonStart]],2)-2,7)))/7)+1)</f>
        <v>11</v>
      </c>
      <c r="S289">
        <f>IF(Games[[#This Row],[Team]]="","",COUNTIFS(Games[Team],Games[[#This Row],[Team]],Games[Season],Games[[#This Row],[Season]],Games[Week],"&lt;="&amp;Games[[#This Row],[Week]]))</f>
        <v>10</v>
      </c>
      <c r="T289">
        <f>IF(Games[[#This Row],[Team]]="","",_xlfn.MAXIFS(Games[Week],Games[Team],Games[[#This Row],[Team]],Games[Season],Games[[#This Row],[Season]],Games[Week],"&lt;"&amp;Games[[#This Row],[Week]]))</f>
        <v>10</v>
      </c>
      <c r="U289">
        <f>IF(Games[[#This Row],[Team]]="","",_xlfn.MAXIFS(Games[Week],Games[Team],Games[[#This Row],[Opponent]],Games[Season],Games[[#This Row],[Season]],Games[Week],"&lt;"&amp;Games[[#This Row],[Week]]))</f>
        <v>10</v>
      </c>
      <c r="V28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28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8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28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1540.5724766379331</v>
      </c>
      <c r="Z28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1362.5342978653393</v>
      </c>
      <c r="AA28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0.64011563032996166</v>
      </c>
      <c r="AB289">
        <f>IF(Games[[#This Row],[Team]]="","",Games[[#This Row],[PointsFor]]-Games[[#This Row],[PointsAgainst]])</f>
        <v>-3</v>
      </c>
      <c r="AC289">
        <f>IF(Games[[#This Row],[Team]]="","",IF(Games[[#This Row],[MOV]]&gt;0,1,IF(Games[[#This Row],[MOV]]=0,0.5,0)))</f>
        <v>0</v>
      </c>
      <c r="AD289">
        <f>IF(Games[[#This Row],[Team]]="","",--(OR(AND(Games[[#This Row],[ExpectedWin]]&gt;=0.5,Games[[#This Row],[Result]]=1),AND(Games[[#This Row],[ExpectedWin]]&lt;0.5,Games[[#This Row],[Result]]=0))))</f>
        <v>0</v>
      </c>
      <c r="AE289">
        <f>IF(Games[[#This Row],[Team]]="","",-(Games[[#This Row],[Result]]*LN(Games[[#This Row],[ExpectedWin]])+(1-Games[[#This Row],[Result]])*LN(1-Games[[#This Row],[ExpectedWin]])))</f>
        <v>1.0219724944872641</v>
      </c>
      <c r="AF289">
        <f>IF(Games[[#This Row],[Team]]="","",IF(Games[[#This Row],[Season]]&gt;=2021,17,16))</f>
        <v>16</v>
      </c>
      <c r="AG289">
        <f>IF(Games[[#This Row],[Team]]="","",KMax-(KMax-KFloor)*MIN(Games[[#This Row],[GamesPlayed]],Games[[#This Row],[SeasonLen]])/Games[[#This Row],[SeasonLen]])</f>
        <v>39.875</v>
      </c>
      <c r="AH289">
        <f>IF(Games[[#This Row],[Team]]="","",((ABS(Games[[#This Row],[MOV]])+3)^0.8)/(7.5+0.006*ABS(Games[[#This Row],[PreGmRate]]-Games[[#This Row],[OppPreGmRate]]))*IF(Games[[#This Row],[OT]]=1,0.7,1))</f>
        <v>0.34255315467864972</v>
      </c>
      <c r="AI28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9">
        <f>IF(Games[[#This Row],[Team]]="","",Games[[#This Row],[K]]*IF(Games[[#This Row],[DivG]]=1,DivMult,1)*IF(Games[[#This Row],[ConfG]]=1,ConfMult,1)*Games[[#This Row],[POMult]])</f>
        <v>39.875</v>
      </c>
      <c r="AK289">
        <f>IF(Games[[#This Row],[Team]]="","",(Games[[#This Row],[Keff]]*Games[[#This Row],[MOVMult]])*(Games[[#This Row],[Result]]-Games[[#This Row],[ExpectedWin]]))</f>
        <v>-8.7435359375795478</v>
      </c>
      <c r="AL289">
        <f>IF(Games[[#This Row],[Team]]="","",Games[[#This Row],[PreGmRate]]+Games[[#This Row],[RatingChange]])</f>
        <v>1531.8289407003535</v>
      </c>
      <c r="AM289">
        <f>IF(Games[[#This Row],[Team]]="","",IF(Games[[#This Row],[Type]]="R",IF(Games[[#This Row],[Result]]&gt;0.5,1,0),0))</f>
        <v>0</v>
      </c>
      <c r="AN289">
        <f>IF(Games[[#This Row],[Team]]="","",IF(Games[[#This Row],[Type]]="R",IF(Games[[#This Row],[Result]]&lt;0.5,1,0),0))</f>
        <v>1</v>
      </c>
      <c r="AO289">
        <f>IF(Games[[#This Row],[Team]]="","",IF(Games[[#This Row],[Type]]="R",IF(Games[[#This Row],[Result]]=0.5,1,0),0))</f>
        <v>0</v>
      </c>
    </row>
    <row r="290" spans="1:41" x14ac:dyDescent="0.35">
      <c r="A290" s="8">
        <v>35379</v>
      </c>
      <c r="B290">
        <v>1996</v>
      </c>
      <c r="C290" t="s">
        <v>197</v>
      </c>
      <c r="D290" t="s">
        <v>199</v>
      </c>
      <c r="E290" t="s">
        <v>116</v>
      </c>
      <c r="F290" t="s">
        <v>110</v>
      </c>
      <c r="G290" t="s">
        <v>200</v>
      </c>
      <c r="H290">
        <v>17</v>
      </c>
      <c r="I290">
        <v>12</v>
      </c>
      <c r="J290">
        <v>0</v>
      </c>
      <c r="K29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9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9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9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90">
        <f>IF(Games[[#This Row],[Team]]="","",IF(Games[[#This Row],[Conf]]=Games[[#This Row],[OppConf]],1,0))</f>
        <v>0</v>
      </c>
      <c r="P290">
        <f>IF(Games[[#This Row],[Team]]="","",IF(AND(Games[[#This Row],[Conf]]=Games[[#This Row],[OppConf]],Games[[#This Row],[Div]]=Games[[#This Row],[OppDiv]]),1,0))</f>
        <v>0</v>
      </c>
      <c r="Q290">
        <f>IF(Games[[#This Row],[Team]]="","",_xlfn.MINIFS(Games[Date],Games[Season],Games[[#This Row],[Season]]))</f>
        <v>35309</v>
      </c>
      <c r="R290">
        <f>IF(Games[[#This Row],[Team]]="","",INT((Games[[#This Row],[Date]]-(Games[[#This Row],[SeasonStart]]-MOD(WEEKDAY(Games[[#This Row],[SeasonStart]],2)-2,7)))/7)+1)</f>
        <v>11</v>
      </c>
      <c r="S290">
        <f>IF(Games[[#This Row],[Team]]="","",COUNTIFS(Games[Team],Games[[#This Row],[Team]],Games[Season],Games[[#This Row],[Season]],Games[Week],"&lt;="&amp;Games[[#This Row],[Week]]))</f>
        <v>10</v>
      </c>
      <c r="T290">
        <f>IF(Games[[#This Row],[Team]]="","",_xlfn.MAXIFS(Games[Week],Games[Team],Games[[#This Row],[Team]],Games[Season],Games[[#This Row],[Season]],Games[Week],"&lt;"&amp;Games[[#This Row],[Week]]))</f>
        <v>10</v>
      </c>
      <c r="U290">
        <f>IF(Games[[#This Row],[Team]]="","",_xlfn.MAXIFS(Games[Week],Games[Team],Games[[#This Row],[Opponent]],Games[Season],Games[[#This Row],[Season]],Games[Week],"&lt;"&amp;Games[[#This Row],[Week]]))</f>
        <v>10</v>
      </c>
      <c r="V29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29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9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29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1637.7431367630634</v>
      </c>
      <c r="Z29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1443.8805056519552</v>
      </c>
      <c r="AA29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0.81696061694058975</v>
      </c>
      <c r="AB290">
        <f>IF(Games[[#This Row],[Team]]="","",Games[[#This Row],[PointsFor]]-Games[[#This Row],[PointsAgainst]])</f>
        <v>5</v>
      </c>
      <c r="AC290">
        <f>IF(Games[[#This Row],[Team]]="","",IF(Games[[#This Row],[MOV]]&gt;0,1,IF(Games[[#This Row],[MOV]]=0,0.5,0)))</f>
        <v>1</v>
      </c>
      <c r="AD290">
        <f>IF(Games[[#This Row],[Team]]="","",--(OR(AND(Games[[#This Row],[ExpectedWin]]&gt;=0.5,Games[[#This Row],[Result]]=1),AND(Games[[#This Row],[ExpectedWin]]&lt;0.5,Games[[#This Row],[Result]]=0))))</f>
        <v>1</v>
      </c>
      <c r="AE290">
        <f>IF(Games[[#This Row],[Team]]="","",-(Games[[#This Row],[Result]]*LN(Games[[#This Row],[ExpectedWin]])+(1-Games[[#This Row],[Result]])*LN(1-Games[[#This Row],[ExpectedWin]])))</f>
        <v>0.20216438976308973</v>
      </c>
      <c r="AF290">
        <f>IF(Games[[#This Row],[Team]]="","",IF(Games[[#This Row],[Season]]&gt;=2021,17,16))</f>
        <v>16</v>
      </c>
      <c r="AG290">
        <f>IF(Games[[#This Row],[Team]]="","",KMax-(KMax-KFloor)*MIN(Games[[#This Row],[GamesPlayed]],Games[[#This Row],[SeasonLen]])/Games[[#This Row],[SeasonLen]])</f>
        <v>39.875</v>
      </c>
      <c r="AH290">
        <f>IF(Games[[#This Row],[Team]]="","",((ABS(Games[[#This Row],[MOV]])+3)^0.8)/(7.5+0.006*ABS(Games[[#This Row],[PreGmRate]]-Games[[#This Row],[OppPreGmRate]]))*IF(Games[[#This Row],[OT]]=1,0.7,1))</f>
        <v>0.60924905289523368</v>
      </c>
      <c r="AI29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0">
        <f>IF(Games[[#This Row],[Team]]="","",Games[[#This Row],[K]]*IF(Games[[#This Row],[DivG]]=1,DivMult,1)*IF(Games[[#This Row],[ConfG]]=1,ConfMult,1)*Games[[#This Row],[POMult]])</f>
        <v>39.875</v>
      </c>
      <c r="AK290">
        <f>IF(Games[[#This Row],[Team]]="","",(Games[[#This Row],[Keff]]*Games[[#This Row],[MOVMult]])*(Games[[#This Row],[Result]]-Games[[#This Row],[ExpectedWin]]))</f>
        <v>4.4467232595125088</v>
      </c>
      <c r="AL290">
        <f>IF(Games[[#This Row],[Team]]="","",Games[[#This Row],[PreGmRate]]+Games[[#This Row],[RatingChange]])</f>
        <v>1642.1898600225759</v>
      </c>
      <c r="AM290">
        <f>IF(Games[[#This Row],[Team]]="","",IF(Games[[#This Row],[Type]]="R",IF(Games[[#This Row],[Result]]&gt;0.5,1,0),0))</f>
        <v>1</v>
      </c>
      <c r="AN290">
        <f>IF(Games[[#This Row],[Team]]="","",IF(Games[[#This Row],[Type]]="R",IF(Games[[#This Row],[Result]]&lt;0.5,1,0),0))</f>
        <v>0</v>
      </c>
      <c r="AO290">
        <f>IF(Games[[#This Row],[Team]]="","",IF(Games[[#This Row],[Type]]="R",IF(Games[[#This Row],[Result]]=0.5,1,0),0))</f>
        <v>0</v>
      </c>
    </row>
    <row r="291" spans="1:41" x14ac:dyDescent="0.35">
      <c r="A291" s="8">
        <v>35379</v>
      </c>
      <c r="B291">
        <v>1996</v>
      </c>
      <c r="C291" t="s">
        <v>197</v>
      </c>
      <c r="D291" t="s">
        <v>199</v>
      </c>
      <c r="E291" t="s">
        <v>110</v>
      </c>
      <c r="F291" t="s">
        <v>116</v>
      </c>
      <c r="G291" t="s">
        <v>201</v>
      </c>
      <c r="H291">
        <v>12</v>
      </c>
      <c r="I291">
        <v>17</v>
      </c>
      <c r="J291">
        <v>0</v>
      </c>
      <c r="K29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9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9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9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91">
        <f>IF(Games[[#This Row],[Team]]="","",IF(Games[[#This Row],[Conf]]=Games[[#This Row],[OppConf]],1,0))</f>
        <v>0</v>
      </c>
      <c r="P291">
        <f>IF(Games[[#This Row],[Team]]="","",IF(AND(Games[[#This Row],[Conf]]=Games[[#This Row],[OppConf]],Games[[#This Row],[Div]]=Games[[#This Row],[OppDiv]]),1,0))</f>
        <v>0</v>
      </c>
      <c r="Q291">
        <f>IF(Games[[#This Row],[Team]]="","",_xlfn.MINIFS(Games[Date],Games[Season],Games[[#This Row],[Season]]))</f>
        <v>35309</v>
      </c>
      <c r="R291">
        <f>IF(Games[[#This Row],[Team]]="","",INT((Games[[#This Row],[Date]]-(Games[[#This Row],[SeasonStart]]-MOD(WEEKDAY(Games[[#This Row],[SeasonStart]],2)-2,7)))/7)+1)</f>
        <v>11</v>
      </c>
      <c r="S291">
        <f>IF(Games[[#This Row],[Team]]="","",COUNTIFS(Games[Team],Games[[#This Row],[Team]],Games[Season],Games[[#This Row],[Season]],Games[Week],"&lt;="&amp;Games[[#This Row],[Week]]))</f>
        <v>10</v>
      </c>
      <c r="T291">
        <f>IF(Games[[#This Row],[Team]]="","",_xlfn.MAXIFS(Games[Week],Games[Team],Games[[#This Row],[Team]],Games[Season],Games[[#This Row],[Season]],Games[Week],"&lt;"&amp;Games[[#This Row],[Week]]))</f>
        <v>10</v>
      </c>
      <c r="U291">
        <f>IF(Games[[#This Row],[Team]]="","",_xlfn.MAXIFS(Games[Week],Games[Team],Games[[#This Row],[Opponent]],Games[Season],Games[[#This Row],[Season]],Games[Week],"&lt;"&amp;Games[[#This Row],[Week]]))</f>
        <v>10</v>
      </c>
      <c r="V29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9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29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29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1443.8805056519552</v>
      </c>
      <c r="Z29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1637.7431367630634</v>
      </c>
      <c r="AA29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0.18303938305941031</v>
      </c>
      <c r="AB291">
        <f>IF(Games[[#This Row],[Team]]="","",Games[[#This Row],[PointsFor]]-Games[[#This Row],[PointsAgainst]])</f>
        <v>-5</v>
      </c>
      <c r="AC291">
        <f>IF(Games[[#This Row],[Team]]="","",IF(Games[[#This Row],[MOV]]&gt;0,1,IF(Games[[#This Row],[MOV]]=0,0.5,0)))</f>
        <v>0</v>
      </c>
      <c r="AD291">
        <f>IF(Games[[#This Row],[Team]]="","",--(OR(AND(Games[[#This Row],[ExpectedWin]]&gt;=0.5,Games[[#This Row],[Result]]=1),AND(Games[[#This Row],[ExpectedWin]]&lt;0.5,Games[[#This Row],[Result]]=0))))</f>
        <v>1</v>
      </c>
      <c r="AE291">
        <f>IF(Games[[#This Row],[Team]]="","",-(Games[[#This Row],[Result]]*LN(Games[[#This Row],[ExpectedWin]])+(1-Games[[#This Row],[Result]])*LN(1-Games[[#This Row],[ExpectedWin]])))</f>
        <v>0.20216438976308987</v>
      </c>
      <c r="AF291">
        <f>IF(Games[[#This Row],[Team]]="","",IF(Games[[#This Row],[Season]]&gt;=2021,17,16))</f>
        <v>16</v>
      </c>
      <c r="AG291">
        <f>IF(Games[[#This Row],[Team]]="","",KMax-(KMax-KFloor)*MIN(Games[[#This Row],[GamesPlayed]],Games[[#This Row],[SeasonLen]])/Games[[#This Row],[SeasonLen]])</f>
        <v>39.875</v>
      </c>
      <c r="AH291">
        <f>IF(Games[[#This Row],[Team]]="","",((ABS(Games[[#This Row],[MOV]])+3)^0.8)/(7.5+0.006*ABS(Games[[#This Row],[PreGmRate]]-Games[[#This Row],[OppPreGmRate]]))*IF(Games[[#This Row],[OT]]=1,0.7,1))</f>
        <v>0.60924905289523368</v>
      </c>
      <c r="AI29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1">
        <f>IF(Games[[#This Row],[Team]]="","",Games[[#This Row],[K]]*IF(Games[[#This Row],[DivG]]=1,DivMult,1)*IF(Games[[#This Row],[ConfG]]=1,ConfMult,1)*Games[[#This Row],[POMult]])</f>
        <v>39.875</v>
      </c>
      <c r="AK291">
        <f>IF(Games[[#This Row],[Team]]="","",(Games[[#This Row],[Keff]]*Games[[#This Row],[MOVMult]])*(Games[[#This Row],[Result]]-Games[[#This Row],[ExpectedWin]]))</f>
        <v>-4.4467232595125106</v>
      </c>
      <c r="AL291">
        <f>IF(Games[[#This Row],[Team]]="","",Games[[#This Row],[PreGmRate]]+Games[[#This Row],[RatingChange]])</f>
        <v>1439.4337823924427</v>
      </c>
      <c r="AM291">
        <f>IF(Games[[#This Row],[Team]]="","",IF(Games[[#This Row],[Type]]="R",IF(Games[[#This Row],[Result]]&gt;0.5,1,0),0))</f>
        <v>0</v>
      </c>
      <c r="AN291">
        <f>IF(Games[[#This Row],[Team]]="","",IF(Games[[#This Row],[Type]]="R",IF(Games[[#This Row],[Result]]&lt;0.5,1,0),0))</f>
        <v>1</v>
      </c>
      <c r="AO291">
        <f>IF(Games[[#This Row],[Team]]="","",IF(Games[[#This Row],[Type]]="R",IF(Games[[#This Row],[Result]]=0.5,1,0),0))</f>
        <v>0</v>
      </c>
    </row>
    <row r="292" spans="1:41" x14ac:dyDescent="0.35">
      <c r="A292" s="8">
        <v>35379</v>
      </c>
      <c r="B292">
        <v>1996</v>
      </c>
      <c r="C292" t="s">
        <v>197</v>
      </c>
      <c r="D292" t="s">
        <v>199</v>
      </c>
      <c r="E292" t="s">
        <v>114</v>
      </c>
      <c r="F292" t="s">
        <v>148</v>
      </c>
      <c r="G292" t="s">
        <v>201</v>
      </c>
      <c r="H292">
        <v>20</v>
      </c>
      <c r="I292">
        <v>17</v>
      </c>
      <c r="J292">
        <v>1</v>
      </c>
      <c r="K29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9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9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9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92">
        <f>IF(Games[[#This Row],[Team]]="","",IF(Games[[#This Row],[Conf]]=Games[[#This Row],[OppConf]],1,0))</f>
        <v>1</v>
      </c>
      <c r="P292">
        <f>IF(Games[[#This Row],[Team]]="","",IF(AND(Games[[#This Row],[Conf]]=Games[[#This Row],[OppConf]],Games[[#This Row],[Div]]=Games[[#This Row],[OppDiv]]),1,0))</f>
        <v>0</v>
      </c>
      <c r="Q292">
        <f>IF(Games[[#This Row],[Team]]="","",_xlfn.MINIFS(Games[Date],Games[Season],Games[[#This Row],[Season]]))</f>
        <v>35309</v>
      </c>
      <c r="R292">
        <f>IF(Games[[#This Row],[Team]]="","",INT((Games[[#This Row],[Date]]-(Games[[#This Row],[SeasonStart]]-MOD(WEEKDAY(Games[[#This Row],[SeasonStart]],2)-2,7)))/7)+1)</f>
        <v>11</v>
      </c>
      <c r="S292">
        <f>IF(Games[[#This Row],[Team]]="","",COUNTIFS(Games[Team],Games[[#This Row],[Team]],Games[Season],Games[[#This Row],[Season]],Games[Week],"&lt;="&amp;Games[[#This Row],[Week]]))</f>
        <v>10</v>
      </c>
      <c r="T292">
        <f>IF(Games[[#This Row],[Team]]="","",_xlfn.MAXIFS(Games[Week],Games[Team],Games[[#This Row],[Team]],Games[Season],Games[[#This Row],[Season]],Games[Week],"&lt;"&amp;Games[[#This Row],[Week]]))</f>
        <v>10</v>
      </c>
      <c r="U292">
        <f>IF(Games[[#This Row],[Team]]="","",_xlfn.MAXIFS(Games[Week],Games[Team],Games[[#This Row],[Opponent]],Games[Season],Games[[#This Row],[Season]],Games[Week],"&lt;"&amp;Games[[#This Row],[Week]]))</f>
        <v>10</v>
      </c>
      <c r="V29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9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9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9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1551.1756904722135</v>
      </c>
      <c r="Z29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1614.7319859346276</v>
      </c>
      <c r="AA29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0.31424989642447237</v>
      </c>
      <c r="AB292">
        <f>IF(Games[[#This Row],[Team]]="","",Games[[#This Row],[PointsFor]]-Games[[#This Row],[PointsAgainst]])</f>
        <v>3</v>
      </c>
      <c r="AC292">
        <f>IF(Games[[#This Row],[Team]]="","",IF(Games[[#This Row],[MOV]]&gt;0,1,IF(Games[[#This Row],[MOV]]=0,0.5,0)))</f>
        <v>1</v>
      </c>
      <c r="AD292">
        <f>IF(Games[[#This Row],[Team]]="","",--(OR(AND(Games[[#This Row],[ExpectedWin]]&gt;=0.5,Games[[#This Row],[Result]]=1),AND(Games[[#This Row],[ExpectedWin]]&lt;0.5,Games[[#This Row],[Result]]=0))))</f>
        <v>0</v>
      </c>
      <c r="AE292">
        <f>IF(Games[[#This Row],[Team]]="","",-(Games[[#This Row],[Result]]*LN(Games[[#This Row],[ExpectedWin]])+(1-Games[[#This Row],[Result]])*LN(1-Games[[#This Row],[ExpectedWin]])))</f>
        <v>1.1575667611077856</v>
      </c>
      <c r="AF292">
        <f>IF(Games[[#This Row],[Team]]="","",IF(Games[[#This Row],[Season]]&gt;=2021,17,16))</f>
        <v>16</v>
      </c>
      <c r="AG292">
        <f>IF(Games[[#This Row],[Team]]="","",KMax-(KMax-KFloor)*MIN(Games[[#This Row],[GamesPlayed]],Games[[#This Row],[SeasonLen]])/Games[[#This Row],[SeasonLen]])</f>
        <v>39.875</v>
      </c>
      <c r="AH292">
        <f>IF(Games[[#This Row],[Team]]="","",((ABS(Games[[#This Row],[MOV]])+3)^0.8)/(7.5+0.006*ABS(Games[[#This Row],[PreGmRate]]-Games[[#This Row],[OppPreGmRate]]))*IF(Games[[#This Row],[OT]]=1,0.7,1))</f>
        <v>0.37240808393971331</v>
      </c>
      <c r="AI29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2">
        <f>IF(Games[[#This Row],[Team]]="","",Games[[#This Row],[K]]*IF(Games[[#This Row],[DivG]]=1,DivMult,1)*IF(Games[[#This Row],[ConfG]]=1,ConfMult,1)*Games[[#This Row],[POMult]])</f>
        <v>40.672499999999999</v>
      </c>
      <c r="AK292">
        <f>IF(Games[[#This Row],[Team]]="","",(Games[[#This Row],[Keff]]*Games[[#This Row],[MOVMult]])*(Games[[#This Row],[Result]]-Games[[#This Row],[ExpectedWin]]))</f>
        <v>10.386897583596017</v>
      </c>
      <c r="AL292">
        <f>IF(Games[[#This Row],[Team]]="","",Games[[#This Row],[PreGmRate]]+Games[[#This Row],[RatingChange]])</f>
        <v>1561.5625880558096</v>
      </c>
      <c r="AM292">
        <f>IF(Games[[#This Row],[Team]]="","",IF(Games[[#This Row],[Type]]="R",IF(Games[[#This Row],[Result]]&gt;0.5,1,0),0))</f>
        <v>1</v>
      </c>
      <c r="AN292">
        <f>IF(Games[[#This Row],[Team]]="","",IF(Games[[#This Row],[Type]]="R",IF(Games[[#This Row],[Result]]&lt;0.5,1,0),0))</f>
        <v>0</v>
      </c>
      <c r="AO292">
        <f>IF(Games[[#This Row],[Team]]="","",IF(Games[[#This Row],[Type]]="R",IF(Games[[#This Row],[Result]]=0.5,1,0),0))</f>
        <v>0</v>
      </c>
    </row>
    <row r="293" spans="1:41" x14ac:dyDescent="0.35">
      <c r="A293" s="8">
        <v>35379</v>
      </c>
      <c r="B293">
        <v>1996</v>
      </c>
      <c r="C293" t="s">
        <v>197</v>
      </c>
      <c r="D293" t="s">
        <v>199</v>
      </c>
      <c r="E293" t="s">
        <v>148</v>
      </c>
      <c r="F293" t="s">
        <v>114</v>
      </c>
      <c r="G293" t="s">
        <v>200</v>
      </c>
      <c r="H293">
        <v>17</v>
      </c>
      <c r="I293">
        <v>20</v>
      </c>
      <c r="J293">
        <v>1</v>
      </c>
      <c r="K29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9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9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9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93">
        <f>IF(Games[[#This Row],[Team]]="","",IF(Games[[#This Row],[Conf]]=Games[[#This Row],[OppConf]],1,0))</f>
        <v>1</v>
      </c>
      <c r="P293">
        <f>IF(Games[[#This Row],[Team]]="","",IF(AND(Games[[#This Row],[Conf]]=Games[[#This Row],[OppConf]],Games[[#This Row],[Div]]=Games[[#This Row],[OppDiv]]),1,0))</f>
        <v>0</v>
      </c>
      <c r="Q293">
        <f>IF(Games[[#This Row],[Team]]="","",_xlfn.MINIFS(Games[Date],Games[Season],Games[[#This Row],[Season]]))</f>
        <v>35309</v>
      </c>
      <c r="R293">
        <f>IF(Games[[#This Row],[Team]]="","",INT((Games[[#This Row],[Date]]-(Games[[#This Row],[SeasonStart]]-MOD(WEEKDAY(Games[[#This Row],[SeasonStart]],2)-2,7)))/7)+1)</f>
        <v>11</v>
      </c>
      <c r="S293">
        <f>IF(Games[[#This Row],[Team]]="","",COUNTIFS(Games[Team],Games[[#This Row],[Team]],Games[Season],Games[[#This Row],[Season]],Games[Week],"&lt;="&amp;Games[[#This Row],[Week]]))</f>
        <v>10</v>
      </c>
      <c r="T293">
        <f>IF(Games[[#This Row],[Team]]="","",_xlfn.MAXIFS(Games[Week],Games[Team],Games[[#This Row],[Team]],Games[Season],Games[[#This Row],[Season]],Games[Week],"&lt;"&amp;Games[[#This Row],[Week]]))</f>
        <v>10</v>
      </c>
      <c r="U293">
        <f>IF(Games[[#This Row],[Team]]="","",_xlfn.MAXIFS(Games[Week],Games[Team],Games[[#This Row],[Opponent]],Games[Season],Games[[#This Row],[Season]],Games[Week],"&lt;"&amp;Games[[#This Row],[Week]]))</f>
        <v>10</v>
      </c>
      <c r="V29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9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9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9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1614.7319859346276</v>
      </c>
      <c r="Z29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1551.1756904722135</v>
      </c>
      <c r="AA29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0.68575010357552757</v>
      </c>
      <c r="AB293">
        <f>IF(Games[[#This Row],[Team]]="","",Games[[#This Row],[PointsFor]]-Games[[#This Row],[PointsAgainst]])</f>
        <v>-3</v>
      </c>
      <c r="AC293">
        <f>IF(Games[[#This Row],[Team]]="","",IF(Games[[#This Row],[MOV]]&gt;0,1,IF(Games[[#This Row],[MOV]]=0,0.5,0)))</f>
        <v>0</v>
      </c>
      <c r="AD293">
        <f>IF(Games[[#This Row],[Team]]="","",--(OR(AND(Games[[#This Row],[ExpectedWin]]&gt;=0.5,Games[[#This Row],[Result]]=1),AND(Games[[#This Row],[ExpectedWin]]&lt;0.5,Games[[#This Row],[Result]]=0))))</f>
        <v>0</v>
      </c>
      <c r="AE293">
        <f>IF(Games[[#This Row],[Team]]="","",-(Games[[#This Row],[Result]]*LN(Games[[#This Row],[ExpectedWin]])+(1-Games[[#This Row],[Result]])*LN(1-Games[[#This Row],[ExpectedWin]])))</f>
        <v>1.1575667611077856</v>
      </c>
      <c r="AF293">
        <f>IF(Games[[#This Row],[Team]]="","",IF(Games[[#This Row],[Season]]&gt;=2021,17,16))</f>
        <v>16</v>
      </c>
      <c r="AG293">
        <f>IF(Games[[#This Row],[Team]]="","",KMax-(KMax-KFloor)*MIN(Games[[#This Row],[GamesPlayed]],Games[[#This Row],[SeasonLen]])/Games[[#This Row],[SeasonLen]])</f>
        <v>39.875</v>
      </c>
      <c r="AH293">
        <f>IF(Games[[#This Row],[Team]]="","",((ABS(Games[[#This Row],[MOV]])+3)^0.8)/(7.5+0.006*ABS(Games[[#This Row],[PreGmRate]]-Games[[#This Row],[OppPreGmRate]]))*IF(Games[[#This Row],[OT]]=1,0.7,1))</f>
        <v>0.37240808393971331</v>
      </c>
      <c r="AI29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3">
        <f>IF(Games[[#This Row],[Team]]="","",Games[[#This Row],[K]]*IF(Games[[#This Row],[DivG]]=1,DivMult,1)*IF(Games[[#This Row],[ConfG]]=1,ConfMult,1)*Games[[#This Row],[POMult]])</f>
        <v>40.672499999999999</v>
      </c>
      <c r="AK293">
        <f>IF(Games[[#This Row],[Team]]="","",(Games[[#This Row],[Keff]]*Games[[#This Row],[MOVMult]])*(Games[[#This Row],[Result]]-Games[[#This Row],[ExpectedWin]]))</f>
        <v>-10.386897583596017</v>
      </c>
      <c r="AL293">
        <f>IF(Games[[#This Row],[Team]]="","",Games[[#This Row],[PreGmRate]]+Games[[#This Row],[RatingChange]])</f>
        <v>1604.3450883510316</v>
      </c>
      <c r="AM293">
        <f>IF(Games[[#This Row],[Team]]="","",IF(Games[[#This Row],[Type]]="R",IF(Games[[#This Row],[Result]]&gt;0.5,1,0),0))</f>
        <v>0</v>
      </c>
      <c r="AN293">
        <f>IF(Games[[#This Row],[Team]]="","",IF(Games[[#This Row],[Type]]="R",IF(Games[[#This Row],[Result]]&lt;0.5,1,0),0))</f>
        <v>1</v>
      </c>
      <c r="AO293">
        <f>IF(Games[[#This Row],[Team]]="","",IF(Games[[#This Row],[Type]]="R",IF(Games[[#This Row],[Result]]=0.5,1,0),0))</f>
        <v>0</v>
      </c>
    </row>
    <row r="294" spans="1:41" x14ac:dyDescent="0.35">
      <c r="A294" s="8">
        <v>35379</v>
      </c>
      <c r="B294">
        <v>1996</v>
      </c>
      <c r="C294" t="s">
        <v>197</v>
      </c>
      <c r="D294" t="s">
        <v>199</v>
      </c>
      <c r="E294" t="s">
        <v>124</v>
      </c>
      <c r="F294" t="s">
        <v>101</v>
      </c>
      <c r="G294" t="s">
        <v>200</v>
      </c>
      <c r="H294">
        <v>30</v>
      </c>
      <c r="I294">
        <v>27</v>
      </c>
      <c r="J294">
        <v>0</v>
      </c>
      <c r="K29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9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9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9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94">
        <f>IF(Games[[#This Row],[Team]]="","",IF(Games[[#This Row],[Conf]]=Games[[#This Row],[OppConf]],1,0))</f>
        <v>1</v>
      </c>
      <c r="P294">
        <f>IF(Games[[#This Row],[Team]]="","",IF(AND(Games[[#This Row],[Conf]]=Games[[#This Row],[OppConf]],Games[[#This Row],[Div]]=Games[[#This Row],[OppDiv]]),1,0))</f>
        <v>1</v>
      </c>
      <c r="Q294">
        <f>IF(Games[[#This Row],[Team]]="","",_xlfn.MINIFS(Games[Date],Games[Season],Games[[#This Row],[Season]]))</f>
        <v>35309</v>
      </c>
      <c r="R294">
        <f>IF(Games[[#This Row],[Team]]="","",INT((Games[[#This Row],[Date]]-(Games[[#This Row],[SeasonStart]]-MOD(WEEKDAY(Games[[#This Row],[SeasonStart]],2)-2,7)))/7)+1)</f>
        <v>11</v>
      </c>
      <c r="S294">
        <f>IF(Games[[#This Row],[Team]]="","",COUNTIFS(Games[Team],Games[[#This Row],[Team]],Games[Season],Games[[#This Row],[Season]],Games[Week],"&lt;="&amp;Games[[#This Row],[Week]]))</f>
        <v>10</v>
      </c>
      <c r="T294">
        <f>IF(Games[[#This Row],[Team]]="","",_xlfn.MAXIFS(Games[Week],Games[Team],Games[[#This Row],[Team]],Games[Season],Games[[#This Row],[Season]],Games[Week],"&lt;"&amp;Games[[#This Row],[Week]]))</f>
        <v>9</v>
      </c>
      <c r="U294">
        <f>IF(Games[[#This Row],[Team]]="","",_xlfn.MAXIFS(Games[Week],Games[Team],Games[[#This Row],[Opponent]],Games[Season],Games[[#This Row],[Season]],Games[Week],"&lt;"&amp;Games[[#This Row],[Week]]))</f>
        <v>10</v>
      </c>
      <c r="V29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29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9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29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1456.3227978818254</v>
      </c>
      <c r="Z29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1427.9142564743972</v>
      </c>
      <c r="AA29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0.6717593487514586</v>
      </c>
      <c r="AB294">
        <f>IF(Games[[#This Row],[Team]]="","",Games[[#This Row],[PointsFor]]-Games[[#This Row],[PointsAgainst]])</f>
        <v>3</v>
      </c>
      <c r="AC294">
        <f>IF(Games[[#This Row],[Team]]="","",IF(Games[[#This Row],[MOV]]&gt;0,1,IF(Games[[#This Row],[MOV]]=0,0.5,0)))</f>
        <v>1</v>
      </c>
      <c r="AD294">
        <f>IF(Games[[#This Row],[Team]]="","",--(OR(AND(Games[[#This Row],[ExpectedWin]]&gt;=0.5,Games[[#This Row],[Result]]=1),AND(Games[[#This Row],[ExpectedWin]]&lt;0.5,Games[[#This Row],[Result]]=0))))</f>
        <v>1</v>
      </c>
      <c r="AE294">
        <f>IF(Games[[#This Row],[Team]]="","",-(Games[[#This Row],[Result]]*LN(Games[[#This Row],[ExpectedWin]])+(1-Games[[#This Row],[Result]])*LN(1-Games[[#This Row],[ExpectedWin]])))</f>
        <v>0.3978551145733904</v>
      </c>
      <c r="AF294">
        <f>IF(Games[[#This Row],[Team]]="","",IF(Games[[#This Row],[Season]]&gt;=2021,17,16))</f>
        <v>16</v>
      </c>
      <c r="AG294">
        <f>IF(Games[[#This Row],[Team]]="","",KMax-(KMax-KFloor)*MIN(Games[[#This Row],[GamesPlayed]],Games[[#This Row],[SeasonLen]])/Games[[#This Row],[SeasonLen]])</f>
        <v>39.875</v>
      </c>
      <c r="AH294">
        <f>IF(Games[[#This Row],[Team]]="","",((ABS(Games[[#This Row],[MOV]])+3)^0.8)/(7.5+0.006*ABS(Games[[#This Row],[PreGmRate]]-Games[[#This Row],[OppPreGmRate]]))*IF(Games[[#This Row],[OT]]=1,0.7,1))</f>
        <v>0.54663833675753226</v>
      </c>
      <c r="AI29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4">
        <f>IF(Games[[#This Row],[Team]]="","",Games[[#This Row],[K]]*IF(Games[[#This Row],[DivG]]=1,DivMult,1)*IF(Games[[#This Row],[ConfG]]=1,ConfMult,1)*Games[[#This Row],[POMult]])</f>
        <v>44.739750000000008</v>
      </c>
      <c r="AK294">
        <f>IF(Games[[#This Row],[Team]]="","",(Games[[#This Row],[Keff]]*Games[[#This Row],[MOVMult]])*(Games[[#This Row],[Result]]-Games[[#This Row],[ExpectedWin]]))</f>
        <v>8.0276051870808978</v>
      </c>
      <c r="AL294">
        <f>IF(Games[[#This Row],[Team]]="","",Games[[#This Row],[PreGmRate]]+Games[[#This Row],[RatingChange]])</f>
        <v>1464.3504030689064</v>
      </c>
      <c r="AM294">
        <f>IF(Games[[#This Row],[Team]]="","",IF(Games[[#This Row],[Type]]="R",IF(Games[[#This Row],[Result]]&gt;0.5,1,0),0))</f>
        <v>1</v>
      </c>
      <c r="AN294">
        <f>IF(Games[[#This Row],[Team]]="","",IF(Games[[#This Row],[Type]]="R",IF(Games[[#This Row],[Result]]&lt;0.5,1,0),0))</f>
        <v>0</v>
      </c>
      <c r="AO294">
        <f>IF(Games[[#This Row],[Team]]="","",IF(Games[[#This Row],[Type]]="R",IF(Games[[#This Row],[Result]]=0.5,1,0),0))</f>
        <v>0</v>
      </c>
    </row>
    <row r="295" spans="1:41" x14ac:dyDescent="0.35">
      <c r="A295" s="8">
        <v>35379</v>
      </c>
      <c r="B295">
        <v>1996</v>
      </c>
      <c r="C295" t="s">
        <v>197</v>
      </c>
      <c r="D295" t="s">
        <v>199</v>
      </c>
      <c r="E295" t="s">
        <v>101</v>
      </c>
      <c r="F295" t="s">
        <v>124</v>
      </c>
      <c r="G295" t="s">
        <v>201</v>
      </c>
      <c r="H295">
        <v>27</v>
      </c>
      <c r="I295">
        <v>30</v>
      </c>
      <c r="J295">
        <v>0</v>
      </c>
      <c r="K29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9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9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9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95">
        <f>IF(Games[[#This Row],[Team]]="","",IF(Games[[#This Row],[Conf]]=Games[[#This Row],[OppConf]],1,0))</f>
        <v>1</v>
      </c>
      <c r="P295">
        <f>IF(Games[[#This Row],[Team]]="","",IF(AND(Games[[#This Row],[Conf]]=Games[[#This Row],[OppConf]],Games[[#This Row],[Div]]=Games[[#This Row],[OppDiv]]),1,0))</f>
        <v>1</v>
      </c>
      <c r="Q295">
        <f>IF(Games[[#This Row],[Team]]="","",_xlfn.MINIFS(Games[Date],Games[Season],Games[[#This Row],[Season]]))</f>
        <v>35309</v>
      </c>
      <c r="R295">
        <f>IF(Games[[#This Row],[Team]]="","",INT((Games[[#This Row],[Date]]-(Games[[#This Row],[SeasonStart]]-MOD(WEEKDAY(Games[[#This Row],[SeasonStart]],2)-2,7)))/7)+1)</f>
        <v>11</v>
      </c>
      <c r="S295">
        <f>IF(Games[[#This Row],[Team]]="","",COUNTIFS(Games[Team],Games[[#This Row],[Team]],Games[Season],Games[[#This Row],[Season]],Games[Week],"&lt;="&amp;Games[[#This Row],[Week]]))</f>
        <v>10</v>
      </c>
      <c r="T295">
        <f>IF(Games[[#This Row],[Team]]="","",_xlfn.MAXIFS(Games[Week],Games[Team],Games[[#This Row],[Team]],Games[Season],Games[[#This Row],[Season]],Games[Week],"&lt;"&amp;Games[[#This Row],[Week]]))</f>
        <v>10</v>
      </c>
      <c r="U295">
        <f>IF(Games[[#This Row],[Team]]="","",_xlfn.MAXIFS(Games[Week],Games[Team],Games[[#This Row],[Opponent]],Games[Season],Games[[#This Row],[Season]],Games[Week],"&lt;"&amp;Games[[#This Row],[Week]]))</f>
        <v>9</v>
      </c>
      <c r="V29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9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29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29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1427.9142564743972</v>
      </c>
      <c r="Z29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1456.3227978818254</v>
      </c>
      <c r="AA29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0.32824065124854135</v>
      </c>
      <c r="AB295">
        <f>IF(Games[[#This Row],[Team]]="","",Games[[#This Row],[PointsFor]]-Games[[#This Row],[PointsAgainst]])</f>
        <v>-3</v>
      </c>
      <c r="AC295">
        <f>IF(Games[[#This Row],[Team]]="","",IF(Games[[#This Row],[MOV]]&gt;0,1,IF(Games[[#This Row],[MOV]]=0,0.5,0)))</f>
        <v>0</v>
      </c>
      <c r="AD295">
        <f>IF(Games[[#This Row],[Team]]="","",--(OR(AND(Games[[#This Row],[ExpectedWin]]&gt;=0.5,Games[[#This Row],[Result]]=1),AND(Games[[#This Row],[ExpectedWin]]&lt;0.5,Games[[#This Row],[Result]]=0))))</f>
        <v>1</v>
      </c>
      <c r="AE295">
        <f>IF(Games[[#This Row],[Team]]="","",-(Games[[#This Row],[Result]]*LN(Games[[#This Row],[ExpectedWin]])+(1-Games[[#This Row],[Result]])*LN(1-Games[[#This Row],[ExpectedWin]])))</f>
        <v>0.3978551145733904</v>
      </c>
      <c r="AF295">
        <f>IF(Games[[#This Row],[Team]]="","",IF(Games[[#This Row],[Season]]&gt;=2021,17,16))</f>
        <v>16</v>
      </c>
      <c r="AG295">
        <f>IF(Games[[#This Row],[Team]]="","",KMax-(KMax-KFloor)*MIN(Games[[#This Row],[GamesPlayed]],Games[[#This Row],[SeasonLen]])/Games[[#This Row],[SeasonLen]])</f>
        <v>39.875</v>
      </c>
      <c r="AH295">
        <f>IF(Games[[#This Row],[Team]]="","",((ABS(Games[[#This Row],[MOV]])+3)^0.8)/(7.5+0.006*ABS(Games[[#This Row],[PreGmRate]]-Games[[#This Row],[OppPreGmRate]]))*IF(Games[[#This Row],[OT]]=1,0.7,1))</f>
        <v>0.54663833675753226</v>
      </c>
      <c r="AI29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5">
        <f>IF(Games[[#This Row],[Team]]="","",Games[[#This Row],[K]]*IF(Games[[#This Row],[DivG]]=1,DivMult,1)*IF(Games[[#This Row],[ConfG]]=1,ConfMult,1)*Games[[#This Row],[POMult]])</f>
        <v>44.739750000000008</v>
      </c>
      <c r="AK295">
        <f>IF(Games[[#This Row],[Team]]="","",(Games[[#This Row],[Keff]]*Games[[#This Row],[MOVMult]])*(Games[[#This Row],[Result]]-Games[[#This Row],[ExpectedWin]]))</f>
        <v>-8.027605187080896</v>
      </c>
      <c r="AL295">
        <f>IF(Games[[#This Row],[Team]]="","",Games[[#This Row],[PreGmRate]]+Games[[#This Row],[RatingChange]])</f>
        <v>1419.8866512873162</v>
      </c>
      <c r="AM295">
        <f>IF(Games[[#This Row],[Team]]="","",IF(Games[[#This Row],[Type]]="R",IF(Games[[#This Row],[Result]]&gt;0.5,1,0),0))</f>
        <v>0</v>
      </c>
      <c r="AN295">
        <f>IF(Games[[#This Row],[Team]]="","",IF(Games[[#This Row],[Type]]="R",IF(Games[[#This Row],[Result]]&lt;0.5,1,0),0))</f>
        <v>1</v>
      </c>
      <c r="AO295">
        <f>IF(Games[[#This Row],[Team]]="","",IF(Games[[#This Row],[Type]]="R",IF(Games[[#This Row],[Result]]=0.5,1,0),0))</f>
        <v>0</v>
      </c>
    </row>
    <row r="296" spans="1:41" x14ac:dyDescent="0.35">
      <c r="A296" s="8">
        <v>35379</v>
      </c>
      <c r="B296">
        <v>1996</v>
      </c>
      <c r="C296" t="s">
        <v>197</v>
      </c>
      <c r="D296" t="s">
        <v>199</v>
      </c>
      <c r="E296" t="s">
        <v>146</v>
      </c>
      <c r="F296" t="s">
        <v>130</v>
      </c>
      <c r="G296" t="s">
        <v>200</v>
      </c>
      <c r="H296">
        <v>42</v>
      </c>
      <c r="I296">
        <v>23</v>
      </c>
      <c r="J296">
        <v>0</v>
      </c>
      <c r="K29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9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9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9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96">
        <f>IF(Games[[#This Row],[Team]]="","",IF(Games[[#This Row],[Conf]]=Games[[#This Row],[OppConf]],1,0))</f>
        <v>0</v>
      </c>
      <c r="P296">
        <f>IF(Games[[#This Row],[Team]]="","",IF(AND(Games[[#This Row],[Conf]]=Games[[#This Row],[OppConf]],Games[[#This Row],[Div]]=Games[[#This Row],[OppDiv]]),1,0))</f>
        <v>0</v>
      </c>
      <c r="Q296">
        <f>IF(Games[[#This Row],[Team]]="","",_xlfn.MINIFS(Games[Date],Games[Season],Games[[#This Row],[Season]]))</f>
        <v>35309</v>
      </c>
      <c r="R296">
        <f>IF(Games[[#This Row],[Team]]="","",INT((Games[[#This Row],[Date]]-(Games[[#This Row],[SeasonStart]]-MOD(WEEKDAY(Games[[#This Row],[SeasonStart]],2)-2,7)))/7)+1)</f>
        <v>11</v>
      </c>
      <c r="S296">
        <f>IF(Games[[#This Row],[Team]]="","",COUNTIFS(Games[Team],Games[[#This Row],[Team]],Games[Season],Games[[#This Row],[Season]],Games[Week],"&lt;="&amp;Games[[#This Row],[Week]]))</f>
        <v>10</v>
      </c>
      <c r="T296">
        <f>IF(Games[[#This Row],[Team]]="","",_xlfn.MAXIFS(Games[Week],Games[Team],Games[[#This Row],[Team]],Games[Season],Games[[#This Row],[Season]],Games[Week],"&lt;"&amp;Games[[#This Row],[Week]]))</f>
        <v>10</v>
      </c>
      <c r="U296">
        <f>IF(Games[[#This Row],[Team]]="","",_xlfn.MAXIFS(Games[Week],Games[Team],Games[[#This Row],[Opponent]],Games[Season],Games[[#This Row],[Season]],Games[Week],"&lt;"&amp;Games[[#This Row],[Week]]))</f>
        <v>10</v>
      </c>
      <c r="V29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9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9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9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1463.8650584490567</v>
      </c>
      <c r="Z29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1490.1842663313512</v>
      </c>
      <c r="AA29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0.56536373095356873</v>
      </c>
      <c r="AB296">
        <f>IF(Games[[#This Row],[Team]]="","",Games[[#This Row],[PointsFor]]-Games[[#This Row],[PointsAgainst]])</f>
        <v>19</v>
      </c>
      <c r="AC296">
        <f>IF(Games[[#This Row],[Team]]="","",IF(Games[[#This Row],[MOV]]&gt;0,1,IF(Games[[#This Row],[MOV]]=0,0.5,0)))</f>
        <v>1</v>
      </c>
      <c r="AD296">
        <f>IF(Games[[#This Row],[Team]]="","",--(OR(AND(Games[[#This Row],[ExpectedWin]]&gt;=0.5,Games[[#This Row],[Result]]=1),AND(Games[[#This Row],[ExpectedWin]]&lt;0.5,Games[[#This Row],[Result]]=0))))</f>
        <v>1</v>
      </c>
      <c r="AE296">
        <f>IF(Games[[#This Row],[Team]]="","",-(Games[[#This Row],[Result]]*LN(Games[[#This Row],[ExpectedWin]])+(1-Games[[#This Row],[Result]])*LN(1-Games[[#This Row],[ExpectedWin]])))</f>
        <v>0.570285983368503</v>
      </c>
      <c r="AF296">
        <f>IF(Games[[#This Row],[Team]]="","",IF(Games[[#This Row],[Season]]&gt;=2021,17,16))</f>
        <v>16</v>
      </c>
      <c r="AG296">
        <f>IF(Games[[#This Row],[Team]]="","",KMax-(KMax-KFloor)*MIN(Games[[#This Row],[GamesPlayed]],Games[[#This Row],[SeasonLen]])/Games[[#This Row],[SeasonLen]])</f>
        <v>39.875</v>
      </c>
      <c r="AH296">
        <f>IF(Games[[#This Row],[Team]]="","",((ABS(Games[[#This Row],[MOV]])+3)^0.8)/(7.5+0.006*ABS(Games[[#This Row],[PreGmRate]]-Games[[#This Row],[OppPreGmRate]]))*IF(Games[[#This Row],[OT]]=1,0.7,1))</f>
        <v>1.5482018750507569</v>
      </c>
      <c r="AI29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6">
        <f>IF(Games[[#This Row],[Team]]="","",Games[[#This Row],[K]]*IF(Games[[#This Row],[DivG]]=1,DivMult,1)*IF(Games[[#This Row],[ConfG]]=1,ConfMult,1)*Games[[#This Row],[POMult]])</f>
        <v>39.875</v>
      </c>
      <c r="AK296">
        <f>IF(Games[[#This Row],[Team]]="","",(Games[[#This Row],[Keff]]*Games[[#This Row],[MOVMult]])*(Games[[#This Row],[Result]]-Games[[#This Row],[ExpectedWin]]))</f>
        <v>26.832074382272161</v>
      </c>
      <c r="AL296">
        <f>IF(Games[[#This Row],[Team]]="","",Games[[#This Row],[PreGmRate]]+Games[[#This Row],[RatingChange]])</f>
        <v>1490.6971328313289</v>
      </c>
      <c r="AM296">
        <f>IF(Games[[#This Row],[Team]]="","",IF(Games[[#This Row],[Type]]="R",IF(Games[[#This Row],[Result]]&gt;0.5,1,0),0))</f>
        <v>1</v>
      </c>
      <c r="AN296">
        <f>IF(Games[[#This Row],[Team]]="","",IF(Games[[#This Row],[Type]]="R",IF(Games[[#This Row],[Result]]&lt;0.5,1,0),0))</f>
        <v>0</v>
      </c>
      <c r="AO296">
        <f>IF(Games[[#This Row],[Team]]="","",IF(Games[[#This Row],[Type]]="R",IF(Games[[#This Row],[Result]]=0.5,1,0),0))</f>
        <v>0</v>
      </c>
    </row>
    <row r="297" spans="1:41" x14ac:dyDescent="0.35">
      <c r="A297" s="8">
        <v>35379</v>
      </c>
      <c r="B297">
        <v>1996</v>
      </c>
      <c r="C297" t="s">
        <v>197</v>
      </c>
      <c r="D297" t="s">
        <v>199</v>
      </c>
      <c r="E297" t="s">
        <v>130</v>
      </c>
      <c r="F297" t="s">
        <v>146</v>
      </c>
      <c r="G297" t="s">
        <v>201</v>
      </c>
      <c r="H297">
        <v>23</v>
      </c>
      <c r="I297">
        <v>42</v>
      </c>
      <c r="J297">
        <v>0</v>
      </c>
      <c r="K29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9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9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9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97">
        <f>IF(Games[[#This Row],[Team]]="","",IF(Games[[#This Row],[Conf]]=Games[[#This Row],[OppConf]],1,0))</f>
        <v>0</v>
      </c>
      <c r="P297">
        <f>IF(Games[[#This Row],[Team]]="","",IF(AND(Games[[#This Row],[Conf]]=Games[[#This Row],[OppConf]],Games[[#This Row],[Div]]=Games[[#This Row],[OppDiv]]),1,0))</f>
        <v>0</v>
      </c>
      <c r="Q297">
        <f>IF(Games[[#This Row],[Team]]="","",_xlfn.MINIFS(Games[Date],Games[Season],Games[[#This Row],[Season]]))</f>
        <v>35309</v>
      </c>
      <c r="R297">
        <f>IF(Games[[#This Row],[Team]]="","",INT((Games[[#This Row],[Date]]-(Games[[#This Row],[SeasonStart]]-MOD(WEEKDAY(Games[[#This Row],[SeasonStart]],2)-2,7)))/7)+1)</f>
        <v>11</v>
      </c>
      <c r="S297">
        <f>IF(Games[[#This Row],[Team]]="","",COUNTIFS(Games[Team],Games[[#This Row],[Team]],Games[Season],Games[[#This Row],[Season]],Games[Week],"&lt;="&amp;Games[[#This Row],[Week]]))</f>
        <v>10</v>
      </c>
      <c r="T297">
        <f>IF(Games[[#This Row],[Team]]="","",_xlfn.MAXIFS(Games[Week],Games[Team],Games[[#This Row],[Team]],Games[Season],Games[[#This Row],[Season]],Games[Week],"&lt;"&amp;Games[[#This Row],[Week]]))</f>
        <v>10</v>
      </c>
      <c r="U297">
        <f>IF(Games[[#This Row],[Team]]="","",_xlfn.MAXIFS(Games[Week],Games[Team],Games[[#This Row],[Opponent]],Games[Season],Games[[#This Row],[Season]],Games[Week],"&lt;"&amp;Games[[#This Row],[Week]]))</f>
        <v>10</v>
      </c>
      <c r="V29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9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9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9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1490.1842663313512</v>
      </c>
      <c r="Z29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1463.8650584490567</v>
      </c>
      <c r="AA29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0.43463626904643138</v>
      </c>
      <c r="AB297">
        <f>IF(Games[[#This Row],[Team]]="","",Games[[#This Row],[PointsFor]]-Games[[#This Row],[PointsAgainst]])</f>
        <v>-19</v>
      </c>
      <c r="AC297">
        <f>IF(Games[[#This Row],[Team]]="","",IF(Games[[#This Row],[MOV]]&gt;0,1,IF(Games[[#This Row],[MOV]]=0,0.5,0)))</f>
        <v>0</v>
      </c>
      <c r="AD297">
        <f>IF(Games[[#This Row],[Team]]="","",--(OR(AND(Games[[#This Row],[ExpectedWin]]&gt;=0.5,Games[[#This Row],[Result]]=1),AND(Games[[#This Row],[ExpectedWin]]&lt;0.5,Games[[#This Row],[Result]]=0))))</f>
        <v>1</v>
      </c>
      <c r="AE297">
        <f>IF(Games[[#This Row],[Team]]="","",-(Games[[#This Row],[Result]]*LN(Games[[#This Row],[ExpectedWin]])+(1-Games[[#This Row],[Result]])*LN(1-Games[[#This Row],[ExpectedWin]])))</f>
        <v>0.57028598336850322</v>
      </c>
      <c r="AF297">
        <f>IF(Games[[#This Row],[Team]]="","",IF(Games[[#This Row],[Season]]&gt;=2021,17,16))</f>
        <v>16</v>
      </c>
      <c r="AG297">
        <f>IF(Games[[#This Row],[Team]]="","",KMax-(KMax-KFloor)*MIN(Games[[#This Row],[GamesPlayed]],Games[[#This Row],[SeasonLen]])/Games[[#This Row],[SeasonLen]])</f>
        <v>39.875</v>
      </c>
      <c r="AH297">
        <f>IF(Games[[#This Row],[Team]]="","",((ABS(Games[[#This Row],[MOV]])+3)^0.8)/(7.5+0.006*ABS(Games[[#This Row],[PreGmRate]]-Games[[#This Row],[OppPreGmRate]]))*IF(Games[[#This Row],[OT]]=1,0.7,1))</f>
        <v>1.5482018750507569</v>
      </c>
      <c r="AI29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7">
        <f>IF(Games[[#This Row],[Team]]="","",Games[[#This Row],[K]]*IF(Games[[#This Row],[DivG]]=1,DivMult,1)*IF(Games[[#This Row],[ConfG]]=1,ConfMult,1)*Games[[#This Row],[POMult]])</f>
        <v>39.875</v>
      </c>
      <c r="AK297">
        <f>IF(Games[[#This Row],[Team]]="","",(Games[[#This Row],[Keff]]*Games[[#This Row],[MOVMult]])*(Games[[#This Row],[Result]]-Games[[#This Row],[ExpectedWin]]))</f>
        <v>-26.832074382272168</v>
      </c>
      <c r="AL297">
        <f>IF(Games[[#This Row],[Team]]="","",Games[[#This Row],[PreGmRate]]+Games[[#This Row],[RatingChange]])</f>
        <v>1463.352191949079</v>
      </c>
      <c r="AM297">
        <f>IF(Games[[#This Row],[Team]]="","",IF(Games[[#This Row],[Type]]="R",IF(Games[[#This Row],[Result]]&gt;0.5,1,0),0))</f>
        <v>0</v>
      </c>
      <c r="AN297">
        <f>IF(Games[[#This Row],[Team]]="","",IF(Games[[#This Row],[Type]]="R",IF(Games[[#This Row],[Result]]&lt;0.5,1,0),0))</f>
        <v>1</v>
      </c>
      <c r="AO297">
        <f>IF(Games[[#This Row],[Team]]="","",IF(Games[[#This Row],[Type]]="R",IF(Games[[#This Row],[Result]]=0.5,1,0),0))</f>
        <v>0</v>
      </c>
    </row>
    <row r="298" spans="1:41" x14ac:dyDescent="0.35">
      <c r="A298" s="8">
        <v>35379</v>
      </c>
      <c r="B298">
        <v>1996</v>
      </c>
      <c r="C298" t="s">
        <v>197</v>
      </c>
      <c r="D298" t="s">
        <v>199</v>
      </c>
      <c r="E298" t="s">
        <v>108</v>
      </c>
      <c r="F298" t="s">
        <v>136</v>
      </c>
      <c r="G298" t="s">
        <v>200</v>
      </c>
      <c r="H298">
        <v>27</v>
      </c>
      <c r="I298">
        <v>17</v>
      </c>
      <c r="J298">
        <v>0</v>
      </c>
      <c r="K29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9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9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9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98">
        <f>IF(Games[[#This Row],[Team]]="","",IF(Games[[#This Row],[Conf]]=Games[[#This Row],[OppConf]],1,0))</f>
        <v>1</v>
      </c>
      <c r="P298">
        <f>IF(Games[[#This Row],[Team]]="","",IF(AND(Games[[#This Row],[Conf]]=Games[[#This Row],[OppConf]],Games[[#This Row],[Div]]=Games[[#This Row],[OppDiv]]),1,0))</f>
        <v>0</v>
      </c>
      <c r="Q298">
        <f>IF(Games[[#This Row],[Team]]="","",_xlfn.MINIFS(Games[Date],Games[Season],Games[[#This Row],[Season]]))</f>
        <v>35309</v>
      </c>
      <c r="R298">
        <f>IF(Games[[#This Row],[Team]]="","",INT((Games[[#This Row],[Date]]-(Games[[#This Row],[SeasonStart]]-MOD(WEEKDAY(Games[[#This Row],[SeasonStart]],2)-2,7)))/7)+1)</f>
        <v>11</v>
      </c>
      <c r="S298">
        <f>IF(Games[[#This Row],[Team]]="","",COUNTIFS(Games[Team],Games[[#This Row],[Team]],Games[Season],Games[[#This Row],[Season]],Games[Week],"&lt;="&amp;Games[[#This Row],[Week]]))</f>
        <v>10</v>
      </c>
      <c r="T298">
        <f>IF(Games[[#This Row],[Team]]="","",_xlfn.MAXIFS(Games[Week],Games[Team],Games[[#This Row],[Team]],Games[Season],Games[[#This Row],[Season]],Games[Week],"&lt;"&amp;Games[[#This Row],[Week]]))</f>
        <v>10</v>
      </c>
      <c r="U298">
        <f>IF(Games[[#This Row],[Team]]="","",_xlfn.MAXIFS(Games[Week],Games[Team],Games[[#This Row],[Opponent]],Games[Season],Games[[#This Row],[Season]],Games[Week],"&lt;"&amp;Games[[#This Row],[Week]]))</f>
        <v>10</v>
      </c>
      <c r="V29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9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9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9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1546.182763997444</v>
      </c>
      <c r="Z29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1486.3523281769549</v>
      </c>
      <c r="AA29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0.68110986669801721</v>
      </c>
      <c r="AB298">
        <f>IF(Games[[#This Row],[Team]]="","",Games[[#This Row],[PointsFor]]-Games[[#This Row],[PointsAgainst]])</f>
        <v>10</v>
      </c>
      <c r="AC298">
        <f>IF(Games[[#This Row],[Team]]="","",IF(Games[[#This Row],[MOV]]&gt;0,1,IF(Games[[#This Row],[MOV]]=0,0.5,0)))</f>
        <v>1</v>
      </c>
      <c r="AD298">
        <f>IF(Games[[#This Row],[Team]]="","",--(OR(AND(Games[[#This Row],[ExpectedWin]]&gt;=0.5,Games[[#This Row],[Result]]=1),AND(Games[[#This Row],[ExpectedWin]]&lt;0.5,Games[[#This Row],[Result]]=0))))</f>
        <v>1</v>
      </c>
      <c r="AE298">
        <f>IF(Games[[#This Row],[Team]]="","",-(Games[[#This Row],[Result]]*LN(Games[[#This Row],[ExpectedWin]])+(1-Games[[#This Row],[Result]])*LN(1-Games[[#This Row],[ExpectedWin]])))</f>
        <v>0.3840316544236746</v>
      </c>
      <c r="AF298">
        <f>IF(Games[[#This Row],[Team]]="","",IF(Games[[#This Row],[Season]]&gt;=2021,17,16))</f>
        <v>16</v>
      </c>
      <c r="AG298">
        <f>IF(Games[[#This Row],[Team]]="","",KMax-(KMax-KFloor)*MIN(Games[[#This Row],[GamesPlayed]],Games[[#This Row],[SeasonLen]])/Games[[#This Row],[SeasonLen]])</f>
        <v>39.875</v>
      </c>
      <c r="AH298">
        <f>IF(Games[[#This Row],[Team]]="","",((ABS(Games[[#This Row],[MOV]])+3)^0.8)/(7.5+0.006*ABS(Games[[#This Row],[PreGmRate]]-Games[[#This Row],[OppPreGmRate]]))*IF(Games[[#This Row],[OT]]=1,0.7,1))</f>
        <v>0.99034919701445256</v>
      </c>
      <c r="AI29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8">
        <f>IF(Games[[#This Row],[Team]]="","",Games[[#This Row],[K]]*IF(Games[[#This Row],[DivG]]=1,DivMult,1)*IF(Games[[#This Row],[ConfG]]=1,ConfMult,1)*Games[[#This Row],[POMult]])</f>
        <v>40.672499999999999</v>
      </c>
      <c r="AK298">
        <f>IF(Games[[#This Row],[Team]]="","",(Games[[#This Row],[Keff]]*Games[[#This Row],[MOVMult]])*(Games[[#This Row],[Result]]-Games[[#This Row],[ExpectedWin]]))</f>
        <v>12.844887463119115</v>
      </c>
      <c r="AL298">
        <f>IF(Games[[#This Row],[Team]]="","",Games[[#This Row],[PreGmRate]]+Games[[#This Row],[RatingChange]])</f>
        <v>1559.0276514605632</v>
      </c>
      <c r="AM298">
        <f>IF(Games[[#This Row],[Team]]="","",IF(Games[[#This Row],[Type]]="R",IF(Games[[#This Row],[Result]]&gt;0.5,1,0),0))</f>
        <v>1</v>
      </c>
      <c r="AN298">
        <f>IF(Games[[#This Row],[Team]]="","",IF(Games[[#This Row],[Type]]="R",IF(Games[[#This Row],[Result]]&lt;0.5,1,0),0))</f>
        <v>0</v>
      </c>
      <c r="AO298">
        <f>IF(Games[[#This Row],[Team]]="","",IF(Games[[#This Row],[Type]]="R",IF(Games[[#This Row],[Result]]=0.5,1,0),0))</f>
        <v>0</v>
      </c>
    </row>
    <row r="299" spans="1:41" x14ac:dyDescent="0.35">
      <c r="A299" s="8">
        <v>35379</v>
      </c>
      <c r="B299">
        <v>1996</v>
      </c>
      <c r="C299" t="s">
        <v>197</v>
      </c>
      <c r="D299" t="s">
        <v>199</v>
      </c>
      <c r="E299" t="s">
        <v>136</v>
      </c>
      <c r="F299" t="s">
        <v>108</v>
      </c>
      <c r="G299" t="s">
        <v>201</v>
      </c>
      <c r="H299">
        <v>17</v>
      </c>
      <c r="I299">
        <v>27</v>
      </c>
      <c r="J299">
        <v>0</v>
      </c>
      <c r="K29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9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9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9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99">
        <f>IF(Games[[#This Row],[Team]]="","",IF(Games[[#This Row],[Conf]]=Games[[#This Row],[OppConf]],1,0))</f>
        <v>1</v>
      </c>
      <c r="P299">
        <f>IF(Games[[#This Row],[Team]]="","",IF(AND(Games[[#This Row],[Conf]]=Games[[#This Row],[OppConf]],Games[[#This Row],[Div]]=Games[[#This Row],[OppDiv]]),1,0))</f>
        <v>0</v>
      </c>
      <c r="Q299">
        <f>IF(Games[[#This Row],[Team]]="","",_xlfn.MINIFS(Games[Date],Games[Season],Games[[#This Row],[Season]]))</f>
        <v>35309</v>
      </c>
      <c r="R299">
        <f>IF(Games[[#This Row],[Team]]="","",INT((Games[[#This Row],[Date]]-(Games[[#This Row],[SeasonStart]]-MOD(WEEKDAY(Games[[#This Row],[SeasonStart]],2)-2,7)))/7)+1)</f>
        <v>11</v>
      </c>
      <c r="S299">
        <f>IF(Games[[#This Row],[Team]]="","",COUNTIFS(Games[Team],Games[[#This Row],[Team]],Games[Season],Games[[#This Row],[Season]],Games[Week],"&lt;="&amp;Games[[#This Row],[Week]]))</f>
        <v>10</v>
      </c>
      <c r="T299">
        <f>IF(Games[[#This Row],[Team]]="","",_xlfn.MAXIFS(Games[Week],Games[Team],Games[[#This Row],[Team]],Games[Season],Games[[#This Row],[Season]],Games[Week],"&lt;"&amp;Games[[#This Row],[Week]]))</f>
        <v>10</v>
      </c>
      <c r="U299">
        <f>IF(Games[[#This Row],[Team]]="","",_xlfn.MAXIFS(Games[Week],Games[Team],Games[[#This Row],[Opponent]],Games[Season],Games[[#This Row],[Season]],Games[Week],"&lt;"&amp;Games[[#This Row],[Week]]))</f>
        <v>10</v>
      </c>
      <c r="V29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9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9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9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1486.3523281769549</v>
      </c>
      <c r="Z29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1546.182763997444</v>
      </c>
      <c r="AA29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0.31889013330198285</v>
      </c>
      <c r="AB299">
        <f>IF(Games[[#This Row],[Team]]="","",Games[[#This Row],[PointsFor]]-Games[[#This Row],[PointsAgainst]])</f>
        <v>-10</v>
      </c>
      <c r="AC299">
        <f>IF(Games[[#This Row],[Team]]="","",IF(Games[[#This Row],[MOV]]&gt;0,1,IF(Games[[#This Row],[MOV]]=0,0.5,0)))</f>
        <v>0</v>
      </c>
      <c r="AD299">
        <f>IF(Games[[#This Row],[Team]]="","",--(OR(AND(Games[[#This Row],[ExpectedWin]]&gt;=0.5,Games[[#This Row],[Result]]=1),AND(Games[[#This Row],[ExpectedWin]]&lt;0.5,Games[[#This Row],[Result]]=0))))</f>
        <v>1</v>
      </c>
      <c r="AE299">
        <f>IF(Games[[#This Row],[Team]]="","",-(Games[[#This Row],[Result]]*LN(Games[[#This Row],[ExpectedWin]])+(1-Games[[#This Row],[Result]])*LN(1-Games[[#This Row],[ExpectedWin]])))</f>
        <v>0.38403165442367476</v>
      </c>
      <c r="AF299">
        <f>IF(Games[[#This Row],[Team]]="","",IF(Games[[#This Row],[Season]]&gt;=2021,17,16))</f>
        <v>16</v>
      </c>
      <c r="AG299">
        <f>IF(Games[[#This Row],[Team]]="","",KMax-(KMax-KFloor)*MIN(Games[[#This Row],[GamesPlayed]],Games[[#This Row],[SeasonLen]])/Games[[#This Row],[SeasonLen]])</f>
        <v>39.875</v>
      </c>
      <c r="AH299">
        <f>IF(Games[[#This Row],[Team]]="","",((ABS(Games[[#This Row],[MOV]])+3)^0.8)/(7.5+0.006*ABS(Games[[#This Row],[PreGmRate]]-Games[[#This Row],[OppPreGmRate]]))*IF(Games[[#This Row],[OT]]=1,0.7,1))</f>
        <v>0.99034919701445256</v>
      </c>
      <c r="AI29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9">
        <f>IF(Games[[#This Row],[Team]]="","",Games[[#This Row],[K]]*IF(Games[[#This Row],[DivG]]=1,DivMult,1)*IF(Games[[#This Row],[ConfG]]=1,ConfMult,1)*Games[[#This Row],[POMult]])</f>
        <v>40.672499999999999</v>
      </c>
      <c r="AK299">
        <f>IF(Games[[#This Row],[Team]]="","",(Games[[#This Row],[Keff]]*Games[[#This Row],[MOVMult]])*(Games[[#This Row],[Result]]-Games[[#This Row],[ExpectedWin]]))</f>
        <v>-12.844887463119118</v>
      </c>
      <c r="AL299">
        <f>IF(Games[[#This Row],[Team]]="","",Games[[#This Row],[PreGmRate]]+Games[[#This Row],[RatingChange]])</f>
        <v>1473.5074407138356</v>
      </c>
      <c r="AM299">
        <f>IF(Games[[#This Row],[Team]]="","",IF(Games[[#This Row],[Type]]="R",IF(Games[[#This Row],[Result]]&gt;0.5,1,0),0))</f>
        <v>0</v>
      </c>
      <c r="AN299">
        <f>IF(Games[[#This Row],[Team]]="","",IF(Games[[#This Row],[Type]]="R",IF(Games[[#This Row],[Result]]&lt;0.5,1,0),0))</f>
        <v>1</v>
      </c>
      <c r="AO299">
        <f>IF(Games[[#This Row],[Team]]="","",IF(Games[[#This Row],[Type]]="R",IF(Games[[#This Row],[Result]]=0.5,1,0),0))</f>
        <v>0</v>
      </c>
    </row>
    <row r="300" spans="1:41" x14ac:dyDescent="0.35">
      <c r="A300" s="8">
        <v>35380</v>
      </c>
      <c r="B300">
        <v>1996</v>
      </c>
      <c r="C300" t="s">
        <v>197</v>
      </c>
      <c r="D300" t="s">
        <v>199</v>
      </c>
      <c r="E300" t="s">
        <v>145</v>
      </c>
      <c r="F300" t="s">
        <v>118</v>
      </c>
      <c r="G300" t="s">
        <v>200</v>
      </c>
      <c r="H300">
        <v>27</v>
      </c>
      <c r="I300">
        <v>21</v>
      </c>
      <c r="J300">
        <v>0</v>
      </c>
      <c r="K30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0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0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0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00">
        <f>IF(Games[[#This Row],[Team]]="","",IF(Games[[#This Row],[Conf]]=Games[[#This Row],[OppConf]],1,0))</f>
        <v>0</v>
      </c>
      <c r="P300">
        <f>IF(Games[[#This Row],[Team]]="","",IF(AND(Games[[#This Row],[Conf]]=Games[[#This Row],[OppConf]],Games[[#This Row],[Div]]=Games[[#This Row],[OppDiv]]),1,0))</f>
        <v>0</v>
      </c>
      <c r="Q300">
        <f>IF(Games[[#This Row],[Team]]="","",_xlfn.MINIFS(Games[Date],Games[Season],Games[[#This Row],[Season]]))</f>
        <v>35309</v>
      </c>
      <c r="R300">
        <f>IF(Games[[#This Row],[Team]]="","",INT((Games[[#This Row],[Date]]-(Games[[#This Row],[SeasonStart]]-MOD(WEEKDAY(Games[[#This Row],[SeasonStart]],2)-2,7)))/7)+1)</f>
        <v>11</v>
      </c>
      <c r="S300">
        <f>IF(Games[[#This Row],[Team]]="","",COUNTIFS(Games[Team],Games[[#This Row],[Team]],Games[Season],Games[[#This Row],[Season]],Games[Week],"&lt;="&amp;Games[[#This Row],[Week]]))</f>
        <v>10</v>
      </c>
      <c r="T300">
        <f>IF(Games[[#This Row],[Team]]="","",_xlfn.MAXIFS(Games[Week],Games[Team],Games[[#This Row],[Team]],Games[Season],Games[[#This Row],[Season]],Games[Week],"&lt;"&amp;Games[[#This Row],[Week]]))</f>
        <v>10</v>
      </c>
      <c r="U300">
        <f>IF(Games[[#This Row],[Team]]="","",_xlfn.MAXIFS(Games[Week],Games[Team],Games[[#This Row],[Opponent]],Games[Season],Games[[#This Row],[Season]],Games[Week],"&lt;"&amp;Games[[#This Row],[Week]]))</f>
        <v>10</v>
      </c>
      <c r="V30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30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30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1489.6136947975958</v>
      </c>
      <c r="Z30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1466.8624585501339</v>
      </c>
      <c r="AA30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0.63307512294578205</v>
      </c>
      <c r="AB300">
        <f>IF(Games[[#This Row],[Team]]="","",Games[[#This Row],[PointsFor]]-Games[[#This Row],[PointsAgainst]])</f>
        <v>6</v>
      </c>
      <c r="AC300">
        <f>IF(Games[[#This Row],[Team]]="","",IF(Games[[#This Row],[MOV]]&gt;0,1,IF(Games[[#This Row],[MOV]]=0,0.5,0)))</f>
        <v>1</v>
      </c>
      <c r="AD300">
        <f>IF(Games[[#This Row],[Team]]="","",--(OR(AND(Games[[#This Row],[ExpectedWin]]&gt;=0.5,Games[[#This Row],[Result]]=1),AND(Games[[#This Row],[ExpectedWin]]&lt;0.5,Games[[#This Row],[Result]]=0))))</f>
        <v>1</v>
      </c>
      <c r="AE300">
        <f>IF(Games[[#This Row],[Team]]="","",-(Games[[#This Row],[Result]]*LN(Games[[#This Row],[ExpectedWin]])+(1-Games[[#This Row],[Result]])*LN(1-Games[[#This Row],[ExpectedWin]])))</f>
        <v>0.45716618624012867</v>
      </c>
      <c r="AF300">
        <f>IF(Games[[#This Row],[Team]]="","",IF(Games[[#This Row],[Season]]&gt;=2021,17,16))</f>
        <v>16</v>
      </c>
      <c r="AG300">
        <f>IF(Games[[#This Row],[Team]]="","",KMax-(KMax-KFloor)*MIN(Games[[#This Row],[GamesPlayed]],Games[[#This Row],[SeasonLen]])/Games[[#This Row],[SeasonLen]])</f>
        <v>39.875</v>
      </c>
      <c r="AH300">
        <f>IF(Games[[#This Row],[Team]]="","",((ABS(Games[[#This Row],[MOV]])+3)^0.8)/(7.5+0.006*ABS(Games[[#This Row],[PreGmRate]]-Games[[#This Row],[OppPreGmRate]]))*IF(Games[[#This Row],[OT]]=1,0.7,1))</f>
        <v>0.75945007550395072</v>
      </c>
      <c r="AI30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0">
        <f>IF(Games[[#This Row],[Team]]="","",Games[[#This Row],[K]]*IF(Games[[#This Row],[DivG]]=1,DivMult,1)*IF(Games[[#This Row],[ConfG]]=1,ConfMult,1)*Games[[#This Row],[POMult]])</f>
        <v>39.875</v>
      </c>
      <c r="AK300">
        <f>IF(Games[[#This Row],[Team]]="","",(Games[[#This Row],[Keff]]*Games[[#This Row],[MOVMult]])*(Games[[#This Row],[Result]]-Games[[#This Row],[ExpectedWin]]))</f>
        <v>11.111612382626259</v>
      </c>
      <c r="AL300">
        <f>IF(Games[[#This Row],[Team]]="","",Games[[#This Row],[PreGmRate]]+Games[[#This Row],[RatingChange]])</f>
        <v>1500.725307180222</v>
      </c>
      <c r="AM300">
        <f>IF(Games[[#This Row],[Team]]="","",IF(Games[[#This Row],[Type]]="R",IF(Games[[#This Row],[Result]]&gt;0.5,1,0),0))</f>
        <v>1</v>
      </c>
      <c r="AN300">
        <f>IF(Games[[#This Row],[Team]]="","",IF(Games[[#This Row],[Type]]="R",IF(Games[[#This Row],[Result]]&lt;0.5,1,0),0))</f>
        <v>0</v>
      </c>
      <c r="AO300">
        <f>IF(Games[[#This Row],[Team]]="","",IF(Games[[#This Row],[Type]]="R",IF(Games[[#This Row],[Result]]=0.5,1,0),0))</f>
        <v>0</v>
      </c>
    </row>
    <row r="301" spans="1:41" x14ac:dyDescent="0.35">
      <c r="A301" s="8">
        <v>35380</v>
      </c>
      <c r="B301">
        <v>1996</v>
      </c>
      <c r="C301" t="s">
        <v>197</v>
      </c>
      <c r="D301" t="s">
        <v>199</v>
      </c>
      <c r="E301" t="s">
        <v>118</v>
      </c>
      <c r="F301" t="s">
        <v>145</v>
      </c>
      <c r="G301" t="s">
        <v>201</v>
      </c>
      <c r="H301">
        <v>21</v>
      </c>
      <c r="I301">
        <v>27</v>
      </c>
      <c r="J301">
        <v>0</v>
      </c>
      <c r="K30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0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0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0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01">
        <f>IF(Games[[#This Row],[Team]]="","",IF(Games[[#This Row],[Conf]]=Games[[#This Row],[OppConf]],1,0))</f>
        <v>0</v>
      </c>
      <c r="P301">
        <f>IF(Games[[#This Row],[Team]]="","",IF(AND(Games[[#This Row],[Conf]]=Games[[#This Row],[OppConf]],Games[[#This Row],[Div]]=Games[[#This Row],[OppDiv]]),1,0))</f>
        <v>0</v>
      </c>
      <c r="Q301">
        <f>IF(Games[[#This Row],[Team]]="","",_xlfn.MINIFS(Games[Date],Games[Season],Games[[#This Row],[Season]]))</f>
        <v>35309</v>
      </c>
      <c r="R301">
        <f>IF(Games[[#This Row],[Team]]="","",INT((Games[[#This Row],[Date]]-(Games[[#This Row],[SeasonStart]]-MOD(WEEKDAY(Games[[#This Row],[SeasonStart]],2)-2,7)))/7)+1)</f>
        <v>11</v>
      </c>
      <c r="S301">
        <f>IF(Games[[#This Row],[Team]]="","",COUNTIFS(Games[Team],Games[[#This Row],[Team]],Games[Season],Games[[#This Row],[Season]],Games[Week],"&lt;="&amp;Games[[#This Row],[Week]]))</f>
        <v>10</v>
      </c>
      <c r="T301">
        <f>IF(Games[[#This Row],[Team]]="","",_xlfn.MAXIFS(Games[Week],Games[Team],Games[[#This Row],[Team]],Games[Season],Games[[#This Row],[Season]],Games[Week],"&lt;"&amp;Games[[#This Row],[Week]]))</f>
        <v>10</v>
      </c>
      <c r="U301">
        <f>IF(Games[[#This Row],[Team]]="","",_xlfn.MAXIFS(Games[Week],Games[Team],Games[[#This Row],[Opponent]],Games[Season],Games[[#This Row],[Season]],Games[Week],"&lt;"&amp;Games[[#This Row],[Week]]))</f>
        <v>10</v>
      </c>
      <c r="V30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30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30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1466.8624585501339</v>
      </c>
      <c r="Z30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1489.6136947975958</v>
      </c>
      <c r="AA30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0.366924877054218</v>
      </c>
      <c r="AB301">
        <f>IF(Games[[#This Row],[Team]]="","",Games[[#This Row],[PointsFor]]-Games[[#This Row],[PointsAgainst]])</f>
        <v>-6</v>
      </c>
      <c r="AC301">
        <f>IF(Games[[#This Row],[Team]]="","",IF(Games[[#This Row],[MOV]]&gt;0,1,IF(Games[[#This Row],[MOV]]=0,0.5,0)))</f>
        <v>0</v>
      </c>
      <c r="AD301">
        <f>IF(Games[[#This Row],[Team]]="","",--(OR(AND(Games[[#This Row],[ExpectedWin]]&gt;=0.5,Games[[#This Row],[Result]]=1),AND(Games[[#This Row],[ExpectedWin]]&lt;0.5,Games[[#This Row],[Result]]=0))))</f>
        <v>1</v>
      </c>
      <c r="AE301">
        <f>IF(Games[[#This Row],[Team]]="","",-(Games[[#This Row],[Result]]*LN(Games[[#This Row],[ExpectedWin]])+(1-Games[[#This Row],[Result]])*LN(1-Games[[#This Row],[ExpectedWin]])))</f>
        <v>0.45716618624012867</v>
      </c>
      <c r="AF301">
        <f>IF(Games[[#This Row],[Team]]="","",IF(Games[[#This Row],[Season]]&gt;=2021,17,16))</f>
        <v>16</v>
      </c>
      <c r="AG301">
        <f>IF(Games[[#This Row],[Team]]="","",KMax-(KMax-KFloor)*MIN(Games[[#This Row],[GamesPlayed]],Games[[#This Row],[SeasonLen]])/Games[[#This Row],[SeasonLen]])</f>
        <v>39.875</v>
      </c>
      <c r="AH301">
        <f>IF(Games[[#This Row],[Team]]="","",((ABS(Games[[#This Row],[MOV]])+3)^0.8)/(7.5+0.006*ABS(Games[[#This Row],[PreGmRate]]-Games[[#This Row],[OppPreGmRate]]))*IF(Games[[#This Row],[OT]]=1,0.7,1))</f>
        <v>0.75945007550395072</v>
      </c>
      <c r="AI30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1">
        <f>IF(Games[[#This Row],[Team]]="","",Games[[#This Row],[K]]*IF(Games[[#This Row],[DivG]]=1,DivMult,1)*IF(Games[[#This Row],[ConfG]]=1,ConfMult,1)*Games[[#This Row],[POMult]])</f>
        <v>39.875</v>
      </c>
      <c r="AK301">
        <f>IF(Games[[#This Row],[Team]]="","",(Games[[#This Row],[Keff]]*Games[[#This Row],[MOVMult]])*(Games[[#This Row],[Result]]-Games[[#This Row],[ExpectedWin]]))</f>
        <v>-11.111612382626259</v>
      </c>
      <c r="AL301">
        <f>IF(Games[[#This Row],[Team]]="","",Games[[#This Row],[PreGmRate]]+Games[[#This Row],[RatingChange]])</f>
        <v>1455.7508461675077</v>
      </c>
      <c r="AM301">
        <f>IF(Games[[#This Row],[Team]]="","",IF(Games[[#This Row],[Type]]="R",IF(Games[[#This Row],[Result]]&gt;0.5,1,0),0))</f>
        <v>0</v>
      </c>
      <c r="AN301">
        <f>IF(Games[[#This Row],[Team]]="","",IF(Games[[#This Row],[Type]]="R",IF(Games[[#This Row],[Result]]&lt;0.5,1,0),0))</f>
        <v>1</v>
      </c>
      <c r="AO301">
        <f>IF(Games[[#This Row],[Team]]="","",IF(Games[[#This Row],[Type]]="R",IF(Games[[#This Row],[Result]]=0.5,1,0),0))</f>
        <v>0</v>
      </c>
    </row>
    <row r="302" spans="1:41" x14ac:dyDescent="0.35">
      <c r="A302" s="8">
        <v>35386</v>
      </c>
      <c r="B302">
        <v>1996</v>
      </c>
      <c r="C302" t="s">
        <v>197</v>
      </c>
      <c r="D302" t="s">
        <v>199</v>
      </c>
      <c r="E302" t="s">
        <v>98</v>
      </c>
      <c r="F302" t="s">
        <v>134</v>
      </c>
      <c r="G302" t="s">
        <v>200</v>
      </c>
      <c r="H302">
        <v>17</v>
      </c>
      <c r="I302">
        <v>15</v>
      </c>
      <c r="J302">
        <v>0</v>
      </c>
      <c r="K30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0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0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0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02">
        <f>IF(Games[[#This Row],[Team]]="","",IF(Games[[#This Row],[Conf]]=Games[[#This Row],[OppConf]],1,0))</f>
        <v>1</v>
      </c>
      <c r="P302">
        <f>IF(Games[[#This Row],[Team]]="","",IF(AND(Games[[#This Row],[Conf]]=Games[[#This Row],[OppConf]],Games[[#This Row],[Div]]=Games[[#This Row],[OppDiv]]),1,0))</f>
        <v>1</v>
      </c>
      <c r="Q302">
        <f>IF(Games[[#This Row],[Team]]="","",_xlfn.MINIFS(Games[Date],Games[Season],Games[[#This Row],[Season]]))</f>
        <v>35309</v>
      </c>
      <c r="R302">
        <f>IF(Games[[#This Row],[Team]]="","",INT((Games[[#This Row],[Date]]-(Games[[#This Row],[SeasonStart]]-MOD(WEEKDAY(Games[[#This Row],[SeasonStart]],2)-2,7)))/7)+1)</f>
        <v>12</v>
      </c>
      <c r="S302">
        <f>IF(Games[[#This Row],[Team]]="","",COUNTIFS(Games[Team],Games[[#This Row],[Team]],Games[Season],Games[[#This Row],[Season]],Games[Week],"&lt;="&amp;Games[[#This Row],[Week]]))</f>
        <v>11</v>
      </c>
      <c r="T302">
        <f>IF(Games[[#This Row],[Team]]="","",_xlfn.MAXIFS(Games[Week],Games[Team],Games[[#This Row],[Team]],Games[Season],Games[[#This Row],[Season]],Games[Week],"&lt;"&amp;Games[[#This Row],[Week]]))</f>
        <v>11</v>
      </c>
      <c r="U302">
        <f>IF(Games[[#This Row],[Team]]="","",_xlfn.MAXIFS(Games[Week],Games[Team],Games[[#This Row],[Opponent]],Games[Season],Games[[#This Row],[Season]],Games[Week],"&lt;"&amp;Games[[#This Row],[Week]]))</f>
        <v>11</v>
      </c>
      <c r="V30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0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0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1327.3392568740574</v>
      </c>
      <c r="Z30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1371.2255525336689</v>
      </c>
      <c r="AA30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0.54037079955146405</v>
      </c>
      <c r="AB302">
        <f>IF(Games[[#This Row],[Team]]="","",Games[[#This Row],[PointsFor]]-Games[[#This Row],[PointsAgainst]])</f>
        <v>2</v>
      </c>
      <c r="AC302">
        <f>IF(Games[[#This Row],[Team]]="","",IF(Games[[#This Row],[MOV]]&gt;0,1,IF(Games[[#This Row],[MOV]]=0,0.5,0)))</f>
        <v>1</v>
      </c>
      <c r="AD302">
        <f>IF(Games[[#This Row],[Team]]="","",--(OR(AND(Games[[#This Row],[ExpectedWin]]&gt;=0.5,Games[[#This Row],[Result]]=1),AND(Games[[#This Row],[ExpectedWin]]&lt;0.5,Games[[#This Row],[Result]]=0))))</f>
        <v>1</v>
      </c>
      <c r="AE302">
        <f>IF(Games[[#This Row],[Team]]="","",-(Games[[#This Row],[Result]]*LN(Games[[#This Row],[ExpectedWin]])+(1-Games[[#This Row],[Result]])*LN(1-Games[[#This Row],[ExpectedWin]])))</f>
        <v>0.61549970923488995</v>
      </c>
      <c r="AF302">
        <f>IF(Games[[#This Row],[Team]]="","",IF(Games[[#This Row],[Season]]&gt;=2021,17,16))</f>
        <v>16</v>
      </c>
      <c r="AG302">
        <f>IF(Games[[#This Row],[Team]]="","",KMax-(KMax-KFloor)*MIN(Games[[#This Row],[GamesPlayed]],Games[[#This Row],[SeasonLen]])/Games[[#This Row],[SeasonLen]])</f>
        <v>39.262500000000003</v>
      </c>
      <c r="AH302">
        <f>IF(Games[[#This Row],[Team]]="","",((ABS(Games[[#This Row],[MOV]])+3)^0.8)/(7.5+0.006*ABS(Games[[#This Row],[PreGmRate]]-Games[[#This Row],[OppPreGmRate]]))*IF(Games[[#This Row],[OT]]=1,0.7,1))</f>
        <v>0.46679762749696735</v>
      </c>
      <c r="AI30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2">
        <f>IF(Games[[#This Row],[Team]]="","",Games[[#This Row],[K]]*IF(Games[[#This Row],[DivG]]=1,DivMult,1)*IF(Games[[#This Row],[ConfG]]=1,ConfMult,1)*Games[[#This Row],[POMult]])</f>
        <v>44.05252500000001</v>
      </c>
      <c r="AK302">
        <f>IF(Games[[#This Row],[Team]]="","",(Games[[#This Row],[Keff]]*Games[[#This Row],[MOVMult]])*(Games[[#This Row],[Result]]-Games[[#This Row],[ExpectedWin]]))</f>
        <v>9.4516375325101425</v>
      </c>
      <c r="AL302">
        <f>IF(Games[[#This Row],[Team]]="","",Games[[#This Row],[PreGmRate]]+Games[[#This Row],[RatingChange]])</f>
        <v>1336.7908944065675</v>
      </c>
      <c r="AM302">
        <f>IF(Games[[#This Row],[Team]]="","",IF(Games[[#This Row],[Type]]="R",IF(Games[[#This Row],[Result]]&gt;0.5,1,0),0))</f>
        <v>1</v>
      </c>
      <c r="AN302">
        <f>IF(Games[[#This Row],[Team]]="","",IF(Games[[#This Row],[Type]]="R",IF(Games[[#This Row],[Result]]&lt;0.5,1,0),0))</f>
        <v>0</v>
      </c>
      <c r="AO302">
        <f>IF(Games[[#This Row],[Team]]="","",IF(Games[[#This Row],[Type]]="R",IF(Games[[#This Row],[Result]]=0.5,1,0),0))</f>
        <v>0</v>
      </c>
    </row>
    <row r="303" spans="1:41" x14ac:dyDescent="0.35">
      <c r="A303" s="8">
        <v>35386</v>
      </c>
      <c r="B303">
        <v>1996</v>
      </c>
      <c r="C303" t="s">
        <v>197</v>
      </c>
      <c r="D303" t="s">
        <v>199</v>
      </c>
      <c r="E303" t="s">
        <v>134</v>
      </c>
      <c r="F303" t="s">
        <v>98</v>
      </c>
      <c r="G303" t="s">
        <v>201</v>
      </c>
      <c r="H303">
        <v>15</v>
      </c>
      <c r="I303">
        <v>17</v>
      </c>
      <c r="J303">
        <v>0</v>
      </c>
      <c r="K30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0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0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0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03">
        <f>IF(Games[[#This Row],[Team]]="","",IF(Games[[#This Row],[Conf]]=Games[[#This Row],[OppConf]],1,0))</f>
        <v>1</v>
      </c>
      <c r="P303">
        <f>IF(Games[[#This Row],[Team]]="","",IF(AND(Games[[#This Row],[Conf]]=Games[[#This Row],[OppConf]],Games[[#This Row],[Div]]=Games[[#This Row],[OppDiv]]),1,0))</f>
        <v>1</v>
      </c>
      <c r="Q303">
        <f>IF(Games[[#This Row],[Team]]="","",_xlfn.MINIFS(Games[Date],Games[Season],Games[[#This Row],[Season]]))</f>
        <v>35309</v>
      </c>
      <c r="R303">
        <f>IF(Games[[#This Row],[Team]]="","",INT((Games[[#This Row],[Date]]-(Games[[#This Row],[SeasonStart]]-MOD(WEEKDAY(Games[[#This Row],[SeasonStart]],2)-2,7)))/7)+1)</f>
        <v>12</v>
      </c>
      <c r="S303">
        <f>IF(Games[[#This Row],[Team]]="","",COUNTIFS(Games[Team],Games[[#This Row],[Team]],Games[Season],Games[[#This Row],[Season]],Games[Week],"&lt;="&amp;Games[[#This Row],[Week]]))</f>
        <v>11</v>
      </c>
      <c r="T303">
        <f>IF(Games[[#This Row],[Team]]="","",_xlfn.MAXIFS(Games[Week],Games[Team],Games[[#This Row],[Team]],Games[Season],Games[[#This Row],[Season]],Games[Week],"&lt;"&amp;Games[[#This Row],[Week]]))</f>
        <v>11</v>
      </c>
      <c r="U303">
        <f>IF(Games[[#This Row],[Team]]="","",_xlfn.MAXIFS(Games[Week],Games[Team],Games[[#This Row],[Opponent]],Games[Season],Games[[#This Row],[Season]],Games[Week],"&lt;"&amp;Games[[#This Row],[Week]]))</f>
        <v>11</v>
      </c>
      <c r="V30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0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0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1371.2255525336689</v>
      </c>
      <c r="Z30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1327.3392568740574</v>
      </c>
      <c r="AA30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0.45962920044853606</v>
      </c>
      <c r="AB303">
        <f>IF(Games[[#This Row],[Team]]="","",Games[[#This Row],[PointsFor]]-Games[[#This Row],[PointsAgainst]])</f>
        <v>-2</v>
      </c>
      <c r="AC303">
        <f>IF(Games[[#This Row],[Team]]="","",IF(Games[[#This Row],[MOV]]&gt;0,1,IF(Games[[#This Row],[MOV]]=0,0.5,0)))</f>
        <v>0</v>
      </c>
      <c r="AD303">
        <f>IF(Games[[#This Row],[Team]]="","",--(OR(AND(Games[[#This Row],[ExpectedWin]]&gt;=0.5,Games[[#This Row],[Result]]=1),AND(Games[[#This Row],[ExpectedWin]]&lt;0.5,Games[[#This Row],[Result]]=0))))</f>
        <v>1</v>
      </c>
      <c r="AE303">
        <f>IF(Games[[#This Row],[Team]]="","",-(Games[[#This Row],[Result]]*LN(Games[[#This Row],[ExpectedWin]])+(1-Games[[#This Row],[Result]])*LN(1-Games[[#This Row],[ExpectedWin]])))</f>
        <v>0.61549970923489017</v>
      </c>
      <c r="AF303">
        <f>IF(Games[[#This Row],[Team]]="","",IF(Games[[#This Row],[Season]]&gt;=2021,17,16))</f>
        <v>16</v>
      </c>
      <c r="AG303">
        <f>IF(Games[[#This Row],[Team]]="","",KMax-(KMax-KFloor)*MIN(Games[[#This Row],[GamesPlayed]],Games[[#This Row],[SeasonLen]])/Games[[#This Row],[SeasonLen]])</f>
        <v>39.262500000000003</v>
      </c>
      <c r="AH303">
        <f>IF(Games[[#This Row],[Team]]="","",((ABS(Games[[#This Row],[MOV]])+3)^0.8)/(7.5+0.006*ABS(Games[[#This Row],[PreGmRate]]-Games[[#This Row],[OppPreGmRate]]))*IF(Games[[#This Row],[OT]]=1,0.7,1))</f>
        <v>0.46679762749696735</v>
      </c>
      <c r="AI30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3">
        <f>IF(Games[[#This Row],[Team]]="","",Games[[#This Row],[K]]*IF(Games[[#This Row],[DivG]]=1,DivMult,1)*IF(Games[[#This Row],[ConfG]]=1,ConfMult,1)*Games[[#This Row],[POMult]])</f>
        <v>44.05252500000001</v>
      </c>
      <c r="AK303">
        <f>IF(Games[[#This Row],[Team]]="","",(Games[[#This Row],[Keff]]*Games[[#This Row],[MOVMult]])*(Games[[#This Row],[Result]]-Games[[#This Row],[ExpectedWin]]))</f>
        <v>-9.4516375325101443</v>
      </c>
      <c r="AL303">
        <f>IF(Games[[#This Row],[Team]]="","",Games[[#This Row],[PreGmRate]]+Games[[#This Row],[RatingChange]])</f>
        <v>1361.7739150011587</v>
      </c>
      <c r="AM303">
        <f>IF(Games[[#This Row],[Team]]="","",IF(Games[[#This Row],[Type]]="R",IF(Games[[#This Row],[Result]]&gt;0.5,1,0),0))</f>
        <v>0</v>
      </c>
      <c r="AN303">
        <f>IF(Games[[#This Row],[Team]]="","",IF(Games[[#This Row],[Type]]="R",IF(Games[[#This Row],[Result]]&lt;0.5,1,0),0))</f>
        <v>1</v>
      </c>
      <c r="AO303">
        <f>IF(Games[[#This Row],[Team]]="","",IF(Games[[#This Row],[Type]]="R",IF(Games[[#This Row],[Result]]=0.5,1,0),0))</f>
        <v>0</v>
      </c>
    </row>
    <row r="304" spans="1:41" x14ac:dyDescent="0.35">
      <c r="A304" s="8">
        <v>35386</v>
      </c>
      <c r="B304">
        <v>1996</v>
      </c>
      <c r="C304" t="s">
        <v>197</v>
      </c>
      <c r="D304" t="s">
        <v>199</v>
      </c>
      <c r="E304" t="s">
        <v>106</v>
      </c>
      <c r="F304" t="s">
        <v>112</v>
      </c>
      <c r="G304" t="s">
        <v>200</v>
      </c>
      <c r="H304">
        <v>31</v>
      </c>
      <c r="I304">
        <v>17</v>
      </c>
      <c r="J304">
        <v>0</v>
      </c>
      <c r="K30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0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0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0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04">
        <f>IF(Games[[#This Row],[Team]]="","",IF(Games[[#This Row],[Conf]]=Games[[#This Row],[OppConf]],1,0))</f>
        <v>1</v>
      </c>
      <c r="P304">
        <f>IF(Games[[#This Row],[Team]]="","",IF(AND(Games[[#This Row],[Conf]]=Games[[#This Row],[OppConf]],Games[[#This Row],[Div]]=Games[[#This Row],[OppDiv]]),1,0))</f>
        <v>0</v>
      </c>
      <c r="Q304">
        <f>IF(Games[[#This Row],[Team]]="","",_xlfn.MINIFS(Games[Date],Games[Season],Games[[#This Row],[Season]]))</f>
        <v>35309</v>
      </c>
      <c r="R304">
        <f>IF(Games[[#This Row],[Team]]="","",INT((Games[[#This Row],[Date]]-(Games[[#This Row],[SeasonStart]]-MOD(WEEKDAY(Games[[#This Row],[SeasonStart]],2)-2,7)))/7)+1)</f>
        <v>12</v>
      </c>
      <c r="S304">
        <f>IF(Games[[#This Row],[Team]]="","",COUNTIFS(Games[Team],Games[[#This Row],[Team]],Games[Season],Games[[#This Row],[Season]],Games[Week],"&lt;="&amp;Games[[#This Row],[Week]]))</f>
        <v>11</v>
      </c>
      <c r="T304">
        <f>IF(Games[[#This Row],[Team]]="","",_xlfn.MAXIFS(Games[Week],Games[Team],Games[[#This Row],[Team]],Games[Season],Games[[#This Row],[Season]],Games[Week],"&lt;"&amp;Games[[#This Row],[Week]]))</f>
        <v>11</v>
      </c>
      <c r="U304">
        <f>IF(Games[[#This Row],[Team]]="","",_xlfn.MAXIFS(Games[Week],Games[Team],Games[[#This Row],[Opponent]],Games[Season],Games[[#This Row],[Season]],Games[Week],"&lt;"&amp;Games[[#This Row],[Week]]))</f>
        <v>11</v>
      </c>
      <c r="V30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0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0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1546.4046202225329</v>
      </c>
      <c r="Z30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1498.9464609824824</v>
      </c>
      <c r="AA30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0.6654453879360106</v>
      </c>
      <c r="AB304">
        <f>IF(Games[[#This Row],[Team]]="","",Games[[#This Row],[PointsFor]]-Games[[#This Row],[PointsAgainst]])</f>
        <v>14</v>
      </c>
      <c r="AC304">
        <f>IF(Games[[#This Row],[Team]]="","",IF(Games[[#This Row],[MOV]]&gt;0,1,IF(Games[[#This Row],[MOV]]=0,0.5,0)))</f>
        <v>1</v>
      </c>
      <c r="AD304">
        <f>IF(Games[[#This Row],[Team]]="","",--(OR(AND(Games[[#This Row],[ExpectedWin]]&gt;=0.5,Games[[#This Row],[Result]]=1),AND(Games[[#This Row],[ExpectedWin]]&lt;0.5,Games[[#This Row],[Result]]=0))))</f>
        <v>1</v>
      </c>
      <c r="AE304">
        <f>IF(Games[[#This Row],[Team]]="","",-(Games[[#This Row],[Result]]*LN(Games[[#This Row],[ExpectedWin]])+(1-Games[[#This Row],[Result]])*LN(1-Games[[#This Row],[ExpectedWin]])))</f>
        <v>0.40729870621818259</v>
      </c>
      <c r="AF304">
        <f>IF(Games[[#This Row],[Team]]="","",IF(Games[[#This Row],[Season]]&gt;=2021,17,16))</f>
        <v>16</v>
      </c>
      <c r="AG304">
        <f>IF(Games[[#This Row],[Team]]="","",KMax-(KMax-KFloor)*MIN(Games[[#This Row],[GamesPlayed]],Games[[#This Row],[SeasonLen]])/Games[[#This Row],[SeasonLen]])</f>
        <v>39.262500000000003</v>
      </c>
      <c r="AH304">
        <f>IF(Games[[#This Row],[Team]]="","",((ABS(Games[[#This Row],[MOV]])+3)^0.8)/(7.5+0.006*ABS(Games[[#This Row],[PreGmRate]]-Games[[#This Row],[OppPreGmRate]]))*IF(Games[[#This Row],[OT]]=1,0.7,1))</f>
        <v>1.2391233052770003</v>
      </c>
      <c r="AI30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4">
        <f>IF(Games[[#This Row],[Team]]="","",Games[[#This Row],[K]]*IF(Games[[#This Row],[DivG]]=1,DivMult,1)*IF(Games[[#This Row],[ConfG]]=1,ConfMult,1)*Games[[#This Row],[POMult]])</f>
        <v>40.047750000000001</v>
      </c>
      <c r="AK304">
        <f>IF(Games[[#This Row],[Team]]="","",(Games[[#This Row],[Keff]]*Games[[#This Row],[MOVMult]])*(Games[[#This Row],[Result]]-Games[[#This Row],[ExpectedWin]]))</f>
        <v>16.601971641253058</v>
      </c>
      <c r="AL304">
        <f>IF(Games[[#This Row],[Team]]="","",Games[[#This Row],[PreGmRate]]+Games[[#This Row],[RatingChange]])</f>
        <v>1563.0065918637861</v>
      </c>
      <c r="AM304">
        <f>IF(Games[[#This Row],[Team]]="","",IF(Games[[#This Row],[Type]]="R",IF(Games[[#This Row],[Result]]&gt;0.5,1,0),0))</f>
        <v>1</v>
      </c>
      <c r="AN304">
        <f>IF(Games[[#This Row],[Team]]="","",IF(Games[[#This Row],[Type]]="R",IF(Games[[#This Row],[Result]]&lt;0.5,1,0),0))</f>
        <v>0</v>
      </c>
      <c r="AO304">
        <f>IF(Games[[#This Row],[Team]]="","",IF(Games[[#This Row],[Type]]="R",IF(Games[[#This Row],[Result]]=0.5,1,0),0))</f>
        <v>0</v>
      </c>
    </row>
    <row r="305" spans="1:41" x14ac:dyDescent="0.35">
      <c r="A305" s="8">
        <v>35386</v>
      </c>
      <c r="B305">
        <v>1996</v>
      </c>
      <c r="C305" t="s">
        <v>197</v>
      </c>
      <c r="D305" t="s">
        <v>199</v>
      </c>
      <c r="E305" t="s">
        <v>112</v>
      </c>
      <c r="F305" t="s">
        <v>106</v>
      </c>
      <c r="G305" t="s">
        <v>201</v>
      </c>
      <c r="H305">
        <v>17</v>
      </c>
      <c r="I305">
        <v>31</v>
      </c>
      <c r="J305">
        <v>0</v>
      </c>
      <c r="K30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0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0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0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05">
        <f>IF(Games[[#This Row],[Team]]="","",IF(Games[[#This Row],[Conf]]=Games[[#This Row],[OppConf]],1,0))</f>
        <v>1</v>
      </c>
      <c r="P305">
        <f>IF(Games[[#This Row],[Team]]="","",IF(AND(Games[[#This Row],[Conf]]=Games[[#This Row],[OppConf]],Games[[#This Row],[Div]]=Games[[#This Row],[OppDiv]]),1,0))</f>
        <v>0</v>
      </c>
      <c r="Q305">
        <f>IF(Games[[#This Row],[Team]]="","",_xlfn.MINIFS(Games[Date],Games[Season],Games[[#This Row],[Season]]))</f>
        <v>35309</v>
      </c>
      <c r="R305">
        <f>IF(Games[[#This Row],[Team]]="","",INT((Games[[#This Row],[Date]]-(Games[[#This Row],[SeasonStart]]-MOD(WEEKDAY(Games[[#This Row],[SeasonStart]],2)-2,7)))/7)+1)</f>
        <v>12</v>
      </c>
      <c r="S305">
        <f>IF(Games[[#This Row],[Team]]="","",COUNTIFS(Games[Team],Games[[#This Row],[Team]],Games[Season],Games[[#This Row],[Season]],Games[Week],"&lt;="&amp;Games[[#This Row],[Week]]))</f>
        <v>11</v>
      </c>
      <c r="T305">
        <f>IF(Games[[#This Row],[Team]]="","",_xlfn.MAXIFS(Games[Week],Games[Team],Games[[#This Row],[Team]],Games[Season],Games[[#This Row],[Season]],Games[Week],"&lt;"&amp;Games[[#This Row],[Week]]))</f>
        <v>11</v>
      </c>
      <c r="U305">
        <f>IF(Games[[#This Row],[Team]]="","",_xlfn.MAXIFS(Games[Week],Games[Team],Games[[#This Row],[Opponent]],Games[Season],Games[[#This Row],[Season]],Games[Week],"&lt;"&amp;Games[[#This Row],[Week]]))</f>
        <v>11</v>
      </c>
      <c r="V30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0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0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1498.9464609824824</v>
      </c>
      <c r="Z30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1546.4046202225329</v>
      </c>
      <c r="AA30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0.33455461206398945</v>
      </c>
      <c r="AB305">
        <f>IF(Games[[#This Row],[Team]]="","",Games[[#This Row],[PointsFor]]-Games[[#This Row],[PointsAgainst]])</f>
        <v>-14</v>
      </c>
      <c r="AC305">
        <f>IF(Games[[#This Row],[Team]]="","",IF(Games[[#This Row],[MOV]]&gt;0,1,IF(Games[[#This Row],[MOV]]=0,0.5,0)))</f>
        <v>0</v>
      </c>
      <c r="AD305">
        <f>IF(Games[[#This Row],[Team]]="","",--(OR(AND(Games[[#This Row],[ExpectedWin]]&gt;=0.5,Games[[#This Row],[Result]]=1),AND(Games[[#This Row],[ExpectedWin]]&lt;0.5,Games[[#This Row],[Result]]=0))))</f>
        <v>1</v>
      </c>
      <c r="AE305">
        <f>IF(Games[[#This Row],[Team]]="","",-(Games[[#This Row],[Result]]*LN(Games[[#This Row],[ExpectedWin]])+(1-Games[[#This Row],[Result]])*LN(1-Games[[#This Row],[ExpectedWin]])))</f>
        <v>0.40729870621818276</v>
      </c>
      <c r="AF305">
        <f>IF(Games[[#This Row],[Team]]="","",IF(Games[[#This Row],[Season]]&gt;=2021,17,16))</f>
        <v>16</v>
      </c>
      <c r="AG305">
        <f>IF(Games[[#This Row],[Team]]="","",KMax-(KMax-KFloor)*MIN(Games[[#This Row],[GamesPlayed]],Games[[#This Row],[SeasonLen]])/Games[[#This Row],[SeasonLen]])</f>
        <v>39.262500000000003</v>
      </c>
      <c r="AH305">
        <f>IF(Games[[#This Row],[Team]]="","",((ABS(Games[[#This Row],[MOV]])+3)^0.8)/(7.5+0.006*ABS(Games[[#This Row],[PreGmRate]]-Games[[#This Row],[OppPreGmRate]]))*IF(Games[[#This Row],[OT]]=1,0.7,1))</f>
        <v>1.2391233052770003</v>
      </c>
      <c r="AI30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5">
        <f>IF(Games[[#This Row],[Team]]="","",Games[[#This Row],[K]]*IF(Games[[#This Row],[DivG]]=1,DivMult,1)*IF(Games[[#This Row],[ConfG]]=1,ConfMult,1)*Games[[#This Row],[POMult]])</f>
        <v>40.047750000000001</v>
      </c>
      <c r="AK305">
        <f>IF(Games[[#This Row],[Team]]="","",(Games[[#This Row],[Keff]]*Games[[#This Row],[MOVMult]])*(Games[[#This Row],[Result]]-Games[[#This Row],[ExpectedWin]]))</f>
        <v>-16.601971641253062</v>
      </c>
      <c r="AL305">
        <f>IF(Games[[#This Row],[Team]]="","",Games[[#This Row],[PreGmRate]]+Games[[#This Row],[RatingChange]])</f>
        <v>1482.3444893412293</v>
      </c>
      <c r="AM305">
        <f>IF(Games[[#This Row],[Team]]="","",IF(Games[[#This Row],[Type]]="R",IF(Games[[#This Row],[Result]]&gt;0.5,1,0),0))</f>
        <v>0</v>
      </c>
      <c r="AN305">
        <f>IF(Games[[#This Row],[Team]]="","",IF(Games[[#This Row],[Type]]="R",IF(Games[[#This Row],[Result]]&lt;0.5,1,0),0))</f>
        <v>1</v>
      </c>
      <c r="AO305">
        <f>IF(Games[[#This Row],[Team]]="","",IF(Games[[#This Row],[Type]]="R",IF(Games[[#This Row],[Result]]=0.5,1,0),0))</f>
        <v>0</v>
      </c>
    </row>
    <row r="306" spans="1:41" x14ac:dyDescent="0.35">
      <c r="A306" s="8">
        <v>35386</v>
      </c>
      <c r="B306">
        <v>1996</v>
      </c>
      <c r="C306" t="s">
        <v>197</v>
      </c>
      <c r="D306" t="s">
        <v>199</v>
      </c>
      <c r="E306" t="s">
        <v>108</v>
      </c>
      <c r="F306" t="s">
        <v>150</v>
      </c>
      <c r="G306" t="s">
        <v>201</v>
      </c>
      <c r="H306">
        <v>20</v>
      </c>
      <c r="I306">
        <v>10</v>
      </c>
      <c r="J306">
        <v>0</v>
      </c>
      <c r="K30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0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0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0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06">
        <f>IF(Games[[#This Row],[Team]]="","",IF(Games[[#This Row],[Conf]]=Games[[#This Row],[OppConf]],1,0))</f>
        <v>1</v>
      </c>
      <c r="P306">
        <f>IF(Games[[#This Row],[Team]]="","",IF(AND(Games[[#This Row],[Conf]]=Games[[#This Row],[OppConf]],Games[[#This Row],[Div]]=Games[[#This Row],[OppDiv]]),1,0))</f>
        <v>1</v>
      </c>
      <c r="Q306">
        <f>IF(Games[[#This Row],[Team]]="","",_xlfn.MINIFS(Games[Date],Games[Season],Games[[#This Row],[Season]]))</f>
        <v>35309</v>
      </c>
      <c r="R306">
        <f>IF(Games[[#This Row],[Team]]="","",INT((Games[[#This Row],[Date]]-(Games[[#This Row],[SeasonStart]]-MOD(WEEKDAY(Games[[#This Row],[SeasonStart]],2)-2,7)))/7)+1)</f>
        <v>12</v>
      </c>
      <c r="S306">
        <f>IF(Games[[#This Row],[Team]]="","",COUNTIFS(Games[Team],Games[[#This Row],[Team]],Games[Season],Games[[#This Row],[Season]],Games[Week],"&lt;="&amp;Games[[#This Row],[Week]]))</f>
        <v>11</v>
      </c>
      <c r="T306">
        <f>IF(Games[[#This Row],[Team]]="","",_xlfn.MAXIFS(Games[Week],Games[Team],Games[[#This Row],[Team]],Games[Season],Games[[#This Row],[Season]],Games[Week],"&lt;"&amp;Games[[#This Row],[Week]]))</f>
        <v>11</v>
      </c>
      <c r="U306">
        <f>IF(Games[[#This Row],[Team]]="","",_xlfn.MAXIFS(Games[Week],Games[Team],Games[[#This Row],[Opponent]],Games[Season],Games[[#This Row],[Season]],Games[Week],"&lt;"&amp;Games[[#This Row],[Week]]))</f>
        <v>11</v>
      </c>
      <c r="V30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0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0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1559.0276514605632</v>
      </c>
      <c r="Z30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1431.2873776070794</v>
      </c>
      <c r="AA30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0.57953548564016544</v>
      </c>
      <c r="AB306">
        <f>IF(Games[[#This Row],[Team]]="","",Games[[#This Row],[PointsFor]]-Games[[#This Row],[PointsAgainst]])</f>
        <v>10</v>
      </c>
      <c r="AC306">
        <f>IF(Games[[#This Row],[Team]]="","",IF(Games[[#This Row],[MOV]]&gt;0,1,IF(Games[[#This Row],[MOV]]=0,0.5,0)))</f>
        <v>1</v>
      </c>
      <c r="AD306">
        <f>IF(Games[[#This Row],[Team]]="","",--(OR(AND(Games[[#This Row],[ExpectedWin]]&gt;=0.5,Games[[#This Row],[Result]]=1),AND(Games[[#This Row],[ExpectedWin]]&lt;0.5,Games[[#This Row],[Result]]=0))))</f>
        <v>1</v>
      </c>
      <c r="AE306">
        <f>IF(Games[[#This Row],[Team]]="","",-(Games[[#This Row],[Result]]*LN(Games[[#This Row],[ExpectedWin]])+(1-Games[[#This Row],[Result]])*LN(1-Games[[#This Row],[ExpectedWin]])))</f>
        <v>0.54552838315016583</v>
      </c>
      <c r="AF306">
        <f>IF(Games[[#This Row],[Team]]="","",IF(Games[[#This Row],[Season]]&gt;=2021,17,16))</f>
        <v>16</v>
      </c>
      <c r="AG306">
        <f>IF(Games[[#This Row],[Team]]="","",KMax-(KMax-KFloor)*MIN(Games[[#This Row],[GamesPlayed]],Games[[#This Row],[SeasonLen]])/Games[[#This Row],[SeasonLen]])</f>
        <v>39.262500000000003</v>
      </c>
      <c r="AH306">
        <f>IF(Games[[#This Row],[Team]]="","",((ABS(Games[[#This Row],[MOV]])+3)^0.8)/(7.5+0.006*ABS(Games[[#This Row],[PreGmRate]]-Games[[#This Row],[OppPreGmRate]]))*IF(Games[[#This Row],[OT]]=1,0.7,1))</f>
        <v>0.94153415194267731</v>
      </c>
      <c r="AI30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6">
        <f>IF(Games[[#This Row],[Team]]="","",Games[[#This Row],[K]]*IF(Games[[#This Row],[DivG]]=1,DivMult,1)*IF(Games[[#This Row],[ConfG]]=1,ConfMult,1)*Games[[#This Row],[POMult]])</f>
        <v>44.05252500000001</v>
      </c>
      <c r="AK306">
        <f>IF(Games[[#This Row],[Team]]="","",(Games[[#This Row],[Keff]]*Games[[#This Row],[MOVMult]])*(Games[[#This Row],[Result]]-Games[[#This Row],[ExpectedWin]]))</f>
        <v>17.43958848408003</v>
      </c>
      <c r="AL306">
        <f>IF(Games[[#This Row],[Team]]="","",Games[[#This Row],[PreGmRate]]+Games[[#This Row],[RatingChange]])</f>
        <v>1576.4672399446433</v>
      </c>
      <c r="AM306">
        <f>IF(Games[[#This Row],[Team]]="","",IF(Games[[#This Row],[Type]]="R",IF(Games[[#This Row],[Result]]&gt;0.5,1,0),0))</f>
        <v>1</v>
      </c>
      <c r="AN306">
        <f>IF(Games[[#This Row],[Team]]="","",IF(Games[[#This Row],[Type]]="R",IF(Games[[#This Row],[Result]]&lt;0.5,1,0),0))</f>
        <v>0</v>
      </c>
      <c r="AO306">
        <f>IF(Games[[#This Row],[Team]]="","",IF(Games[[#This Row],[Type]]="R",IF(Games[[#This Row],[Result]]=0.5,1,0),0))</f>
        <v>0</v>
      </c>
    </row>
    <row r="307" spans="1:41" x14ac:dyDescent="0.35">
      <c r="A307" s="8">
        <v>35386</v>
      </c>
      <c r="B307">
        <v>1996</v>
      </c>
      <c r="C307" t="s">
        <v>197</v>
      </c>
      <c r="D307" t="s">
        <v>199</v>
      </c>
      <c r="E307" t="s">
        <v>150</v>
      </c>
      <c r="F307" t="s">
        <v>108</v>
      </c>
      <c r="G307" t="s">
        <v>200</v>
      </c>
      <c r="H307">
        <v>10</v>
      </c>
      <c r="I307">
        <v>20</v>
      </c>
      <c r="J307">
        <v>0</v>
      </c>
      <c r="K30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0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0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0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07">
        <f>IF(Games[[#This Row],[Team]]="","",IF(Games[[#This Row],[Conf]]=Games[[#This Row],[OppConf]],1,0))</f>
        <v>1</v>
      </c>
      <c r="P307">
        <f>IF(Games[[#This Row],[Team]]="","",IF(AND(Games[[#This Row],[Conf]]=Games[[#This Row],[OppConf]],Games[[#This Row],[Div]]=Games[[#This Row],[OppDiv]]),1,0))</f>
        <v>1</v>
      </c>
      <c r="Q307">
        <f>IF(Games[[#This Row],[Team]]="","",_xlfn.MINIFS(Games[Date],Games[Season],Games[[#This Row],[Season]]))</f>
        <v>35309</v>
      </c>
      <c r="R307">
        <f>IF(Games[[#This Row],[Team]]="","",INT((Games[[#This Row],[Date]]-(Games[[#This Row],[SeasonStart]]-MOD(WEEKDAY(Games[[#This Row],[SeasonStart]],2)-2,7)))/7)+1)</f>
        <v>12</v>
      </c>
      <c r="S307">
        <f>IF(Games[[#This Row],[Team]]="","",COUNTIFS(Games[Team],Games[[#This Row],[Team]],Games[Season],Games[[#This Row],[Season]],Games[Week],"&lt;="&amp;Games[[#This Row],[Week]]))</f>
        <v>11</v>
      </c>
      <c r="T307">
        <f>IF(Games[[#This Row],[Team]]="","",_xlfn.MAXIFS(Games[Week],Games[Team],Games[[#This Row],[Team]],Games[Season],Games[[#This Row],[Season]],Games[Week],"&lt;"&amp;Games[[#This Row],[Week]]))</f>
        <v>11</v>
      </c>
      <c r="U307">
        <f>IF(Games[[#This Row],[Team]]="","",_xlfn.MAXIFS(Games[Week],Games[Team],Games[[#This Row],[Opponent]],Games[Season],Games[[#This Row],[Season]],Games[Week],"&lt;"&amp;Games[[#This Row],[Week]]))</f>
        <v>11</v>
      </c>
      <c r="V30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0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0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1431.2873776070794</v>
      </c>
      <c r="Z30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1559.0276514605632</v>
      </c>
      <c r="AA30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0.42046451435983462</v>
      </c>
      <c r="AB307">
        <f>IF(Games[[#This Row],[Team]]="","",Games[[#This Row],[PointsFor]]-Games[[#This Row],[PointsAgainst]])</f>
        <v>-10</v>
      </c>
      <c r="AC307">
        <f>IF(Games[[#This Row],[Team]]="","",IF(Games[[#This Row],[MOV]]&gt;0,1,IF(Games[[#This Row],[MOV]]=0,0.5,0)))</f>
        <v>0</v>
      </c>
      <c r="AD307">
        <f>IF(Games[[#This Row],[Team]]="","",--(OR(AND(Games[[#This Row],[ExpectedWin]]&gt;=0.5,Games[[#This Row],[Result]]=1),AND(Games[[#This Row],[ExpectedWin]]&lt;0.5,Games[[#This Row],[Result]]=0))))</f>
        <v>1</v>
      </c>
      <c r="AE307">
        <f>IF(Games[[#This Row],[Team]]="","",-(Games[[#This Row],[Result]]*LN(Games[[#This Row],[ExpectedWin]])+(1-Games[[#This Row],[Result]])*LN(1-Games[[#This Row],[ExpectedWin]])))</f>
        <v>0.54552838315016605</v>
      </c>
      <c r="AF307">
        <f>IF(Games[[#This Row],[Team]]="","",IF(Games[[#This Row],[Season]]&gt;=2021,17,16))</f>
        <v>16</v>
      </c>
      <c r="AG307">
        <f>IF(Games[[#This Row],[Team]]="","",KMax-(KMax-KFloor)*MIN(Games[[#This Row],[GamesPlayed]],Games[[#This Row],[SeasonLen]])/Games[[#This Row],[SeasonLen]])</f>
        <v>39.262500000000003</v>
      </c>
      <c r="AH307">
        <f>IF(Games[[#This Row],[Team]]="","",((ABS(Games[[#This Row],[MOV]])+3)^0.8)/(7.5+0.006*ABS(Games[[#This Row],[PreGmRate]]-Games[[#This Row],[OppPreGmRate]]))*IF(Games[[#This Row],[OT]]=1,0.7,1))</f>
        <v>0.94153415194267731</v>
      </c>
      <c r="AI30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7">
        <f>IF(Games[[#This Row],[Team]]="","",Games[[#This Row],[K]]*IF(Games[[#This Row],[DivG]]=1,DivMult,1)*IF(Games[[#This Row],[ConfG]]=1,ConfMult,1)*Games[[#This Row],[POMult]])</f>
        <v>44.05252500000001</v>
      </c>
      <c r="AK307">
        <f>IF(Games[[#This Row],[Team]]="","",(Games[[#This Row],[Keff]]*Games[[#This Row],[MOVMult]])*(Games[[#This Row],[Result]]-Games[[#This Row],[ExpectedWin]]))</f>
        <v>-17.439588484080033</v>
      </c>
      <c r="AL307">
        <f>IF(Games[[#This Row],[Team]]="","",Games[[#This Row],[PreGmRate]]+Games[[#This Row],[RatingChange]])</f>
        <v>1413.8477891229993</v>
      </c>
      <c r="AM307">
        <f>IF(Games[[#This Row],[Team]]="","",IF(Games[[#This Row],[Type]]="R",IF(Games[[#This Row],[Result]]&gt;0.5,1,0),0))</f>
        <v>0</v>
      </c>
      <c r="AN307">
        <f>IF(Games[[#This Row],[Team]]="","",IF(Games[[#This Row],[Type]]="R",IF(Games[[#This Row],[Result]]&lt;0.5,1,0),0))</f>
        <v>1</v>
      </c>
      <c r="AO307">
        <f>IF(Games[[#This Row],[Team]]="","",IF(Games[[#This Row],[Type]]="R",IF(Games[[#This Row],[Result]]=0.5,1,0),0))</f>
        <v>0</v>
      </c>
    </row>
    <row r="308" spans="1:41" x14ac:dyDescent="0.35">
      <c r="A308" s="8">
        <v>35386</v>
      </c>
      <c r="B308">
        <v>1996</v>
      </c>
      <c r="C308" t="s">
        <v>197</v>
      </c>
      <c r="D308" t="s">
        <v>199</v>
      </c>
      <c r="E308" t="s">
        <v>126</v>
      </c>
      <c r="F308" t="s">
        <v>110</v>
      </c>
      <c r="G308" t="s">
        <v>200</v>
      </c>
      <c r="H308">
        <v>14</v>
      </c>
      <c r="I308">
        <v>10</v>
      </c>
      <c r="J308">
        <v>0</v>
      </c>
      <c r="K30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0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0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0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08">
        <f>IF(Games[[#This Row],[Team]]="","",IF(Games[[#This Row],[Conf]]=Games[[#This Row],[OppConf]],1,0))</f>
        <v>0</v>
      </c>
      <c r="P308">
        <f>IF(Games[[#This Row],[Team]]="","",IF(AND(Games[[#This Row],[Conf]]=Games[[#This Row],[OppConf]],Games[[#This Row],[Div]]=Games[[#This Row],[OppDiv]]),1,0))</f>
        <v>0</v>
      </c>
      <c r="Q308">
        <f>IF(Games[[#This Row],[Team]]="","",_xlfn.MINIFS(Games[Date],Games[Season],Games[[#This Row],[Season]]))</f>
        <v>35309</v>
      </c>
      <c r="R308">
        <f>IF(Games[[#This Row],[Team]]="","",INT((Games[[#This Row],[Date]]-(Games[[#This Row],[SeasonStart]]-MOD(WEEKDAY(Games[[#This Row],[SeasonStart]],2)-2,7)))/7)+1)</f>
        <v>12</v>
      </c>
      <c r="S308">
        <f>IF(Games[[#This Row],[Team]]="","",COUNTIFS(Games[Team],Games[[#This Row],[Team]],Games[Season],Games[[#This Row],[Season]],Games[Week],"&lt;="&amp;Games[[#This Row],[Week]]))</f>
        <v>11</v>
      </c>
      <c r="T308">
        <f>IF(Games[[#This Row],[Team]]="","",_xlfn.MAXIFS(Games[Week],Games[Team],Games[[#This Row],[Team]],Games[Season],Games[[#This Row],[Season]],Games[Week],"&lt;"&amp;Games[[#This Row],[Week]]))</f>
        <v>11</v>
      </c>
      <c r="U308">
        <f>IF(Games[[#This Row],[Team]]="","",_xlfn.MAXIFS(Games[Week],Games[Team],Games[[#This Row],[Opponent]],Games[Season],Games[[#This Row],[Season]],Games[Week],"&lt;"&amp;Games[[#This Row],[Week]]))</f>
        <v>11</v>
      </c>
      <c r="V30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0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0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1575.194123875388</v>
      </c>
      <c r="Z30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1439.4337823924427</v>
      </c>
      <c r="AA30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0.76780614175042861</v>
      </c>
      <c r="AB308">
        <f>IF(Games[[#This Row],[Team]]="","",Games[[#This Row],[PointsFor]]-Games[[#This Row],[PointsAgainst]])</f>
        <v>4</v>
      </c>
      <c r="AC308">
        <f>IF(Games[[#This Row],[Team]]="","",IF(Games[[#This Row],[MOV]]&gt;0,1,IF(Games[[#This Row],[MOV]]=0,0.5,0)))</f>
        <v>1</v>
      </c>
      <c r="AD308">
        <f>IF(Games[[#This Row],[Team]]="","",--(OR(AND(Games[[#This Row],[ExpectedWin]]&gt;=0.5,Games[[#This Row],[Result]]=1),AND(Games[[#This Row],[ExpectedWin]]&lt;0.5,Games[[#This Row],[Result]]=0))))</f>
        <v>1</v>
      </c>
      <c r="AE308">
        <f>IF(Games[[#This Row],[Team]]="","",-(Games[[#This Row],[Result]]*LN(Games[[#This Row],[ExpectedWin]])+(1-Games[[#This Row],[Result]])*LN(1-Games[[#This Row],[ExpectedWin]])))</f>
        <v>0.26421799729344919</v>
      </c>
      <c r="AF308">
        <f>IF(Games[[#This Row],[Team]]="","",IF(Games[[#This Row],[Season]]&gt;=2021,17,16))</f>
        <v>16</v>
      </c>
      <c r="AG308">
        <f>IF(Games[[#This Row],[Team]]="","",KMax-(KMax-KFloor)*MIN(Games[[#This Row],[GamesPlayed]],Games[[#This Row],[SeasonLen]])/Games[[#This Row],[SeasonLen]])</f>
        <v>39.262500000000003</v>
      </c>
      <c r="AH308">
        <f>IF(Games[[#This Row],[Team]]="","",((ABS(Games[[#This Row],[MOV]])+3)^0.8)/(7.5+0.006*ABS(Games[[#This Row],[PreGmRate]]-Games[[#This Row],[OppPreGmRate]]))*IF(Games[[#This Row],[OT]]=1,0.7,1))</f>
        <v>0.57047820028382856</v>
      </c>
      <c r="AI30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8">
        <f>IF(Games[[#This Row],[Team]]="","",Games[[#This Row],[K]]*IF(Games[[#This Row],[DivG]]=1,DivMult,1)*IF(Games[[#This Row],[ConfG]]=1,ConfMult,1)*Games[[#This Row],[POMult]])</f>
        <v>39.262500000000003</v>
      </c>
      <c r="AK308">
        <f>IF(Games[[#This Row],[Team]]="","",(Games[[#This Row],[Keff]]*Games[[#This Row],[MOVMult]])*(Games[[#This Row],[Result]]-Games[[#This Row],[ExpectedWin]]))</f>
        <v>5.2007709932482156</v>
      </c>
      <c r="AL308">
        <f>IF(Games[[#This Row],[Team]]="","",Games[[#This Row],[PreGmRate]]+Games[[#This Row],[RatingChange]])</f>
        <v>1580.3948948686361</v>
      </c>
      <c r="AM308">
        <f>IF(Games[[#This Row],[Team]]="","",IF(Games[[#This Row],[Type]]="R",IF(Games[[#This Row],[Result]]&gt;0.5,1,0),0))</f>
        <v>1</v>
      </c>
      <c r="AN308">
        <f>IF(Games[[#This Row],[Team]]="","",IF(Games[[#This Row],[Type]]="R",IF(Games[[#This Row],[Result]]&lt;0.5,1,0),0))</f>
        <v>0</v>
      </c>
      <c r="AO308">
        <f>IF(Games[[#This Row],[Team]]="","",IF(Games[[#This Row],[Type]]="R",IF(Games[[#This Row],[Result]]=0.5,1,0),0))</f>
        <v>0</v>
      </c>
    </row>
    <row r="309" spans="1:41" x14ac:dyDescent="0.35">
      <c r="A309" s="8">
        <v>35386</v>
      </c>
      <c r="B309">
        <v>1996</v>
      </c>
      <c r="C309" t="s">
        <v>197</v>
      </c>
      <c r="D309" t="s">
        <v>199</v>
      </c>
      <c r="E309" t="s">
        <v>110</v>
      </c>
      <c r="F309" t="s">
        <v>126</v>
      </c>
      <c r="G309" t="s">
        <v>201</v>
      </c>
      <c r="H309">
        <v>10</v>
      </c>
      <c r="I309">
        <v>14</v>
      </c>
      <c r="J309">
        <v>0</v>
      </c>
      <c r="K30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0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0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0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09">
        <f>IF(Games[[#This Row],[Team]]="","",IF(Games[[#This Row],[Conf]]=Games[[#This Row],[OppConf]],1,0))</f>
        <v>0</v>
      </c>
      <c r="P309">
        <f>IF(Games[[#This Row],[Team]]="","",IF(AND(Games[[#This Row],[Conf]]=Games[[#This Row],[OppConf]],Games[[#This Row],[Div]]=Games[[#This Row],[OppDiv]]),1,0))</f>
        <v>0</v>
      </c>
      <c r="Q309">
        <f>IF(Games[[#This Row],[Team]]="","",_xlfn.MINIFS(Games[Date],Games[Season],Games[[#This Row],[Season]]))</f>
        <v>35309</v>
      </c>
      <c r="R309">
        <f>IF(Games[[#This Row],[Team]]="","",INT((Games[[#This Row],[Date]]-(Games[[#This Row],[SeasonStart]]-MOD(WEEKDAY(Games[[#This Row],[SeasonStart]],2)-2,7)))/7)+1)</f>
        <v>12</v>
      </c>
      <c r="S309">
        <f>IF(Games[[#This Row],[Team]]="","",COUNTIFS(Games[Team],Games[[#This Row],[Team]],Games[Season],Games[[#This Row],[Season]],Games[Week],"&lt;="&amp;Games[[#This Row],[Week]]))</f>
        <v>11</v>
      </c>
      <c r="T309">
        <f>IF(Games[[#This Row],[Team]]="","",_xlfn.MAXIFS(Games[Week],Games[Team],Games[[#This Row],[Team]],Games[Season],Games[[#This Row],[Season]],Games[Week],"&lt;"&amp;Games[[#This Row],[Week]]))</f>
        <v>11</v>
      </c>
      <c r="U309">
        <f>IF(Games[[#This Row],[Team]]="","",_xlfn.MAXIFS(Games[Week],Games[Team],Games[[#This Row],[Opponent]],Games[Season],Games[[#This Row],[Season]],Games[Week],"&lt;"&amp;Games[[#This Row],[Week]]))</f>
        <v>11</v>
      </c>
      <c r="V30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0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0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1439.4337823924427</v>
      </c>
      <c r="Z30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1575.194123875388</v>
      </c>
      <c r="AA30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0.23219385824957131</v>
      </c>
      <c r="AB309">
        <f>IF(Games[[#This Row],[Team]]="","",Games[[#This Row],[PointsFor]]-Games[[#This Row],[PointsAgainst]])</f>
        <v>-4</v>
      </c>
      <c r="AC309">
        <f>IF(Games[[#This Row],[Team]]="","",IF(Games[[#This Row],[MOV]]&gt;0,1,IF(Games[[#This Row],[MOV]]=0,0.5,0)))</f>
        <v>0</v>
      </c>
      <c r="AD309">
        <f>IF(Games[[#This Row],[Team]]="","",--(OR(AND(Games[[#This Row],[ExpectedWin]]&gt;=0.5,Games[[#This Row],[Result]]=1),AND(Games[[#This Row],[ExpectedWin]]&lt;0.5,Games[[#This Row],[Result]]=0))))</f>
        <v>1</v>
      </c>
      <c r="AE309">
        <f>IF(Games[[#This Row],[Team]]="","",-(Games[[#This Row],[Result]]*LN(Games[[#This Row],[ExpectedWin]])+(1-Games[[#This Row],[Result]])*LN(1-Games[[#This Row],[ExpectedWin]])))</f>
        <v>0.26421799729344903</v>
      </c>
      <c r="AF309">
        <f>IF(Games[[#This Row],[Team]]="","",IF(Games[[#This Row],[Season]]&gt;=2021,17,16))</f>
        <v>16</v>
      </c>
      <c r="AG309">
        <f>IF(Games[[#This Row],[Team]]="","",KMax-(KMax-KFloor)*MIN(Games[[#This Row],[GamesPlayed]],Games[[#This Row],[SeasonLen]])/Games[[#This Row],[SeasonLen]])</f>
        <v>39.262500000000003</v>
      </c>
      <c r="AH309">
        <f>IF(Games[[#This Row],[Team]]="","",((ABS(Games[[#This Row],[MOV]])+3)^0.8)/(7.5+0.006*ABS(Games[[#This Row],[PreGmRate]]-Games[[#This Row],[OppPreGmRate]]))*IF(Games[[#This Row],[OT]]=1,0.7,1))</f>
        <v>0.57047820028382856</v>
      </c>
      <c r="AI30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9">
        <f>IF(Games[[#This Row],[Team]]="","",Games[[#This Row],[K]]*IF(Games[[#This Row],[DivG]]=1,DivMult,1)*IF(Games[[#This Row],[ConfG]]=1,ConfMult,1)*Games[[#This Row],[POMult]])</f>
        <v>39.262500000000003</v>
      </c>
      <c r="AK309">
        <f>IF(Games[[#This Row],[Team]]="","",(Games[[#This Row],[Keff]]*Games[[#This Row],[MOVMult]])*(Games[[#This Row],[Result]]-Games[[#This Row],[ExpectedWin]]))</f>
        <v>-5.2007709932482138</v>
      </c>
      <c r="AL309">
        <f>IF(Games[[#This Row],[Team]]="","",Games[[#This Row],[PreGmRate]]+Games[[#This Row],[RatingChange]])</f>
        <v>1434.2330113991945</v>
      </c>
      <c r="AM309">
        <f>IF(Games[[#This Row],[Team]]="","",IF(Games[[#This Row],[Type]]="R",IF(Games[[#This Row],[Result]]&gt;0.5,1,0),0))</f>
        <v>0</v>
      </c>
      <c r="AN309">
        <f>IF(Games[[#This Row],[Team]]="","",IF(Games[[#This Row],[Type]]="R",IF(Games[[#This Row],[Result]]&lt;0.5,1,0),0))</f>
        <v>1</v>
      </c>
      <c r="AO309">
        <f>IF(Games[[#This Row],[Team]]="","",IF(Games[[#This Row],[Type]]="R",IF(Games[[#This Row],[Result]]=0.5,1,0),0))</f>
        <v>0</v>
      </c>
    </row>
    <row r="310" spans="1:41" x14ac:dyDescent="0.35">
      <c r="A310" s="8">
        <v>35386</v>
      </c>
      <c r="B310">
        <v>1996</v>
      </c>
      <c r="C310" t="s">
        <v>197</v>
      </c>
      <c r="D310" t="s">
        <v>199</v>
      </c>
      <c r="E310" t="s">
        <v>122</v>
      </c>
      <c r="F310" t="s">
        <v>138</v>
      </c>
      <c r="G310" t="s">
        <v>200</v>
      </c>
      <c r="H310">
        <v>34</v>
      </c>
      <c r="I310">
        <v>29</v>
      </c>
      <c r="J310">
        <v>0</v>
      </c>
      <c r="K31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1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1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1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10">
        <f>IF(Games[[#This Row],[Team]]="","",IF(Games[[#This Row],[Conf]]=Games[[#This Row],[OppConf]],1,0))</f>
        <v>1</v>
      </c>
      <c r="P310">
        <f>IF(Games[[#This Row],[Team]]="","",IF(AND(Games[[#This Row],[Conf]]=Games[[#This Row],[OppConf]],Games[[#This Row],[Div]]=Games[[#This Row],[OppDiv]]),1,0))</f>
        <v>1</v>
      </c>
      <c r="Q310">
        <f>IF(Games[[#This Row],[Team]]="","",_xlfn.MINIFS(Games[Date],Games[Season],Games[[#This Row],[Season]]))</f>
        <v>35309</v>
      </c>
      <c r="R310">
        <f>IF(Games[[#This Row],[Team]]="","",INT((Games[[#This Row],[Date]]-(Games[[#This Row],[SeasonStart]]-MOD(WEEKDAY(Games[[#This Row],[SeasonStart]],2)-2,7)))/7)+1)</f>
        <v>12</v>
      </c>
      <c r="S310">
        <f>IF(Games[[#This Row],[Team]]="","",COUNTIFS(Games[Team],Games[[#This Row],[Team]],Games[Season],Games[[#This Row],[Season]],Games[Week],"&lt;="&amp;Games[[#This Row],[Week]]))</f>
        <v>11</v>
      </c>
      <c r="T310">
        <f>IF(Games[[#This Row],[Team]]="","",_xlfn.MAXIFS(Games[Week],Games[Team],Games[[#This Row],[Team]],Games[Season],Games[[#This Row],[Season]],Games[Week],"&lt;"&amp;Games[[#This Row],[Week]]))</f>
        <v>11</v>
      </c>
      <c r="U310">
        <f>IF(Games[[#This Row],[Team]]="","",_xlfn.MAXIFS(Games[Week],Games[Team],Games[[#This Row],[Opponent]],Games[Season],Games[[#This Row],[Season]],Games[Week],"&lt;"&amp;Games[[#This Row],[Week]]))</f>
        <v>11</v>
      </c>
      <c r="V31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1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1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1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1453.8634604228723</v>
      </c>
      <c r="Z31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1358.6198468296457</v>
      </c>
      <c r="AA31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0.72366838926319044</v>
      </c>
      <c r="AB310">
        <f>IF(Games[[#This Row],[Team]]="","",Games[[#This Row],[PointsFor]]-Games[[#This Row],[PointsAgainst]])</f>
        <v>5</v>
      </c>
      <c r="AC310">
        <f>IF(Games[[#This Row],[Team]]="","",IF(Games[[#This Row],[MOV]]&gt;0,1,IF(Games[[#This Row],[MOV]]=0,0.5,0)))</f>
        <v>1</v>
      </c>
      <c r="AD310">
        <f>IF(Games[[#This Row],[Team]]="","",--(OR(AND(Games[[#This Row],[ExpectedWin]]&gt;=0.5,Games[[#This Row],[Result]]=1),AND(Games[[#This Row],[ExpectedWin]]&lt;0.5,Games[[#This Row],[Result]]=0))))</f>
        <v>1</v>
      </c>
      <c r="AE310">
        <f>IF(Games[[#This Row],[Team]]="","",-(Games[[#This Row],[Result]]*LN(Games[[#This Row],[ExpectedWin]])+(1-Games[[#This Row],[Result]])*LN(1-Games[[#This Row],[ExpectedWin]])))</f>
        <v>0.32342201740188548</v>
      </c>
      <c r="AF310">
        <f>IF(Games[[#This Row],[Team]]="","",IF(Games[[#This Row],[Season]]&gt;=2021,17,16))</f>
        <v>16</v>
      </c>
      <c r="AG310">
        <f>IF(Games[[#This Row],[Team]]="","",KMax-(KMax-KFloor)*MIN(Games[[#This Row],[GamesPlayed]],Games[[#This Row],[SeasonLen]])/Games[[#This Row],[SeasonLen]])</f>
        <v>39.262500000000003</v>
      </c>
      <c r="AH310">
        <f>IF(Games[[#This Row],[Team]]="","",((ABS(Games[[#This Row],[MOV]])+3)^0.8)/(7.5+0.006*ABS(Games[[#This Row],[PreGmRate]]-Games[[#This Row],[OppPreGmRate]]))*IF(Games[[#This Row],[OT]]=1,0.7,1))</f>
        <v>0.65391274236612518</v>
      </c>
      <c r="AI31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0">
        <f>IF(Games[[#This Row],[Team]]="","",Games[[#This Row],[K]]*IF(Games[[#This Row],[DivG]]=1,DivMult,1)*IF(Games[[#This Row],[ConfG]]=1,ConfMult,1)*Games[[#This Row],[POMult]])</f>
        <v>44.05252500000001</v>
      </c>
      <c r="AK310">
        <f>IF(Games[[#This Row],[Team]]="","",(Games[[#This Row],[Keff]]*Games[[#This Row],[MOVMult]])*(Games[[#This Row],[Result]]-Games[[#This Row],[ExpectedWin]]))</f>
        <v>7.960148598083105</v>
      </c>
      <c r="AL310">
        <f>IF(Games[[#This Row],[Team]]="","",Games[[#This Row],[PreGmRate]]+Games[[#This Row],[RatingChange]])</f>
        <v>1461.8236090209555</v>
      </c>
      <c r="AM310">
        <f>IF(Games[[#This Row],[Team]]="","",IF(Games[[#This Row],[Type]]="R",IF(Games[[#This Row],[Result]]&gt;0.5,1,0),0))</f>
        <v>1</v>
      </c>
      <c r="AN310">
        <f>IF(Games[[#This Row],[Team]]="","",IF(Games[[#This Row],[Type]]="R",IF(Games[[#This Row],[Result]]&lt;0.5,1,0),0))</f>
        <v>0</v>
      </c>
      <c r="AO310">
        <f>IF(Games[[#This Row],[Team]]="","",IF(Games[[#This Row],[Type]]="R",IF(Games[[#This Row],[Result]]=0.5,1,0),0))</f>
        <v>0</v>
      </c>
    </row>
    <row r="311" spans="1:41" x14ac:dyDescent="0.35">
      <c r="A311" s="8">
        <v>35386</v>
      </c>
      <c r="B311">
        <v>1996</v>
      </c>
      <c r="C311" t="s">
        <v>197</v>
      </c>
      <c r="D311" t="s">
        <v>199</v>
      </c>
      <c r="E311" t="s">
        <v>138</v>
      </c>
      <c r="F311" t="s">
        <v>122</v>
      </c>
      <c r="G311" t="s">
        <v>201</v>
      </c>
      <c r="H311">
        <v>29</v>
      </c>
      <c r="I311">
        <v>34</v>
      </c>
      <c r="J311">
        <v>0</v>
      </c>
      <c r="K31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1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1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1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11">
        <f>IF(Games[[#This Row],[Team]]="","",IF(Games[[#This Row],[Conf]]=Games[[#This Row],[OppConf]],1,0))</f>
        <v>1</v>
      </c>
      <c r="P311">
        <f>IF(Games[[#This Row],[Team]]="","",IF(AND(Games[[#This Row],[Conf]]=Games[[#This Row],[OppConf]],Games[[#This Row],[Div]]=Games[[#This Row],[OppDiv]]),1,0))</f>
        <v>1</v>
      </c>
      <c r="Q311">
        <f>IF(Games[[#This Row],[Team]]="","",_xlfn.MINIFS(Games[Date],Games[Season],Games[[#This Row],[Season]]))</f>
        <v>35309</v>
      </c>
      <c r="R311">
        <f>IF(Games[[#This Row],[Team]]="","",INT((Games[[#This Row],[Date]]-(Games[[#This Row],[SeasonStart]]-MOD(WEEKDAY(Games[[#This Row],[SeasonStart]],2)-2,7)))/7)+1)</f>
        <v>12</v>
      </c>
      <c r="S311">
        <f>IF(Games[[#This Row],[Team]]="","",COUNTIFS(Games[Team],Games[[#This Row],[Team]],Games[Season],Games[[#This Row],[Season]],Games[Week],"&lt;="&amp;Games[[#This Row],[Week]]))</f>
        <v>11</v>
      </c>
      <c r="T311">
        <f>IF(Games[[#This Row],[Team]]="","",_xlfn.MAXIFS(Games[Week],Games[Team],Games[[#This Row],[Team]],Games[Season],Games[[#This Row],[Season]],Games[Week],"&lt;"&amp;Games[[#This Row],[Week]]))</f>
        <v>11</v>
      </c>
      <c r="U311">
        <f>IF(Games[[#This Row],[Team]]="","",_xlfn.MAXIFS(Games[Week],Games[Team],Games[[#This Row],[Opponent]],Games[Season],Games[[#This Row],[Season]],Games[Week],"&lt;"&amp;Games[[#This Row],[Week]]))</f>
        <v>11</v>
      </c>
      <c r="V31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1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1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1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1358.6198468296457</v>
      </c>
      <c r="Z31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1453.8634604228723</v>
      </c>
      <c r="AA31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0.27633161073680945</v>
      </c>
      <c r="AB311">
        <f>IF(Games[[#This Row],[Team]]="","",Games[[#This Row],[PointsFor]]-Games[[#This Row],[PointsAgainst]])</f>
        <v>-5</v>
      </c>
      <c r="AC311">
        <f>IF(Games[[#This Row],[Team]]="","",IF(Games[[#This Row],[MOV]]&gt;0,1,IF(Games[[#This Row],[MOV]]=0,0.5,0)))</f>
        <v>0</v>
      </c>
      <c r="AD311">
        <f>IF(Games[[#This Row],[Team]]="","",--(OR(AND(Games[[#This Row],[ExpectedWin]]&gt;=0.5,Games[[#This Row],[Result]]=1),AND(Games[[#This Row],[ExpectedWin]]&lt;0.5,Games[[#This Row],[Result]]=0))))</f>
        <v>1</v>
      </c>
      <c r="AE311">
        <f>IF(Games[[#This Row],[Team]]="","",-(Games[[#This Row],[Result]]*LN(Games[[#This Row],[ExpectedWin]])+(1-Games[[#This Row],[Result]])*LN(1-Games[[#This Row],[ExpectedWin]])))</f>
        <v>0.32342201740188536</v>
      </c>
      <c r="AF311">
        <f>IF(Games[[#This Row],[Team]]="","",IF(Games[[#This Row],[Season]]&gt;=2021,17,16))</f>
        <v>16</v>
      </c>
      <c r="AG311">
        <f>IF(Games[[#This Row],[Team]]="","",KMax-(KMax-KFloor)*MIN(Games[[#This Row],[GamesPlayed]],Games[[#This Row],[SeasonLen]])/Games[[#This Row],[SeasonLen]])</f>
        <v>39.262500000000003</v>
      </c>
      <c r="AH311">
        <f>IF(Games[[#This Row],[Team]]="","",((ABS(Games[[#This Row],[MOV]])+3)^0.8)/(7.5+0.006*ABS(Games[[#This Row],[PreGmRate]]-Games[[#This Row],[OppPreGmRate]]))*IF(Games[[#This Row],[OT]]=1,0.7,1))</f>
        <v>0.65391274236612518</v>
      </c>
      <c r="AI31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1">
        <f>IF(Games[[#This Row],[Team]]="","",Games[[#This Row],[K]]*IF(Games[[#This Row],[DivG]]=1,DivMult,1)*IF(Games[[#This Row],[ConfG]]=1,ConfMult,1)*Games[[#This Row],[POMult]])</f>
        <v>44.05252500000001</v>
      </c>
      <c r="AK311">
        <f>IF(Games[[#This Row],[Team]]="","",(Games[[#This Row],[Keff]]*Games[[#This Row],[MOVMult]])*(Games[[#This Row],[Result]]-Games[[#This Row],[ExpectedWin]]))</f>
        <v>-7.9601485980831015</v>
      </c>
      <c r="AL311">
        <f>IF(Games[[#This Row],[Team]]="","",Games[[#This Row],[PreGmRate]]+Games[[#This Row],[RatingChange]])</f>
        <v>1350.6596982315625</v>
      </c>
      <c r="AM311">
        <f>IF(Games[[#This Row],[Team]]="","",IF(Games[[#This Row],[Type]]="R",IF(Games[[#This Row],[Result]]&gt;0.5,1,0),0))</f>
        <v>0</v>
      </c>
      <c r="AN311">
        <f>IF(Games[[#This Row],[Team]]="","",IF(Games[[#This Row],[Type]]="R",IF(Games[[#This Row],[Result]]&lt;0.5,1,0),0))</f>
        <v>1</v>
      </c>
      <c r="AO311">
        <f>IF(Games[[#This Row],[Team]]="","",IF(Games[[#This Row],[Type]]="R",IF(Games[[#This Row],[Result]]=0.5,1,0),0))</f>
        <v>0</v>
      </c>
    </row>
    <row r="312" spans="1:41" x14ac:dyDescent="0.35">
      <c r="A312" s="8">
        <v>35386</v>
      </c>
      <c r="B312">
        <v>1996</v>
      </c>
      <c r="C312" t="s">
        <v>197</v>
      </c>
      <c r="D312" t="s">
        <v>199</v>
      </c>
      <c r="E312" t="s">
        <v>116</v>
      </c>
      <c r="F312" t="s">
        <v>132</v>
      </c>
      <c r="G312" t="s">
        <v>201</v>
      </c>
      <c r="H312">
        <v>34</v>
      </c>
      <c r="I312">
        <v>8</v>
      </c>
      <c r="J312">
        <v>0</v>
      </c>
      <c r="K31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1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1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1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12">
        <f>IF(Games[[#This Row],[Team]]="","",IF(Games[[#This Row],[Conf]]=Games[[#This Row],[OppConf]],1,0))</f>
        <v>1</v>
      </c>
      <c r="P312">
        <f>IF(Games[[#This Row],[Team]]="","",IF(AND(Games[[#This Row],[Conf]]=Games[[#This Row],[OppConf]],Games[[#This Row],[Div]]=Games[[#This Row],[OppDiv]]),1,0))</f>
        <v>0</v>
      </c>
      <c r="Q312">
        <f>IF(Games[[#This Row],[Team]]="","",_xlfn.MINIFS(Games[Date],Games[Season],Games[[#This Row],[Season]]))</f>
        <v>35309</v>
      </c>
      <c r="R312">
        <f>IF(Games[[#This Row],[Team]]="","",INT((Games[[#This Row],[Date]]-(Games[[#This Row],[SeasonStart]]-MOD(WEEKDAY(Games[[#This Row],[SeasonStart]],2)-2,7)))/7)+1)</f>
        <v>12</v>
      </c>
      <c r="S312">
        <f>IF(Games[[#This Row],[Team]]="","",COUNTIFS(Games[Team],Games[[#This Row],[Team]],Games[Season],Games[[#This Row],[Season]],Games[Week],"&lt;="&amp;Games[[#This Row],[Week]]))</f>
        <v>11</v>
      </c>
      <c r="T312">
        <f>IF(Games[[#This Row],[Team]]="","",_xlfn.MAXIFS(Games[Week],Games[Team],Games[[#This Row],[Team]],Games[Season],Games[[#This Row],[Season]],Games[Week],"&lt;"&amp;Games[[#This Row],[Week]]))</f>
        <v>11</v>
      </c>
      <c r="U312">
        <f>IF(Games[[#This Row],[Team]]="","",_xlfn.MAXIFS(Games[Week],Games[Team],Games[[#This Row],[Opponent]],Games[Season],Games[[#This Row],[Season]],Games[Week],"&lt;"&amp;Games[[#This Row],[Week]]))</f>
        <v>11</v>
      </c>
      <c r="V31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1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1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1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1642.1898600225759</v>
      </c>
      <c r="Z31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1593.696749986957</v>
      </c>
      <c r="AA31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0.4662223908608471</v>
      </c>
      <c r="AB312">
        <f>IF(Games[[#This Row],[Team]]="","",Games[[#This Row],[PointsFor]]-Games[[#This Row],[PointsAgainst]])</f>
        <v>26</v>
      </c>
      <c r="AC312">
        <f>IF(Games[[#This Row],[Team]]="","",IF(Games[[#This Row],[MOV]]&gt;0,1,IF(Games[[#This Row],[MOV]]=0,0.5,0)))</f>
        <v>1</v>
      </c>
      <c r="AD312">
        <f>IF(Games[[#This Row],[Team]]="","",--(OR(AND(Games[[#This Row],[ExpectedWin]]&gt;=0.5,Games[[#This Row],[Result]]=1),AND(Games[[#This Row],[ExpectedWin]]&lt;0.5,Games[[#This Row],[Result]]=0))))</f>
        <v>0</v>
      </c>
      <c r="AE312">
        <f>IF(Games[[#This Row],[Team]]="","",-(Games[[#This Row],[Result]]*LN(Games[[#This Row],[ExpectedWin]])+(1-Games[[#This Row],[Result]])*LN(1-Games[[#This Row],[ExpectedWin]])))</f>
        <v>0.76309252508926362</v>
      </c>
      <c r="AF312">
        <f>IF(Games[[#This Row],[Team]]="","",IF(Games[[#This Row],[Season]]&gt;=2021,17,16))</f>
        <v>16</v>
      </c>
      <c r="AG312">
        <f>IF(Games[[#This Row],[Team]]="","",KMax-(KMax-KFloor)*MIN(Games[[#This Row],[GamesPlayed]],Games[[#This Row],[SeasonLen]])/Games[[#This Row],[SeasonLen]])</f>
        <v>39.262500000000003</v>
      </c>
      <c r="AH312">
        <f>IF(Games[[#This Row],[Team]]="","",((ABS(Games[[#This Row],[MOV]])+3)^0.8)/(7.5+0.006*ABS(Games[[#This Row],[PreGmRate]]-Games[[#This Row],[OppPreGmRate]]))*IF(Games[[#This Row],[OT]]=1,0.7,1))</f>
        <v>1.8981367530967028</v>
      </c>
      <c r="AI31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2">
        <f>IF(Games[[#This Row],[Team]]="","",Games[[#This Row],[K]]*IF(Games[[#This Row],[DivG]]=1,DivMult,1)*IF(Games[[#This Row],[ConfG]]=1,ConfMult,1)*Games[[#This Row],[POMult]])</f>
        <v>40.047750000000001</v>
      </c>
      <c r="AK312">
        <f>IF(Games[[#This Row],[Team]]="","",(Games[[#This Row],[Keff]]*Games[[#This Row],[MOVMult]])*(Games[[#This Row],[Result]]-Games[[#This Row],[ExpectedWin]]))</f>
        <v>40.575695398858613</v>
      </c>
      <c r="AL312">
        <f>IF(Games[[#This Row],[Team]]="","",Games[[#This Row],[PreGmRate]]+Games[[#This Row],[RatingChange]])</f>
        <v>1682.7655554214346</v>
      </c>
      <c r="AM312">
        <f>IF(Games[[#This Row],[Team]]="","",IF(Games[[#This Row],[Type]]="R",IF(Games[[#This Row],[Result]]&gt;0.5,1,0),0))</f>
        <v>1</v>
      </c>
      <c r="AN312">
        <f>IF(Games[[#This Row],[Team]]="","",IF(Games[[#This Row],[Type]]="R",IF(Games[[#This Row],[Result]]&lt;0.5,1,0),0))</f>
        <v>0</v>
      </c>
      <c r="AO312">
        <f>IF(Games[[#This Row],[Team]]="","",IF(Games[[#This Row],[Type]]="R",IF(Games[[#This Row],[Result]]=0.5,1,0),0))</f>
        <v>0</v>
      </c>
    </row>
    <row r="313" spans="1:41" x14ac:dyDescent="0.35">
      <c r="A313" s="8">
        <v>35386</v>
      </c>
      <c r="B313">
        <v>1996</v>
      </c>
      <c r="C313" t="s">
        <v>197</v>
      </c>
      <c r="D313" t="s">
        <v>199</v>
      </c>
      <c r="E313" t="s">
        <v>132</v>
      </c>
      <c r="F313" t="s">
        <v>116</v>
      </c>
      <c r="G313" t="s">
        <v>200</v>
      </c>
      <c r="H313">
        <v>8</v>
      </c>
      <c r="I313">
        <v>34</v>
      </c>
      <c r="J313">
        <v>0</v>
      </c>
      <c r="K31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1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1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1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13">
        <f>IF(Games[[#This Row],[Team]]="","",IF(Games[[#This Row],[Conf]]=Games[[#This Row],[OppConf]],1,0))</f>
        <v>1</v>
      </c>
      <c r="P313">
        <f>IF(Games[[#This Row],[Team]]="","",IF(AND(Games[[#This Row],[Conf]]=Games[[#This Row],[OppConf]],Games[[#This Row],[Div]]=Games[[#This Row],[OppDiv]]),1,0))</f>
        <v>0</v>
      </c>
      <c r="Q313">
        <f>IF(Games[[#This Row],[Team]]="","",_xlfn.MINIFS(Games[Date],Games[Season],Games[[#This Row],[Season]]))</f>
        <v>35309</v>
      </c>
      <c r="R313">
        <f>IF(Games[[#This Row],[Team]]="","",INT((Games[[#This Row],[Date]]-(Games[[#This Row],[SeasonStart]]-MOD(WEEKDAY(Games[[#This Row],[SeasonStart]],2)-2,7)))/7)+1)</f>
        <v>12</v>
      </c>
      <c r="S313">
        <f>IF(Games[[#This Row],[Team]]="","",COUNTIFS(Games[Team],Games[[#This Row],[Team]],Games[Season],Games[[#This Row],[Season]],Games[Week],"&lt;="&amp;Games[[#This Row],[Week]]))</f>
        <v>11</v>
      </c>
      <c r="T313">
        <f>IF(Games[[#This Row],[Team]]="","",_xlfn.MAXIFS(Games[Week],Games[Team],Games[[#This Row],[Team]],Games[Season],Games[[#This Row],[Season]],Games[Week],"&lt;"&amp;Games[[#This Row],[Week]]))</f>
        <v>11</v>
      </c>
      <c r="U313">
        <f>IF(Games[[#This Row],[Team]]="","",_xlfn.MAXIFS(Games[Week],Games[Team],Games[[#This Row],[Opponent]],Games[Season],Games[[#This Row],[Season]],Games[Week],"&lt;"&amp;Games[[#This Row],[Week]]))</f>
        <v>11</v>
      </c>
      <c r="V31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1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1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1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1593.696749986957</v>
      </c>
      <c r="Z31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1642.1898600225759</v>
      </c>
      <c r="AA31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0.53377760913915284</v>
      </c>
      <c r="AB313">
        <f>IF(Games[[#This Row],[Team]]="","",Games[[#This Row],[PointsFor]]-Games[[#This Row],[PointsAgainst]])</f>
        <v>-26</v>
      </c>
      <c r="AC313">
        <f>IF(Games[[#This Row],[Team]]="","",IF(Games[[#This Row],[MOV]]&gt;0,1,IF(Games[[#This Row],[MOV]]=0,0.5,0)))</f>
        <v>0</v>
      </c>
      <c r="AD313">
        <f>IF(Games[[#This Row],[Team]]="","",--(OR(AND(Games[[#This Row],[ExpectedWin]]&gt;=0.5,Games[[#This Row],[Result]]=1),AND(Games[[#This Row],[ExpectedWin]]&lt;0.5,Games[[#This Row],[Result]]=0))))</f>
        <v>0</v>
      </c>
      <c r="AE313">
        <f>IF(Games[[#This Row],[Team]]="","",-(Games[[#This Row],[Result]]*LN(Games[[#This Row],[ExpectedWin]])+(1-Games[[#This Row],[Result]])*LN(1-Games[[#This Row],[ExpectedWin]])))</f>
        <v>0.76309252508926351</v>
      </c>
      <c r="AF313">
        <f>IF(Games[[#This Row],[Team]]="","",IF(Games[[#This Row],[Season]]&gt;=2021,17,16))</f>
        <v>16</v>
      </c>
      <c r="AG313">
        <f>IF(Games[[#This Row],[Team]]="","",KMax-(KMax-KFloor)*MIN(Games[[#This Row],[GamesPlayed]],Games[[#This Row],[SeasonLen]])/Games[[#This Row],[SeasonLen]])</f>
        <v>39.262500000000003</v>
      </c>
      <c r="AH313">
        <f>IF(Games[[#This Row],[Team]]="","",((ABS(Games[[#This Row],[MOV]])+3)^0.8)/(7.5+0.006*ABS(Games[[#This Row],[PreGmRate]]-Games[[#This Row],[OppPreGmRate]]))*IF(Games[[#This Row],[OT]]=1,0.7,1))</f>
        <v>1.8981367530967028</v>
      </c>
      <c r="AI31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3">
        <f>IF(Games[[#This Row],[Team]]="","",Games[[#This Row],[K]]*IF(Games[[#This Row],[DivG]]=1,DivMult,1)*IF(Games[[#This Row],[ConfG]]=1,ConfMult,1)*Games[[#This Row],[POMult]])</f>
        <v>40.047750000000001</v>
      </c>
      <c r="AK313">
        <f>IF(Games[[#This Row],[Team]]="","",(Games[[#This Row],[Keff]]*Games[[#This Row],[MOVMult]])*(Games[[#This Row],[Result]]-Games[[#This Row],[ExpectedWin]]))</f>
        <v>-40.575695398858613</v>
      </c>
      <c r="AL313">
        <f>IF(Games[[#This Row],[Team]]="","",Games[[#This Row],[PreGmRate]]+Games[[#This Row],[RatingChange]])</f>
        <v>1553.1210545880983</v>
      </c>
      <c r="AM313">
        <f>IF(Games[[#This Row],[Team]]="","",IF(Games[[#This Row],[Type]]="R",IF(Games[[#This Row],[Result]]&gt;0.5,1,0),0))</f>
        <v>0</v>
      </c>
      <c r="AN313">
        <f>IF(Games[[#This Row],[Team]]="","",IF(Games[[#This Row],[Type]]="R",IF(Games[[#This Row],[Result]]&lt;0.5,1,0),0))</f>
        <v>1</v>
      </c>
      <c r="AO313">
        <f>IF(Games[[#This Row],[Team]]="","",IF(Games[[#This Row],[Type]]="R",IF(Games[[#This Row],[Result]]=0.5,1,0),0))</f>
        <v>0</v>
      </c>
    </row>
    <row r="314" spans="1:41" x14ac:dyDescent="0.35">
      <c r="A314" s="8">
        <v>35386</v>
      </c>
      <c r="B314">
        <v>1996</v>
      </c>
      <c r="C314" t="s">
        <v>197</v>
      </c>
      <c r="D314" t="s">
        <v>199</v>
      </c>
      <c r="E314" t="s">
        <v>118</v>
      </c>
      <c r="F314" t="s">
        <v>146</v>
      </c>
      <c r="G314" t="s">
        <v>200</v>
      </c>
      <c r="H314">
        <v>17</v>
      </c>
      <c r="I314">
        <v>16</v>
      </c>
      <c r="J314">
        <v>0</v>
      </c>
      <c r="K31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1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1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1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14">
        <f>IF(Games[[#This Row],[Team]]="","",IF(Games[[#This Row],[Conf]]=Games[[#This Row],[OppConf]],1,0))</f>
        <v>0</v>
      </c>
      <c r="P314">
        <f>IF(Games[[#This Row],[Team]]="","",IF(AND(Games[[#This Row],[Conf]]=Games[[#This Row],[OppConf]],Games[[#This Row],[Div]]=Games[[#This Row],[OppDiv]]),1,0))</f>
        <v>0</v>
      </c>
      <c r="Q314">
        <f>IF(Games[[#This Row],[Team]]="","",_xlfn.MINIFS(Games[Date],Games[Season],Games[[#This Row],[Season]]))</f>
        <v>35309</v>
      </c>
      <c r="R314">
        <f>IF(Games[[#This Row],[Team]]="","",INT((Games[[#This Row],[Date]]-(Games[[#This Row],[SeasonStart]]-MOD(WEEKDAY(Games[[#This Row],[SeasonStart]],2)-2,7)))/7)+1)</f>
        <v>12</v>
      </c>
      <c r="S314">
        <f>IF(Games[[#This Row],[Team]]="","",COUNTIFS(Games[Team],Games[[#This Row],[Team]],Games[Season],Games[[#This Row],[Season]],Games[Week],"&lt;="&amp;Games[[#This Row],[Week]]))</f>
        <v>11</v>
      </c>
      <c r="T314">
        <f>IF(Games[[#This Row],[Team]]="","",_xlfn.MAXIFS(Games[Week],Games[Team],Games[[#This Row],[Team]],Games[Season],Games[[#This Row],[Season]],Games[Week],"&lt;"&amp;Games[[#This Row],[Week]]))</f>
        <v>11</v>
      </c>
      <c r="U314">
        <f>IF(Games[[#This Row],[Team]]="","",_xlfn.MAXIFS(Games[Week],Games[Team],Games[[#This Row],[Opponent]],Games[Season],Games[[#This Row],[Season]],Games[Week],"&lt;"&amp;Games[[#This Row],[Week]]))</f>
        <v>11</v>
      </c>
      <c r="V31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31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1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31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1455.7508461675077</v>
      </c>
      <c r="Z31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1490.6971328313289</v>
      </c>
      <c r="AA31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0.54457125959023034</v>
      </c>
      <c r="AB314">
        <f>IF(Games[[#This Row],[Team]]="","",Games[[#This Row],[PointsFor]]-Games[[#This Row],[PointsAgainst]])</f>
        <v>1</v>
      </c>
      <c r="AC314">
        <f>IF(Games[[#This Row],[Team]]="","",IF(Games[[#This Row],[MOV]]&gt;0,1,IF(Games[[#This Row],[MOV]]=0,0.5,0)))</f>
        <v>1</v>
      </c>
      <c r="AD314">
        <f>IF(Games[[#This Row],[Team]]="","",--(OR(AND(Games[[#This Row],[ExpectedWin]]&gt;=0.5,Games[[#This Row],[Result]]=1),AND(Games[[#This Row],[ExpectedWin]]&lt;0.5,Games[[#This Row],[Result]]=0))))</f>
        <v>1</v>
      </c>
      <c r="AE314">
        <f>IF(Games[[#This Row],[Team]]="","",-(Games[[#This Row],[Result]]*LN(Games[[#This Row],[ExpectedWin]])+(1-Games[[#This Row],[Result]])*LN(1-Games[[#This Row],[ExpectedWin]])))</f>
        <v>0.60775647356466167</v>
      </c>
      <c r="AF314">
        <f>IF(Games[[#This Row],[Team]]="","",IF(Games[[#This Row],[Season]]&gt;=2021,17,16))</f>
        <v>16</v>
      </c>
      <c r="AG314">
        <f>IF(Games[[#This Row],[Team]]="","",KMax-(KMax-KFloor)*MIN(Games[[#This Row],[GamesPlayed]],Games[[#This Row],[SeasonLen]])/Games[[#This Row],[SeasonLen]])</f>
        <v>39.262500000000003</v>
      </c>
      <c r="AH314">
        <f>IF(Games[[#This Row],[Team]]="","",((ABS(Games[[#This Row],[MOV]])+3)^0.8)/(7.5+0.006*ABS(Games[[#This Row],[PreGmRate]]-Games[[#This Row],[OppPreGmRate]]))*IF(Games[[#This Row],[OT]]=1,0.7,1))</f>
        <v>0.39319842451566306</v>
      </c>
      <c r="AI31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4">
        <f>IF(Games[[#This Row],[Team]]="","",Games[[#This Row],[K]]*IF(Games[[#This Row],[DivG]]=1,DivMult,1)*IF(Games[[#This Row],[ConfG]]=1,ConfMult,1)*Games[[#This Row],[POMult]])</f>
        <v>39.262500000000003</v>
      </c>
      <c r="AK314">
        <f>IF(Games[[#This Row],[Team]]="","",(Games[[#This Row],[Keff]]*Games[[#This Row],[MOVMult]])*(Games[[#This Row],[Result]]-Games[[#This Row],[ExpectedWin]]))</f>
        <v>7.0308875542148712</v>
      </c>
      <c r="AL314">
        <f>IF(Games[[#This Row],[Team]]="","",Games[[#This Row],[PreGmRate]]+Games[[#This Row],[RatingChange]])</f>
        <v>1462.7817337217225</v>
      </c>
      <c r="AM314">
        <f>IF(Games[[#This Row],[Team]]="","",IF(Games[[#This Row],[Type]]="R",IF(Games[[#This Row],[Result]]&gt;0.5,1,0),0))</f>
        <v>1</v>
      </c>
      <c r="AN314">
        <f>IF(Games[[#This Row],[Team]]="","",IF(Games[[#This Row],[Type]]="R",IF(Games[[#This Row],[Result]]&lt;0.5,1,0),0))</f>
        <v>0</v>
      </c>
      <c r="AO314">
        <f>IF(Games[[#This Row],[Team]]="","",IF(Games[[#This Row],[Type]]="R",IF(Games[[#This Row],[Result]]=0.5,1,0),0))</f>
        <v>0</v>
      </c>
    </row>
    <row r="315" spans="1:41" x14ac:dyDescent="0.35">
      <c r="A315" s="8">
        <v>35386</v>
      </c>
      <c r="B315">
        <v>1996</v>
      </c>
      <c r="C315" t="s">
        <v>197</v>
      </c>
      <c r="D315" t="s">
        <v>199</v>
      </c>
      <c r="E315" t="s">
        <v>146</v>
      </c>
      <c r="F315" t="s">
        <v>118</v>
      </c>
      <c r="G315" t="s">
        <v>201</v>
      </c>
      <c r="H315">
        <v>16</v>
      </c>
      <c r="I315">
        <v>17</v>
      </c>
      <c r="J315">
        <v>0</v>
      </c>
      <c r="K31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1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1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1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15">
        <f>IF(Games[[#This Row],[Team]]="","",IF(Games[[#This Row],[Conf]]=Games[[#This Row],[OppConf]],1,0))</f>
        <v>0</v>
      </c>
      <c r="P315">
        <f>IF(Games[[#This Row],[Team]]="","",IF(AND(Games[[#This Row],[Conf]]=Games[[#This Row],[OppConf]],Games[[#This Row],[Div]]=Games[[#This Row],[OppDiv]]),1,0))</f>
        <v>0</v>
      </c>
      <c r="Q315">
        <f>IF(Games[[#This Row],[Team]]="","",_xlfn.MINIFS(Games[Date],Games[Season],Games[[#This Row],[Season]]))</f>
        <v>35309</v>
      </c>
      <c r="R315">
        <f>IF(Games[[#This Row],[Team]]="","",INT((Games[[#This Row],[Date]]-(Games[[#This Row],[SeasonStart]]-MOD(WEEKDAY(Games[[#This Row],[SeasonStart]],2)-2,7)))/7)+1)</f>
        <v>12</v>
      </c>
      <c r="S315">
        <f>IF(Games[[#This Row],[Team]]="","",COUNTIFS(Games[Team],Games[[#This Row],[Team]],Games[Season],Games[[#This Row],[Season]],Games[Week],"&lt;="&amp;Games[[#This Row],[Week]]))</f>
        <v>11</v>
      </c>
      <c r="T315">
        <f>IF(Games[[#This Row],[Team]]="","",_xlfn.MAXIFS(Games[Week],Games[Team],Games[[#This Row],[Team]],Games[Season],Games[[#This Row],[Season]],Games[Week],"&lt;"&amp;Games[[#This Row],[Week]]))</f>
        <v>11</v>
      </c>
      <c r="U315">
        <f>IF(Games[[#This Row],[Team]]="","",_xlfn.MAXIFS(Games[Week],Games[Team],Games[[#This Row],[Opponent]],Games[Season],Games[[#This Row],[Season]],Games[Week],"&lt;"&amp;Games[[#This Row],[Week]]))</f>
        <v>11</v>
      </c>
      <c r="V31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1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31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31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1490.6971328313289</v>
      </c>
      <c r="Z31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1455.7508461675077</v>
      </c>
      <c r="AA31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0.45542874040976961</v>
      </c>
      <c r="AB315">
        <f>IF(Games[[#This Row],[Team]]="","",Games[[#This Row],[PointsFor]]-Games[[#This Row],[PointsAgainst]])</f>
        <v>-1</v>
      </c>
      <c r="AC315">
        <f>IF(Games[[#This Row],[Team]]="","",IF(Games[[#This Row],[MOV]]&gt;0,1,IF(Games[[#This Row],[MOV]]=0,0.5,0)))</f>
        <v>0</v>
      </c>
      <c r="AD315">
        <f>IF(Games[[#This Row],[Team]]="","",--(OR(AND(Games[[#This Row],[ExpectedWin]]&gt;=0.5,Games[[#This Row],[Result]]=1),AND(Games[[#This Row],[ExpectedWin]]&lt;0.5,Games[[#This Row],[Result]]=0))))</f>
        <v>1</v>
      </c>
      <c r="AE315">
        <f>IF(Games[[#This Row],[Team]]="","",-(Games[[#This Row],[Result]]*LN(Games[[#This Row],[ExpectedWin]])+(1-Games[[#This Row],[Result]])*LN(1-Games[[#This Row],[ExpectedWin]])))</f>
        <v>0.60775647356466167</v>
      </c>
      <c r="AF315">
        <f>IF(Games[[#This Row],[Team]]="","",IF(Games[[#This Row],[Season]]&gt;=2021,17,16))</f>
        <v>16</v>
      </c>
      <c r="AG315">
        <f>IF(Games[[#This Row],[Team]]="","",KMax-(KMax-KFloor)*MIN(Games[[#This Row],[GamesPlayed]],Games[[#This Row],[SeasonLen]])/Games[[#This Row],[SeasonLen]])</f>
        <v>39.262500000000003</v>
      </c>
      <c r="AH315">
        <f>IF(Games[[#This Row],[Team]]="","",((ABS(Games[[#This Row],[MOV]])+3)^0.8)/(7.5+0.006*ABS(Games[[#This Row],[PreGmRate]]-Games[[#This Row],[OppPreGmRate]]))*IF(Games[[#This Row],[OT]]=1,0.7,1))</f>
        <v>0.39319842451566306</v>
      </c>
      <c r="AI31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5">
        <f>IF(Games[[#This Row],[Team]]="","",Games[[#This Row],[K]]*IF(Games[[#This Row],[DivG]]=1,DivMult,1)*IF(Games[[#This Row],[ConfG]]=1,ConfMult,1)*Games[[#This Row],[POMult]])</f>
        <v>39.262500000000003</v>
      </c>
      <c r="AK315">
        <f>IF(Games[[#This Row],[Team]]="","",(Games[[#This Row],[Keff]]*Games[[#This Row],[MOVMult]])*(Games[[#This Row],[Result]]-Games[[#This Row],[ExpectedWin]]))</f>
        <v>-7.0308875542148703</v>
      </c>
      <c r="AL315">
        <f>IF(Games[[#This Row],[Team]]="","",Games[[#This Row],[PreGmRate]]+Games[[#This Row],[RatingChange]])</f>
        <v>1483.6662452771141</v>
      </c>
      <c r="AM315">
        <f>IF(Games[[#This Row],[Team]]="","",IF(Games[[#This Row],[Type]]="R",IF(Games[[#This Row],[Result]]&gt;0.5,1,0),0))</f>
        <v>0</v>
      </c>
      <c r="AN315">
        <f>IF(Games[[#This Row],[Team]]="","",IF(Games[[#This Row],[Type]]="R",IF(Games[[#This Row],[Result]]&lt;0.5,1,0),0))</f>
        <v>1</v>
      </c>
      <c r="AO315">
        <f>IF(Games[[#This Row],[Team]]="","",IF(Games[[#This Row],[Type]]="R",IF(Games[[#This Row],[Result]]=0.5,1,0),0))</f>
        <v>0</v>
      </c>
    </row>
    <row r="316" spans="1:41" x14ac:dyDescent="0.35">
      <c r="A316" s="8">
        <v>35386</v>
      </c>
      <c r="B316">
        <v>1996</v>
      </c>
      <c r="C316" t="s">
        <v>197</v>
      </c>
      <c r="D316" t="s">
        <v>199</v>
      </c>
      <c r="E316" t="s">
        <v>143</v>
      </c>
      <c r="F316" t="s">
        <v>124</v>
      </c>
      <c r="G316" t="s">
        <v>200</v>
      </c>
      <c r="H316">
        <v>28</v>
      </c>
      <c r="I316">
        <v>3</v>
      </c>
      <c r="J316">
        <v>0</v>
      </c>
      <c r="K31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1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1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1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16">
        <f>IF(Games[[#This Row],[Team]]="","",IF(Games[[#This Row],[Conf]]=Games[[#This Row],[OppConf]],1,0))</f>
        <v>1</v>
      </c>
      <c r="P316">
        <f>IF(Games[[#This Row],[Team]]="","",IF(AND(Games[[#This Row],[Conf]]=Games[[#This Row],[OppConf]],Games[[#This Row],[Div]]=Games[[#This Row],[OppDiv]]),1,0))</f>
        <v>1</v>
      </c>
      <c r="Q316">
        <f>IF(Games[[#This Row],[Team]]="","",_xlfn.MINIFS(Games[Date],Games[Season],Games[[#This Row],[Season]]))</f>
        <v>35309</v>
      </c>
      <c r="R316">
        <f>IF(Games[[#This Row],[Team]]="","",INT((Games[[#This Row],[Date]]-(Games[[#This Row],[SeasonStart]]-MOD(WEEKDAY(Games[[#This Row],[SeasonStart]],2)-2,7)))/7)+1)</f>
        <v>12</v>
      </c>
      <c r="S316">
        <f>IF(Games[[#This Row],[Team]]="","",COUNTIFS(Games[Team],Games[[#This Row],[Team]],Games[Season],Games[[#This Row],[Season]],Games[Week],"&lt;="&amp;Games[[#This Row],[Week]]))</f>
        <v>11</v>
      </c>
      <c r="T316">
        <f>IF(Games[[#This Row],[Team]]="","",_xlfn.MAXIFS(Games[Week],Games[Team],Games[[#This Row],[Team]],Games[Season],Games[[#This Row],[Season]],Games[Week],"&lt;"&amp;Games[[#This Row],[Week]]))</f>
        <v>11</v>
      </c>
      <c r="U316">
        <f>IF(Games[[#This Row],[Team]]="","",_xlfn.MAXIFS(Games[Week],Games[Team],Games[[#This Row],[Opponent]],Games[Season],Games[[#This Row],[Season]],Games[Week],"&lt;"&amp;Games[[#This Row],[Week]]))</f>
        <v>11</v>
      </c>
      <c r="V31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1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1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1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1572.1918312737203</v>
      </c>
      <c r="Z31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1464.3504030689064</v>
      </c>
      <c r="AA31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0.73793254377961781</v>
      </c>
      <c r="AB316">
        <f>IF(Games[[#This Row],[Team]]="","",Games[[#This Row],[PointsFor]]-Games[[#This Row],[PointsAgainst]])</f>
        <v>25</v>
      </c>
      <c r="AC316">
        <f>IF(Games[[#This Row],[Team]]="","",IF(Games[[#This Row],[MOV]]&gt;0,1,IF(Games[[#This Row],[MOV]]=0,0.5,0)))</f>
        <v>1</v>
      </c>
      <c r="AD316">
        <f>IF(Games[[#This Row],[Team]]="","",--(OR(AND(Games[[#This Row],[ExpectedWin]]&gt;=0.5,Games[[#This Row],[Result]]=1),AND(Games[[#This Row],[ExpectedWin]]&lt;0.5,Games[[#This Row],[Result]]=0))))</f>
        <v>1</v>
      </c>
      <c r="AE316">
        <f>IF(Games[[#This Row],[Team]]="","",-(Games[[#This Row],[Result]]*LN(Games[[#This Row],[ExpectedWin]])+(1-Games[[#This Row],[Result]])*LN(1-Games[[#This Row],[ExpectedWin]])))</f>
        <v>0.303902862651932</v>
      </c>
      <c r="AF316">
        <f>IF(Games[[#This Row],[Team]]="","",IF(Games[[#This Row],[Season]]&gt;=2021,17,16))</f>
        <v>16</v>
      </c>
      <c r="AG316">
        <f>IF(Games[[#This Row],[Team]]="","",KMax-(KMax-KFloor)*MIN(Games[[#This Row],[GamesPlayed]],Games[[#This Row],[SeasonLen]])/Games[[#This Row],[SeasonLen]])</f>
        <v>39.262500000000003</v>
      </c>
      <c r="AH316">
        <f>IF(Games[[#This Row],[Team]]="","",((ABS(Games[[#This Row],[MOV]])+3)^0.8)/(7.5+0.006*ABS(Games[[#This Row],[PreGmRate]]-Games[[#This Row],[OppPreGmRate]]))*IF(Games[[#This Row],[OT]]=1,0.7,1))</f>
        <v>1.7649244505009607</v>
      </c>
      <c r="AI31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6">
        <f>IF(Games[[#This Row],[Team]]="","",Games[[#This Row],[K]]*IF(Games[[#This Row],[DivG]]=1,DivMult,1)*IF(Games[[#This Row],[ConfG]]=1,ConfMult,1)*Games[[#This Row],[POMult]])</f>
        <v>44.05252500000001</v>
      </c>
      <c r="AK316">
        <f>IF(Games[[#This Row],[Team]]="","",(Games[[#This Row],[Keff]]*Games[[#This Row],[MOVMult]])*(Games[[#This Row],[Result]]-Games[[#This Row],[ExpectedWin]]))</f>
        <v>20.375581840656118</v>
      </c>
      <c r="AL316">
        <f>IF(Games[[#This Row],[Team]]="","",Games[[#This Row],[PreGmRate]]+Games[[#This Row],[RatingChange]])</f>
        <v>1592.5674131143764</v>
      </c>
      <c r="AM316">
        <f>IF(Games[[#This Row],[Team]]="","",IF(Games[[#This Row],[Type]]="R",IF(Games[[#This Row],[Result]]&gt;0.5,1,0),0))</f>
        <v>1</v>
      </c>
      <c r="AN316">
        <f>IF(Games[[#This Row],[Team]]="","",IF(Games[[#This Row],[Type]]="R",IF(Games[[#This Row],[Result]]&lt;0.5,1,0),0))</f>
        <v>0</v>
      </c>
      <c r="AO316">
        <f>IF(Games[[#This Row],[Team]]="","",IF(Games[[#This Row],[Type]]="R",IF(Games[[#This Row],[Result]]=0.5,1,0),0))</f>
        <v>0</v>
      </c>
    </row>
    <row r="317" spans="1:41" x14ac:dyDescent="0.35">
      <c r="A317" s="8">
        <v>35386</v>
      </c>
      <c r="B317">
        <v>1996</v>
      </c>
      <c r="C317" t="s">
        <v>197</v>
      </c>
      <c r="D317" t="s">
        <v>199</v>
      </c>
      <c r="E317" t="s">
        <v>124</v>
      </c>
      <c r="F317" t="s">
        <v>143</v>
      </c>
      <c r="G317" t="s">
        <v>201</v>
      </c>
      <c r="H317">
        <v>3</v>
      </c>
      <c r="I317">
        <v>28</v>
      </c>
      <c r="J317">
        <v>0</v>
      </c>
      <c r="K31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1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1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1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17">
        <f>IF(Games[[#This Row],[Team]]="","",IF(Games[[#This Row],[Conf]]=Games[[#This Row],[OppConf]],1,0))</f>
        <v>1</v>
      </c>
      <c r="P317">
        <f>IF(Games[[#This Row],[Team]]="","",IF(AND(Games[[#This Row],[Conf]]=Games[[#This Row],[OppConf]],Games[[#This Row],[Div]]=Games[[#This Row],[OppDiv]]),1,0))</f>
        <v>1</v>
      </c>
      <c r="Q317">
        <f>IF(Games[[#This Row],[Team]]="","",_xlfn.MINIFS(Games[Date],Games[Season],Games[[#This Row],[Season]]))</f>
        <v>35309</v>
      </c>
      <c r="R317">
        <f>IF(Games[[#This Row],[Team]]="","",INT((Games[[#This Row],[Date]]-(Games[[#This Row],[SeasonStart]]-MOD(WEEKDAY(Games[[#This Row],[SeasonStart]],2)-2,7)))/7)+1)</f>
        <v>12</v>
      </c>
      <c r="S317">
        <f>IF(Games[[#This Row],[Team]]="","",COUNTIFS(Games[Team],Games[[#This Row],[Team]],Games[Season],Games[[#This Row],[Season]],Games[Week],"&lt;="&amp;Games[[#This Row],[Week]]))</f>
        <v>11</v>
      </c>
      <c r="T317">
        <f>IF(Games[[#This Row],[Team]]="","",_xlfn.MAXIFS(Games[Week],Games[Team],Games[[#This Row],[Team]],Games[Season],Games[[#This Row],[Season]],Games[Week],"&lt;"&amp;Games[[#This Row],[Week]]))</f>
        <v>11</v>
      </c>
      <c r="U317">
        <f>IF(Games[[#This Row],[Team]]="","",_xlfn.MAXIFS(Games[Week],Games[Team],Games[[#This Row],[Opponent]],Games[Season],Games[[#This Row],[Season]],Games[Week],"&lt;"&amp;Games[[#This Row],[Week]]))</f>
        <v>11</v>
      </c>
      <c r="V31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1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1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1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1464.3504030689064</v>
      </c>
      <c r="Z31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1572.1918312737203</v>
      </c>
      <c r="AA31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0.26206745622038224</v>
      </c>
      <c r="AB317">
        <f>IF(Games[[#This Row],[Team]]="","",Games[[#This Row],[PointsFor]]-Games[[#This Row],[PointsAgainst]])</f>
        <v>-25</v>
      </c>
      <c r="AC317">
        <f>IF(Games[[#This Row],[Team]]="","",IF(Games[[#This Row],[MOV]]&gt;0,1,IF(Games[[#This Row],[MOV]]=0,0.5,0)))</f>
        <v>0</v>
      </c>
      <c r="AD317">
        <f>IF(Games[[#This Row],[Team]]="","",--(OR(AND(Games[[#This Row],[ExpectedWin]]&gt;=0.5,Games[[#This Row],[Result]]=1),AND(Games[[#This Row],[ExpectedWin]]&lt;0.5,Games[[#This Row],[Result]]=0))))</f>
        <v>1</v>
      </c>
      <c r="AE317">
        <f>IF(Games[[#This Row],[Team]]="","",-(Games[[#This Row],[Result]]*LN(Games[[#This Row],[ExpectedWin]])+(1-Games[[#This Row],[Result]])*LN(1-Games[[#This Row],[ExpectedWin]])))</f>
        <v>0.303902862651932</v>
      </c>
      <c r="AF317">
        <f>IF(Games[[#This Row],[Team]]="","",IF(Games[[#This Row],[Season]]&gt;=2021,17,16))</f>
        <v>16</v>
      </c>
      <c r="AG317">
        <f>IF(Games[[#This Row],[Team]]="","",KMax-(KMax-KFloor)*MIN(Games[[#This Row],[GamesPlayed]],Games[[#This Row],[SeasonLen]])/Games[[#This Row],[SeasonLen]])</f>
        <v>39.262500000000003</v>
      </c>
      <c r="AH317">
        <f>IF(Games[[#This Row],[Team]]="","",((ABS(Games[[#This Row],[MOV]])+3)^0.8)/(7.5+0.006*ABS(Games[[#This Row],[PreGmRate]]-Games[[#This Row],[OppPreGmRate]]))*IF(Games[[#This Row],[OT]]=1,0.7,1))</f>
        <v>1.7649244505009607</v>
      </c>
      <c r="AI31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7">
        <f>IF(Games[[#This Row],[Team]]="","",Games[[#This Row],[K]]*IF(Games[[#This Row],[DivG]]=1,DivMult,1)*IF(Games[[#This Row],[ConfG]]=1,ConfMult,1)*Games[[#This Row],[POMult]])</f>
        <v>44.05252500000001</v>
      </c>
      <c r="AK317">
        <f>IF(Games[[#This Row],[Team]]="","",(Games[[#This Row],[Keff]]*Games[[#This Row],[MOVMult]])*(Games[[#This Row],[Result]]-Games[[#This Row],[ExpectedWin]]))</f>
        <v>-20.375581840656121</v>
      </c>
      <c r="AL317">
        <f>IF(Games[[#This Row],[Team]]="","",Games[[#This Row],[PreGmRate]]+Games[[#This Row],[RatingChange]])</f>
        <v>1443.9748212282502</v>
      </c>
      <c r="AM317">
        <f>IF(Games[[#This Row],[Team]]="","",IF(Games[[#This Row],[Type]]="R",IF(Games[[#This Row],[Result]]&gt;0.5,1,0),0))</f>
        <v>0</v>
      </c>
      <c r="AN317">
        <f>IF(Games[[#This Row],[Team]]="","",IF(Games[[#This Row],[Type]]="R",IF(Games[[#This Row],[Result]]&lt;0.5,1,0),0))</f>
        <v>1</v>
      </c>
      <c r="AO317">
        <f>IF(Games[[#This Row],[Team]]="","",IF(Games[[#This Row],[Type]]="R",IF(Games[[#This Row],[Result]]=0.5,1,0),0))</f>
        <v>0</v>
      </c>
    </row>
    <row r="318" spans="1:41" x14ac:dyDescent="0.35">
      <c r="A318" s="8">
        <v>35386</v>
      </c>
      <c r="B318">
        <v>1996</v>
      </c>
      <c r="C318" t="s">
        <v>197</v>
      </c>
      <c r="D318" t="s">
        <v>199</v>
      </c>
      <c r="E318" t="s">
        <v>154</v>
      </c>
      <c r="F318" t="s">
        <v>141</v>
      </c>
      <c r="G318" t="s">
        <v>201</v>
      </c>
      <c r="H318">
        <v>26</v>
      </c>
      <c r="I318">
        <v>21</v>
      </c>
      <c r="J318">
        <v>0</v>
      </c>
      <c r="K31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1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1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1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18">
        <f>IF(Games[[#This Row],[Team]]="","",IF(Games[[#This Row],[Conf]]=Games[[#This Row],[OppConf]],1,0))</f>
        <v>1</v>
      </c>
      <c r="P318">
        <f>IF(Games[[#This Row],[Team]]="","",IF(AND(Games[[#This Row],[Conf]]=Games[[#This Row],[OppConf]],Games[[#This Row],[Div]]=Games[[#This Row],[OppDiv]]),1,0))</f>
        <v>1</v>
      </c>
      <c r="Q318">
        <f>IF(Games[[#This Row],[Team]]="","",_xlfn.MINIFS(Games[Date],Games[Season],Games[[#This Row],[Season]]))</f>
        <v>35309</v>
      </c>
      <c r="R318">
        <f>IF(Games[[#This Row],[Team]]="","",INT((Games[[#This Row],[Date]]-(Games[[#This Row],[SeasonStart]]-MOD(WEEKDAY(Games[[#This Row],[SeasonStart]],2)-2,7)))/7)+1)</f>
        <v>12</v>
      </c>
      <c r="S318">
        <f>IF(Games[[#This Row],[Team]]="","",COUNTIFS(Games[Team],Games[[#This Row],[Team]],Games[Season],Games[[#This Row],[Season]],Games[Week],"&lt;="&amp;Games[[#This Row],[Week]]))</f>
        <v>11</v>
      </c>
      <c r="T318">
        <f>IF(Games[[#This Row],[Team]]="","",_xlfn.MAXIFS(Games[Week],Games[Team],Games[[#This Row],[Team]],Games[Season],Games[[#This Row],[Season]],Games[Week],"&lt;"&amp;Games[[#This Row],[Week]]))</f>
        <v>11</v>
      </c>
      <c r="U318">
        <f>IF(Games[[#This Row],[Team]]="","",_xlfn.MAXIFS(Games[Week],Games[Team],Games[[#This Row],[Opponent]],Games[Season],Games[[#This Row],[Season]],Games[Week],"&lt;"&amp;Games[[#This Row],[Week]]))</f>
        <v>11</v>
      </c>
      <c r="V31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1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1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1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1557.4310365409083</v>
      </c>
      <c r="Z31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1580.5633491317299</v>
      </c>
      <c r="AA31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0.36641546037907391</v>
      </c>
      <c r="AB318">
        <f>IF(Games[[#This Row],[Team]]="","",Games[[#This Row],[PointsFor]]-Games[[#This Row],[PointsAgainst]])</f>
        <v>5</v>
      </c>
      <c r="AC318">
        <f>IF(Games[[#This Row],[Team]]="","",IF(Games[[#This Row],[MOV]]&gt;0,1,IF(Games[[#This Row],[MOV]]=0,0.5,0)))</f>
        <v>1</v>
      </c>
      <c r="AD318">
        <f>IF(Games[[#This Row],[Team]]="","",--(OR(AND(Games[[#This Row],[ExpectedWin]]&gt;=0.5,Games[[#This Row],[Result]]=1),AND(Games[[#This Row],[ExpectedWin]]&lt;0.5,Games[[#This Row],[Result]]=0))))</f>
        <v>0</v>
      </c>
      <c r="AE318">
        <f>IF(Games[[#This Row],[Team]]="","",-(Games[[#This Row],[Result]]*LN(Games[[#This Row],[ExpectedWin]])+(1-Games[[#This Row],[Result]])*LN(1-Games[[#This Row],[ExpectedWin]])))</f>
        <v>1.0039874517146266</v>
      </c>
      <c r="AF318">
        <f>IF(Games[[#This Row],[Team]]="","",IF(Games[[#This Row],[Season]]&gt;=2021,17,16))</f>
        <v>16</v>
      </c>
      <c r="AG318">
        <f>IF(Games[[#This Row],[Team]]="","",KMax-(KMax-KFloor)*MIN(Games[[#This Row],[GamesPlayed]],Games[[#This Row],[SeasonLen]])/Games[[#This Row],[SeasonLen]])</f>
        <v>39.262500000000003</v>
      </c>
      <c r="AH318">
        <f>IF(Games[[#This Row],[Team]]="","",((ABS(Games[[#This Row],[MOV]])+3)^0.8)/(7.5+0.006*ABS(Games[[#This Row],[PreGmRate]]-Games[[#This Row],[OppPreGmRate]]))*IF(Games[[#This Row],[OT]]=1,0.7,1))</f>
        <v>0.69095091831039324</v>
      </c>
      <c r="AI31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8">
        <f>IF(Games[[#This Row],[Team]]="","",Games[[#This Row],[K]]*IF(Games[[#This Row],[DivG]]=1,DivMult,1)*IF(Games[[#This Row],[ConfG]]=1,ConfMult,1)*Games[[#This Row],[POMult]])</f>
        <v>44.05252500000001</v>
      </c>
      <c r="AK318">
        <f>IF(Games[[#This Row],[Team]]="","",(Games[[#This Row],[Keff]]*Games[[#This Row],[MOVMult]])*(Games[[#This Row],[Result]]-Games[[#This Row],[ExpectedWin]]))</f>
        <v>19.285130231965354</v>
      </c>
      <c r="AL318">
        <f>IF(Games[[#This Row],[Team]]="","",Games[[#This Row],[PreGmRate]]+Games[[#This Row],[RatingChange]])</f>
        <v>1576.7161667728737</v>
      </c>
      <c r="AM318">
        <f>IF(Games[[#This Row],[Team]]="","",IF(Games[[#This Row],[Type]]="R",IF(Games[[#This Row],[Result]]&gt;0.5,1,0),0))</f>
        <v>1</v>
      </c>
      <c r="AN318">
        <f>IF(Games[[#This Row],[Team]]="","",IF(Games[[#This Row],[Type]]="R",IF(Games[[#This Row],[Result]]&lt;0.5,1,0),0))</f>
        <v>0</v>
      </c>
      <c r="AO318">
        <f>IF(Games[[#This Row],[Team]]="","",IF(Games[[#This Row],[Type]]="R",IF(Games[[#This Row],[Result]]=0.5,1,0),0))</f>
        <v>0</v>
      </c>
    </row>
    <row r="319" spans="1:41" x14ac:dyDescent="0.35">
      <c r="A319" s="8">
        <v>35386</v>
      </c>
      <c r="B319">
        <v>1996</v>
      </c>
      <c r="C319" t="s">
        <v>197</v>
      </c>
      <c r="D319" t="s">
        <v>199</v>
      </c>
      <c r="E319" t="s">
        <v>141</v>
      </c>
      <c r="F319" t="s">
        <v>154</v>
      </c>
      <c r="G319" t="s">
        <v>200</v>
      </c>
      <c r="H319">
        <v>21</v>
      </c>
      <c r="I319">
        <v>26</v>
      </c>
      <c r="J319">
        <v>0</v>
      </c>
      <c r="K31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1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1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1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19">
        <f>IF(Games[[#This Row],[Team]]="","",IF(Games[[#This Row],[Conf]]=Games[[#This Row],[OppConf]],1,0))</f>
        <v>1</v>
      </c>
      <c r="P319">
        <f>IF(Games[[#This Row],[Team]]="","",IF(AND(Games[[#This Row],[Conf]]=Games[[#This Row],[OppConf]],Games[[#This Row],[Div]]=Games[[#This Row],[OppDiv]]),1,0))</f>
        <v>1</v>
      </c>
      <c r="Q319">
        <f>IF(Games[[#This Row],[Team]]="","",_xlfn.MINIFS(Games[Date],Games[Season],Games[[#This Row],[Season]]))</f>
        <v>35309</v>
      </c>
      <c r="R319">
        <f>IF(Games[[#This Row],[Team]]="","",INT((Games[[#This Row],[Date]]-(Games[[#This Row],[SeasonStart]]-MOD(WEEKDAY(Games[[#This Row],[SeasonStart]],2)-2,7)))/7)+1)</f>
        <v>12</v>
      </c>
      <c r="S319">
        <f>IF(Games[[#This Row],[Team]]="","",COUNTIFS(Games[Team],Games[[#This Row],[Team]],Games[Season],Games[[#This Row],[Season]],Games[Week],"&lt;="&amp;Games[[#This Row],[Week]]))</f>
        <v>11</v>
      </c>
      <c r="T319">
        <f>IF(Games[[#This Row],[Team]]="","",_xlfn.MAXIFS(Games[Week],Games[Team],Games[[#This Row],[Team]],Games[Season],Games[[#This Row],[Season]],Games[Week],"&lt;"&amp;Games[[#This Row],[Week]]))</f>
        <v>11</v>
      </c>
      <c r="U319">
        <f>IF(Games[[#This Row],[Team]]="","",_xlfn.MAXIFS(Games[Week],Games[Team],Games[[#This Row],[Opponent]],Games[Season],Games[[#This Row],[Season]],Games[Week],"&lt;"&amp;Games[[#This Row],[Week]]))</f>
        <v>11</v>
      </c>
      <c r="V31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1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1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1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1580.5633491317299</v>
      </c>
      <c r="Z31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1557.4310365409083</v>
      </c>
      <c r="AA31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0.63358453962092609</v>
      </c>
      <c r="AB319">
        <f>IF(Games[[#This Row],[Team]]="","",Games[[#This Row],[PointsFor]]-Games[[#This Row],[PointsAgainst]])</f>
        <v>-5</v>
      </c>
      <c r="AC319">
        <f>IF(Games[[#This Row],[Team]]="","",IF(Games[[#This Row],[MOV]]&gt;0,1,IF(Games[[#This Row],[MOV]]=0,0.5,0)))</f>
        <v>0</v>
      </c>
      <c r="AD319">
        <f>IF(Games[[#This Row],[Team]]="","",--(OR(AND(Games[[#This Row],[ExpectedWin]]&gt;=0.5,Games[[#This Row],[Result]]=1),AND(Games[[#This Row],[ExpectedWin]]&lt;0.5,Games[[#This Row],[Result]]=0))))</f>
        <v>0</v>
      </c>
      <c r="AE319">
        <f>IF(Games[[#This Row],[Team]]="","",-(Games[[#This Row],[Result]]*LN(Games[[#This Row],[ExpectedWin]])+(1-Games[[#This Row],[Result]])*LN(1-Games[[#This Row],[ExpectedWin]])))</f>
        <v>1.0039874517146266</v>
      </c>
      <c r="AF319">
        <f>IF(Games[[#This Row],[Team]]="","",IF(Games[[#This Row],[Season]]&gt;=2021,17,16))</f>
        <v>16</v>
      </c>
      <c r="AG319">
        <f>IF(Games[[#This Row],[Team]]="","",KMax-(KMax-KFloor)*MIN(Games[[#This Row],[GamesPlayed]],Games[[#This Row],[SeasonLen]])/Games[[#This Row],[SeasonLen]])</f>
        <v>39.262500000000003</v>
      </c>
      <c r="AH319">
        <f>IF(Games[[#This Row],[Team]]="","",((ABS(Games[[#This Row],[MOV]])+3)^0.8)/(7.5+0.006*ABS(Games[[#This Row],[PreGmRate]]-Games[[#This Row],[OppPreGmRate]]))*IF(Games[[#This Row],[OT]]=1,0.7,1))</f>
        <v>0.69095091831039324</v>
      </c>
      <c r="AI31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9">
        <f>IF(Games[[#This Row],[Team]]="","",Games[[#This Row],[K]]*IF(Games[[#This Row],[DivG]]=1,DivMult,1)*IF(Games[[#This Row],[ConfG]]=1,ConfMult,1)*Games[[#This Row],[POMult]])</f>
        <v>44.05252500000001</v>
      </c>
      <c r="AK319">
        <f>IF(Games[[#This Row],[Team]]="","",(Games[[#This Row],[Keff]]*Games[[#This Row],[MOVMult]])*(Games[[#This Row],[Result]]-Games[[#This Row],[ExpectedWin]]))</f>
        <v>-19.285130231965354</v>
      </c>
      <c r="AL319">
        <f>IF(Games[[#This Row],[Team]]="","",Games[[#This Row],[PreGmRate]]+Games[[#This Row],[RatingChange]])</f>
        <v>1561.2782188997644</v>
      </c>
      <c r="AM319">
        <f>IF(Games[[#This Row],[Team]]="","",IF(Games[[#This Row],[Type]]="R",IF(Games[[#This Row],[Result]]&gt;0.5,1,0),0))</f>
        <v>0</v>
      </c>
      <c r="AN319">
        <f>IF(Games[[#This Row],[Team]]="","",IF(Games[[#This Row],[Type]]="R",IF(Games[[#This Row],[Result]]&lt;0.5,1,0),0))</f>
        <v>1</v>
      </c>
      <c r="AO319">
        <f>IF(Games[[#This Row],[Team]]="","",IF(Games[[#This Row],[Type]]="R",IF(Games[[#This Row],[Result]]=0.5,1,0),0))</f>
        <v>0</v>
      </c>
    </row>
    <row r="320" spans="1:41" x14ac:dyDescent="0.35">
      <c r="A320" s="8">
        <v>35386</v>
      </c>
      <c r="B320">
        <v>1996</v>
      </c>
      <c r="C320" t="s">
        <v>197</v>
      </c>
      <c r="D320" t="s">
        <v>199</v>
      </c>
      <c r="E320" t="s">
        <v>93</v>
      </c>
      <c r="F320" t="s">
        <v>136</v>
      </c>
      <c r="G320" t="s">
        <v>200</v>
      </c>
      <c r="H320">
        <v>31</v>
      </c>
      <c r="I320">
        <v>23</v>
      </c>
      <c r="J320">
        <v>0</v>
      </c>
      <c r="K32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2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2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2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20">
        <f>IF(Games[[#This Row],[Team]]="","",IF(Games[[#This Row],[Conf]]=Games[[#This Row],[OppConf]],1,0))</f>
        <v>1</v>
      </c>
      <c r="P320">
        <f>IF(Games[[#This Row],[Team]]="","",IF(AND(Games[[#This Row],[Conf]]=Games[[#This Row],[OppConf]],Games[[#This Row],[Div]]=Games[[#This Row],[OppDiv]]),1,0))</f>
        <v>1</v>
      </c>
      <c r="Q320">
        <f>IF(Games[[#This Row],[Team]]="","",_xlfn.MINIFS(Games[Date],Games[Season],Games[[#This Row],[Season]]))</f>
        <v>35309</v>
      </c>
      <c r="R320">
        <f>IF(Games[[#This Row],[Team]]="","",INT((Games[[#This Row],[Date]]-(Games[[#This Row],[SeasonStart]]-MOD(WEEKDAY(Games[[#This Row],[SeasonStart]],2)-2,7)))/7)+1)</f>
        <v>12</v>
      </c>
      <c r="S320">
        <f>IF(Games[[#This Row],[Team]]="","",COUNTIFS(Games[Team],Games[[#This Row],[Team]],Games[Season],Games[[#This Row],[Season]],Games[Week],"&lt;="&amp;Games[[#This Row],[Week]]))</f>
        <v>11</v>
      </c>
      <c r="T320">
        <f>IF(Games[[#This Row],[Team]]="","",_xlfn.MAXIFS(Games[Week],Games[Team],Games[[#This Row],[Team]],Games[Season],Games[[#This Row],[Season]],Games[Week],"&lt;"&amp;Games[[#This Row],[Week]]))</f>
        <v>11</v>
      </c>
      <c r="U320">
        <f>IF(Games[[#This Row],[Team]]="","",_xlfn.MAXIFS(Games[Week],Games[Team],Games[[#This Row],[Opponent]],Games[Season],Games[[#This Row],[Season]],Games[Week],"&lt;"&amp;Games[[#This Row],[Week]]))</f>
        <v>11</v>
      </c>
      <c r="V32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2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2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2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1406.1122033798999</v>
      </c>
      <c r="Z32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1473.5074407138356</v>
      </c>
      <c r="AA32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0.50662639818285571</v>
      </c>
      <c r="AB320">
        <f>IF(Games[[#This Row],[Team]]="","",Games[[#This Row],[PointsFor]]-Games[[#This Row],[PointsAgainst]])</f>
        <v>8</v>
      </c>
      <c r="AC320">
        <f>IF(Games[[#This Row],[Team]]="","",IF(Games[[#This Row],[MOV]]&gt;0,1,IF(Games[[#This Row],[MOV]]=0,0.5,0)))</f>
        <v>1</v>
      </c>
      <c r="AD320">
        <f>IF(Games[[#This Row],[Team]]="","",--(OR(AND(Games[[#This Row],[ExpectedWin]]&gt;=0.5,Games[[#This Row],[Result]]=1),AND(Games[[#This Row],[ExpectedWin]]&lt;0.5,Games[[#This Row],[Result]]=0))))</f>
        <v>1</v>
      </c>
      <c r="AE320">
        <f>IF(Games[[#This Row],[Team]]="","",-(Games[[#This Row],[Result]]*LN(Games[[#This Row],[ExpectedWin]])+(1-Games[[#This Row],[Result]])*LN(1-Games[[#This Row],[ExpectedWin]])))</f>
        <v>0.67998143423908985</v>
      </c>
      <c r="AF320">
        <f>IF(Games[[#This Row],[Team]]="","",IF(Games[[#This Row],[Season]]&gt;=2021,17,16))</f>
        <v>16</v>
      </c>
      <c r="AG320">
        <f>IF(Games[[#This Row],[Team]]="","",KMax-(KMax-KFloor)*MIN(Games[[#This Row],[GamesPlayed]],Games[[#This Row],[SeasonLen]])/Games[[#This Row],[SeasonLen]])</f>
        <v>39.262500000000003</v>
      </c>
      <c r="AH320">
        <f>IF(Games[[#This Row],[Team]]="","",((ABS(Games[[#This Row],[MOV]])+3)^0.8)/(7.5+0.006*ABS(Games[[#This Row],[PreGmRate]]-Games[[#This Row],[OppPreGmRate]]))*IF(Games[[#This Row],[OT]]=1,0.7,1))</f>
        <v>0.8614831923059173</v>
      </c>
      <c r="AI32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0">
        <f>IF(Games[[#This Row],[Team]]="","",Games[[#This Row],[K]]*IF(Games[[#This Row],[DivG]]=1,DivMult,1)*IF(Games[[#This Row],[ConfG]]=1,ConfMult,1)*Games[[#This Row],[POMult]])</f>
        <v>44.05252500000001</v>
      </c>
      <c r="AK320">
        <f>IF(Games[[#This Row],[Team]]="","",(Games[[#This Row],[Keff]]*Games[[#This Row],[MOVMult]])*(Games[[#This Row],[Result]]-Games[[#This Row],[ExpectedWin]]))</f>
        <v>18.723779743452706</v>
      </c>
      <c r="AL320">
        <f>IF(Games[[#This Row],[Team]]="","",Games[[#This Row],[PreGmRate]]+Games[[#This Row],[RatingChange]])</f>
        <v>1424.8359831233527</v>
      </c>
      <c r="AM320">
        <f>IF(Games[[#This Row],[Team]]="","",IF(Games[[#This Row],[Type]]="R",IF(Games[[#This Row],[Result]]&gt;0.5,1,0),0))</f>
        <v>1</v>
      </c>
      <c r="AN320">
        <f>IF(Games[[#This Row],[Team]]="","",IF(Games[[#This Row],[Type]]="R",IF(Games[[#This Row],[Result]]&lt;0.5,1,0),0))</f>
        <v>0</v>
      </c>
      <c r="AO320">
        <f>IF(Games[[#This Row],[Team]]="","",IF(Games[[#This Row],[Type]]="R",IF(Games[[#This Row],[Result]]=0.5,1,0),0))</f>
        <v>0</v>
      </c>
    </row>
    <row r="321" spans="1:41" x14ac:dyDescent="0.35">
      <c r="A321" s="8">
        <v>35386</v>
      </c>
      <c r="B321">
        <v>1996</v>
      </c>
      <c r="C321" t="s">
        <v>197</v>
      </c>
      <c r="D321" t="s">
        <v>199</v>
      </c>
      <c r="E321" t="s">
        <v>136</v>
      </c>
      <c r="F321" t="s">
        <v>93</v>
      </c>
      <c r="G321" t="s">
        <v>201</v>
      </c>
      <c r="H321">
        <v>23</v>
      </c>
      <c r="I321">
        <v>31</v>
      </c>
      <c r="J321">
        <v>0</v>
      </c>
      <c r="K32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2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2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2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21">
        <f>IF(Games[[#This Row],[Team]]="","",IF(Games[[#This Row],[Conf]]=Games[[#This Row],[OppConf]],1,0))</f>
        <v>1</v>
      </c>
      <c r="P321">
        <f>IF(Games[[#This Row],[Team]]="","",IF(AND(Games[[#This Row],[Conf]]=Games[[#This Row],[OppConf]],Games[[#This Row],[Div]]=Games[[#This Row],[OppDiv]]),1,0))</f>
        <v>1</v>
      </c>
      <c r="Q321">
        <f>IF(Games[[#This Row],[Team]]="","",_xlfn.MINIFS(Games[Date],Games[Season],Games[[#This Row],[Season]]))</f>
        <v>35309</v>
      </c>
      <c r="R321">
        <f>IF(Games[[#This Row],[Team]]="","",INT((Games[[#This Row],[Date]]-(Games[[#This Row],[SeasonStart]]-MOD(WEEKDAY(Games[[#This Row],[SeasonStart]],2)-2,7)))/7)+1)</f>
        <v>12</v>
      </c>
      <c r="S321">
        <f>IF(Games[[#This Row],[Team]]="","",COUNTIFS(Games[Team],Games[[#This Row],[Team]],Games[Season],Games[[#This Row],[Season]],Games[Week],"&lt;="&amp;Games[[#This Row],[Week]]))</f>
        <v>11</v>
      </c>
      <c r="T321">
        <f>IF(Games[[#This Row],[Team]]="","",_xlfn.MAXIFS(Games[Week],Games[Team],Games[[#This Row],[Team]],Games[Season],Games[[#This Row],[Season]],Games[Week],"&lt;"&amp;Games[[#This Row],[Week]]))</f>
        <v>11</v>
      </c>
      <c r="U321">
        <f>IF(Games[[#This Row],[Team]]="","",_xlfn.MAXIFS(Games[Week],Games[Team],Games[[#This Row],[Opponent]],Games[Season],Games[[#This Row],[Season]],Games[Week],"&lt;"&amp;Games[[#This Row],[Week]]))</f>
        <v>11</v>
      </c>
      <c r="V32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2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2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2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1473.5074407138356</v>
      </c>
      <c r="Z32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1406.1122033798999</v>
      </c>
      <c r="AA32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0.49337360181714435</v>
      </c>
      <c r="AB321">
        <f>IF(Games[[#This Row],[Team]]="","",Games[[#This Row],[PointsFor]]-Games[[#This Row],[PointsAgainst]])</f>
        <v>-8</v>
      </c>
      <c r="AC321">
        <f>IF(Games[[#This Row],[Team]]="","",IF(Games[[#This Row],[MOV]]&gt;0,1,IF(Games[[#This Row],[MOV]]=0,0.5,0)))</f>
        <v>0</v>
      </c>
      <c r="AD321">
        <f>IF(Games[[#This Row],[Team]]="","",--(OR(AND(Games[[#This Row],[ExpectedWin]]&gt;=0.5,Games[[#This Row],[Result]]=1),AND(Games[[#This Row],[ExpectedWin]]&lt;0.5,Games[[#This Row],[Result]]=0))))</f>
        <v>1</v>
      </c>
      <c r="AE321">
        <f>IF(Games[[#This Row],[Team]]="","",-(Games[[#This Row],[Result]]*LN(Games[[#This Row],[ExpectedWin]])+(1-Games[[#This Row],[Result]])*LN(1-Games[[#This Row],[ExpectedWin]])))</f>
        <v>0.67998143423909008</v>
      </c>
      <c r="AF321">
        <f>IF(Games[[#This Row],[Team]]="","",IF(Games[[#This Row],[Season]]&gt;=2021,17,16))</f>
        <v>16</v>
      </c>
      <c r="AG321">
        <f>IF(Games[[#This Row],[Team]]="","",KMax-(KMax-KFloor)*MIN(Games[[#This Row],[GamesPlayed]],Games[[#This Row],[SeasonLen]])/Games[[#This Row],[SeasonLen]])</f>
        <v>39.262500000000003</v>
      </c>
      <c r="AH321">
        <f>IF(Games[[#This Row],[Team]]="","",((ABS(Games[[#This Row],[MOV]])+3)^0.8)/(7.5+0.006*ABS(Games[[#This Row],[PreGmRate]]-Games[[#This Row],[OppPreGmRate]]))*IF(Games[[#This Row],[OT]]=1,0.7,1))</f>
        <v>0.8614831923059173</v>
      </c>
      <c r="AI32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1">
        <f>IF(Games[[#This Row],[Team]]="","",Games[[#This Row],[K]]*IF(Games[[#This Row],[DivG]]=1,DivMult,1)*IF(Games[[#This Row],[ConfG]]=1,ConfMult,1)*Games[[#This Row],[POMult]])</f>
        <v>44.05252500000001</v>
      </c>
      <c r="AK321">
        <f>IF(Games[[#This Row],[Team]]="","",(Games[[#This Row],[Keff]]*Games[[#This Row],[MOVMult]])*(Games[[#This Row],[Result]]-Games[[#This Row],[ExpectedWin]]))</f>
        <v>-18.723779743452706</v>
      </c>
      <c r="AL321">
        <f>IF(Games[[#This Row],[Team]]="","",Games[[#This Row],[PreGmRate]]+Games[[#This Row],[RatingChange]])</f>
        <v>1454.7836609703829</v>
      </c>
      <c r="AM321">
        <f>IF(Games[[#This Row],[Team]]="","",IF(Games[[#This Row],[Type]]="R",IF(Games[[#This Row],[Result]]&gt;0.5,1,0),0))</f>
        <v>0</v>
      </c>
      <c r="AN321">
        <f>IF(Games[[#This Row],[Team]]="","",IF(Games[[#This Row],[Type]]="R",IF(Games[[#This Row],[Result]]&lt;0.5,1,0),0))</f>
        <v>1</v>
      </c>
      <c r="AO321">
        <f>IF(Games[[#This Row],[Team]]="","",IF(Games[[#This Row],[Type]]="R",IF(Games[[#This Row],[Result]]=0.5,1,0),0))</f>
        <v>0</v>
      </c>
    </row>
    <row r="322" spans="1:41" x14ac:dyDescent="0.35">
      <c r="A322" s="8">
        <v>35386</v>
      </c>
      <c r="B322">
        <v>1996</v>
      </c>
      <c r="C322" t="s">
        <v>197</v>
      </c>
      <c r="D322" t="s">
        <v>199</v>
      </c>
      <c r="E322" t="s">
        <v>128</v>
      </c>
      <c r="F322" t="s">
        <v>153</v>
      </c>
      <c r="G322" t="s">
        <v>201</v>
      </c>
      <c r="H322">
        <v>23</v>
      </c>
      <c r="I322">
        <v>20</v>
      </c>
      <c r="J322">
        <v>0</v>
      </c>
      <c r="K32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2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2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2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22">
        <f>IF(Games[[#This Row],[Team]]="","",IF(Games[[#This Row],[Conf]]=Games[[#This Row],[OppConf]],1,0))</f>
        <v>1</v>
      </c>
      <c r="P322">
        <f>IF(Games[[#This Row],[Team]]="","",IF(AND(Games[[#This Row],[Conf]]=Games[[#This Row],[OppConf]],Games[[#This Row],[Div]]=Games[[#This Row],[OppDiv]]),1,0))</f>
        <v>0</v>
      </c>
      <c r="Q322">
        <f>IF(Games[[#This Row],[Team]]="","",_xlfn.MINIFS(Games[Date],Games[Season],Games[[#This Row],[Season]]))</f>
        <v>35309</v>
      </c>
      <c r="R322">
        <f>IF(Games[[#This Row],[Team]]="","",INT((Games[[#This Row],[Date]]-(Games[[#This Row],[SeasonStart]]-MOD(WEEKDAY(Games[[#This Row],[SeasonStart]],2)-2,7)))/7)+1)</f>
        <v>12</v>
      </c>
      <c r="S322">
        <f>IF(Games[[#This Row],[Team]]="","",COUNTIFS(Games[Team],Games[[#This Row],[Team]],Games[Season],Games[[#This Row],[Season]],Games[Week],"&lt;="&amp;Games[[#This Row],[Week]]))</f>
        <v>11</v>
      </c>
      <c r="T322">
        <f>IF(Games[[#This Row],[Team]]="","",_xlfn.MAXIFS(Games[Week],Games[Team],Games[[#This Row],[Team]],Games[Season],Games[[#This Row],[Season]],Games[Week],"&lt;"&amp;Games[[#This Row],[Week]]))</f>
        <v>11</v>
      </c>
      <c r="U322">
        <f>IF(Games[[#This Row],[Team]]="","",_xlfn.MAXIFS(Games[Week],Games[Team],Games[[#This Row],[Opponent]],Games[Season],Games[[#This Row],[Season]],Games[Week],"&lt;"&amp;Games[[#This Row],[Week]]))</f>
        <v>11</v>
      </c>
      <c r="V32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2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2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2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1529.7763691150894</v>
      </c>
      <c r="Z32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1556.3087778604238</v>
      </c>
      <c r="AA32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0.36188359071758158</v>
      </c>
      <c r="AB322">
        <f>IF(Games[[#This Row],[Team]]="","",Games[[#This Row],[PointsFor]]-Games[[#This Row],[PointsAgainst]])</f>
        <v>3</v>
      </c>
      <c r="AC322">
        <f>IF(Games[[#This Row],[Team]]="","",IF(Games[[#This Row],[MOV]]&gt;0,1,IF(Games[[#This Row],[MOV]]=0,0.5,0)))</f>
        <v>1</v>
      </c>
      <c r="AD322">
        <f>IF(Games[[#This Row],[Team]]="","",--(OR(AND(Games[[#This Row],[ExpectedWin]]&gt;=0.5,Games[[#This Row],[Result]]=1),AND(Games[[#This Row],[ExpectedWin]]&lt;0.5,Games[[#This Row],[Result]]=0))))</f>
        <v>0</v>
      </c>
      <c r="AE322">
        <f>IF(Games[[#This Row],[Team]]="","",-(Games[[#This Row],[Result]]*LN(Games[[#This Row],[ExpectedWin]])+(1-Games[[#This Row],[Result]])*LN(1-Games[[#This Row],[ExpectedWin]])))</f>
        <v>1.0164326914752886</v>
      </c>
      <c r="AF322">
        <f>IF(Games[[#This Row],[Team]]="","",IF(Games[[#This Row],[Season]]&gt;=2021,17,16))</f>
        <v>16</v>
      </c>
      <c r="AG322">
        <f>IF(Games[[#This Row],[Team]]="","",KMax-(KMax-KFloor)*MIN(Games[[#This Row],[GamesPlayed]],Games[[#This Row],[SeasonLen]])/Games[[#This Row],[SeasonLen]])</f>
        <v>39.262500000000003</v>
      </c>
      <c r="AH322">
        <f>IF(Games[[#This Row],[Team]]="","",((ABS(Games[[#This Row],[MOV]])+3)^0.8)/(7.5+0.006*ABS(Games[[#This Row],[PreGmRate]]-Games[[#This Row],[OppPreGmRate]]))*IF(Games[[#This Row],[OT]]=1,0.7,1))</f>
        <v>0.54744173667978835</v>
      </c>
      <c r="AI32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2">
        <f>IF(Games[[#This Row],[Team]]="","",Games[[#This Row],[K]]*IF(Games[[#This Row],[DivG]]=1,DivMult,1)*IF(Games[[#This Row],[ConfG]]=1,ConfMult,1)*Games[[#This Row],[POMult]])</f>
        <v>40.047750000000001</v>
      </c>
      <c r="AK322">
        <f>IF(Games[[#This Row],[Team]]="","",(Games[[#This Row],[Keff]]*Games[[#This Row],[MOVMult]])*(Games[[#This Row],[Result]]-Games[[#This Row],[ExpectedWin]]))</f>
        <v>13.989942793823154</v>
      </c>
      <c r="AL322">
        <f>IF(Games[[#This Row],[Team]]="","",Games[[#This Row],[PreGmRate]]+Games[[#This Row],[RatingChange]])</f>
        <v>1543.7663119089125</v>
      </c>
      <c r="AM322">
        <f>IF(Games[[#This Row],[Team]]="","",IF(Games[[#This Row],[Type]]="R",IF(Games[[#This Row],[Result]]&gt;0.5,1,0),0))</f>
        <v>1</v>
      </c>
      <c r="AN322">
        <f>IF(Games[[#This Row],[Team]]="","",IF(Games[[#This Row],[Type]]="R",IF(Games[[#This Row],[Result]]&lt;0.5,1,0),0))</f>
        <v>0</v>
      </c>
      <c r="AO322">
        <f>IF(Games[[#This Row],[Team]]="","",IF(Games[[#This Row],[Type]]="R",IF(Games[[#This Row],[Result]]=0.5,1,0),0))</f>
        <v>0</v>
      </c>
    </row>
    <row r="323" spans="1:41" x14ac:dyDescent="0.35">
      <c r="A323" s="8">
        <v>35386</v>
      </c>
      <c r="B323">
        <v>1996</v>
      </c>
      <c r="C323" t="s">
        <v>197</v>
      </c>
      <c r="D323" t="s">
        <v>199</v>
      </c>
      <c r="E323" t="s">
        <v>153</v>
      </c>
      <c r="F323" t="s">
        <v>128</v>
      </c>
      <c r="G323" t="s">
        <v>200</v>
      </c>
      <c r="H323">
        <v>20</v>
      </c>
      <c r="I323">
        <v>23</v>
      </c>
      <c r="J323">
        <v>0</v>
      </c>
      <c r="K32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2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2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2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23">
        <f>IF(Games[[#This Row],[Team]]="","",IF(Games[[#This Row],[Conf]]=Games[[#This Row],[OppConf]],1,0))</f>
        <v>1</v>
      </c>
      <c r="P323">
        <f>IF(Games[[#This Row],[Team]]="","",IF(AND(Games[[#This Row],[Conf]]=Games[[#This Row],[OppConf]],Games[[#This Row],[Div]]=Games[[#This Row],[OppDiv]]),1,0))</f>
        <v>0</v>
      </c>
      <c r="Q323">
        <f>IF(Games[[#This Row],[Team]]="","",_xlfn.MINIFS(Games[Date],Games[Season],Games[[#This Row],[Season]]))</f>
        <v>35309</v>
      </c>
      <c r="R323">
        <f>IF(Games[[#This Row],[Team]]="","",INT((Games[[#This Row],[Date]]-(Games[[#This Row],[SeasonStart]]-MOD(WEEKDAY(Games[[#This Row],[SeasonStart]],2)-2,7)))/7)+1)</f>
        <v>12</v>
      </c>
      <c r="S323">
        <f>IF(Games[[#This Row],[Team]]="","",COUNTIFS(Games[Team],Games[[#This Row],[Team]],Games[Season],Games[[#This Row],[Season]],Games[Week],"&lt;="&amp;Games[[#This Row],[Week]]))</f>
        <v>11</v>
      </c>
      <c r="T323">
        <f>IF(Games[[#This Row],[Team]]="","",_xlfn.MAXIFS(Games[Week],Games[Team],Games[[#This Row],[Team]],Games[Season],Games[[#This Row],[Season]],Games[Week],"&lt;"&amp;Games[[#This Row],[Week]]))</f>
        <v>11</v>
      </c>
      <c r="U323">
        <f>IF(Games[[#This Row],[Team]]="","",_xlfn.MAXIFS(Games[Week],Games[Team],Games[[#This Row],[Opponent]],Games[Season],Games[[#This Row],[Season]],Games[Week],"&lt;"&amp;Games[[#This Row],[Week]]))</f>
        <v>11</v>
      </c>
      <c r="V32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2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2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2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1556.3087778604238</v>
      </c>
      <c r="Z32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1529.7763691150894</v>
      </c>
      <c r="AA32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0.63811640928241842</v>
      </c>
      <c r="AB323">
        <f>IF(Games[[#This Row],[Team]]="","",Games[[#This Row],[PointsFor]]-Games[[#This Row],[PointsAgainst]])</f>
        <v>-3</v>
      </c>
      <c r="AC323">
        <f>IF(Games[[#This Row],[Team]]="","",IF(Games[[#This Row],[MOV]]&gt;0,1,IF(Games[[#This Row],[MOV]]=0,0.5,0)))</f>
        <v>0</v>
      </c>
      <c r="AD323">
        <f>IF(Games[[#This Row],[Team]]="","",--(OR(AND(Games[[#This Row],[ExpectedWin]]&gt;=0.5,Games[[#This Row],[Result]]=1),AND(Games[[#This Row],[ExpectedWin]]&lt;0.5,Games[[#This Row],[Result]]=0))))</f>
        <v>0</v>
      </c>
      <c r="AE323">
        <f>IF(Games[[#This Row],[Team]]="","",-(Games[[#This Row],[Result]]*LN(Games[[#This Row],[ExpectedWin]])+(1-Games[[#This Row],[Result]])*LN(1-Games[[#This Row],[ExpectedWin]])))</f>
        <v>1.0164326914752886</v>
      </c>
      <c r="AF323">
        <f>IF(Games[[#This Row],[Team]]="","",IF(Games[[#This Row],[Season]]&gt;=2021,17,16))</f>
        <v>16</v>
      </c>
      <c r="AG323">
        <f>IF(Games[[#This Row],[Team]]="","",KMax-(KMax-KFloor)*MIN(Games[[#This Row],[GamesPlayed]],Games[[#This Row],[SeasonLen]])/Games[[#This Row],[SeasonLen]])</f>
        <v>39.262500000000003</v>
      </c>
      <c r="AH323">
        <f>IF(Games[[#This Row],[Team]]="","",((ABS(Games[[#This Row],[MOV]])+3)^0.8)/(7.5+0.006*ABS(Games[[#This Row],[PreGmRate]]-Games[[#This Row],[OppPreGmRate]]))*IF(Games[[#This Row],[OT]]=1,0.7,1))</f>
        <v>0.54744173667978835</v>
      </c>
      <c r="AI32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3">
        <f>IF(Games[[#This Row],[Team]]="","",Games[[#This Row],[K]]*IF(Games[[#This Row],[DivG]]=1,DivMult,1)*IF(Games[[#This Row],[ConfG]]=1,ConfMult,1)*Games[[#This Row],[POMult]])</f>
        <v>40.047750000000001</v>
      </c>
      <c r="AK323">
        <f>IF(Games[[#This Row],[Team]]="","",(Games[[#This Row],[Keff]]*Games[[#This Row],[MOVMult]])*(Games[[#This Row],[Result]]-Games[[#This Row],[ExpectedWin]]))</f>
        <v>-13.989942793823154</v>
      </c>
      <c r="AL323">
        <f>IF(Games[[#This Row],[Team]]="","",Games[[#This Row],[PreGmRate]]+Games[[#This Row],[RatingChange]])</f>
        <v>1542.3188350666007</v>
      </c>
      <c r="AM323">
        <f>IF(Games[[#This Row],[Team]]="","",IF(Games[[#This Row],[Type]]="R",IF(Games[[#This Row],[Result]]&gt;0.5,1,0),0))</f>
        <v>0</v>
      </c>
      <c r="AN323">
        <f>IF(Games[[#This Row],[Team]]="","",IF(Games[[#This Row],[Type]]="R",IF(Games[[#This Row],[Result]]&lt;0.5,1,0),0))</f>
        <v>1</v>
      </c>
      <c r="AO323">
        <f>IF(Games[[#This Row],[Team]]="","",IF(Games[[#This Row],[Type]]="R",IF(Games[[#This Row],[Result]]=0.5,1,0),0))</f>
        <v>0</v>
      </c>
    </row>
    <row r="324" spans="1:41" x14ac:dyDescent="0.35">
      <c r="A324" s="8">
        <v>35386</v>
      </c>
      <c r="B324">
        <v>1996</v>
      </c>
      <c r="C324" t="s">
        <v>197</v>
      </c>
      <c r="D324" t="s">
        <v>199</v>
      </c>
      <c r="E324" t="s">
        <v>148</v>
      </c>
      <c r="F324" t="s">
        <v>101</v>
      </c>
      <c r="G324" t="s">
        <v>200</v>
      </c>
      <c r="H324">
        <v>38</v>
      </c>
      <c r="I324">
        <v>20</v>
      </c>
      <c r="J324">
        <v>0</v>
      </c>
      <c r="K32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2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2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2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24">
        <f>IF(Games[[#This Row],[Team]]="","",IF(Games[[#This Row],[Conf]]=Games[[#This Row],[OppConf]],1,0))</f>
        <v>0</v>
      </c>
      <c r="P324">
        <f>IF(Games[[#This Row],[Team]]="","",IF(AND(Games[[#This Row],[Conf]]=Games[[#This Row],[OppConf]],Games[[#This Row],[Div]]=Games[[#This Row],[OppDiv]]),1,0))</f>
        <v>0</v>
      </c>
      <c r="Q324">
        <f>IF(Games[[#This Row],[Team]]="","",_xlfn.MINIFS(Games[Date],Games[Season],Games[[#This Row],[Season]]))</f>
        <v>35309</v>
      </c>
      <c r="R324">
        <f>IF(Games[[#This Row],[Team]]="","",INT((Games[[#This Row],[Date]]-(Games[[#This Row],[SeasonStart]]-MOD(WEEKDAY(Games[[#This Row],[SeasonStart]],2)-2,7)))/7)+1)</f>
        <v>12</v>
      </c>
      <c r="S324">
        <f>IF(Games[[#This Row],[Team]]="","",COUNTIFS(Games[Team],Games[[#This Row],[Team]],Games[Season],Games[[#This Row],[Season]],Games[Week],"&lt;="&amp;Games[[#This Row],[Week]]))</f>
        <v>11</v>
      </c>
      <c r="T324">
        <f>IF(Games[[#This Row],[Team]]="","",_xlfn.MAXIFS(Games[Week],Games[Team],Games[[#This Row],[Team]],Games[Season],Games[[#This Row],[Season]],Games[Week],"&lt;"&amp;Games[[#This Row],[Week]]))</f>
        <v>11</v>
      </c>
      <c r="U324">
        <f>IF(Games[[#This Row],[Team]]="","",_xlfn.MAXIFS(Games[Week],Games[Team],Games[[#This Row],[Opponent]],Games[Season],Games[[#This Row],[Season]],Games[Week],"&lt;"&amp;Games[[#This Row],[Week]]))</f>
        <v>11</v>
      </c>
      <c r="V32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2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2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2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1604.3450883510316</v>
      </c>
      <c r="Z32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1419.8866512873162</v>
      </c>
      <c r="AA32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0.81401207312189972</v>
      </c>
      <c r="AB324">
        <f>IF(Games[[#This Row],[Team]]="","",Games[[#This Row],[PointsFor]]-Games[[#This Row],[PointsAgainst]])</f>
        <v>18</v>
      </c>
      <c r="AC324">
        <f>IF(Games[[#This Row],[Team]]="","",IF(Games[[#This Row],[MOV]]&gt;0,1,IF(Games[[#This Row],[MOV]]=0,0.5,0)))</f>
        <v>1</v>
      </c>
      <c r="AD324">
        <f>IF(Games[[#This Row],[Team]]="","",--(OR(AND(Games[[#This Row],[ExpectedWin]]&gt;=0.5,Games[[#This Row],[Result]]=1),AND(Games[[#This Row],[ExpectedWin]]&lt;0.5,Games[[#This Row],[Result]]=0))))</f>
        <v>1</v>
      </c>
      <c r="AE324">
        <f>IF(Games[[#This Row],[Team]]="","",-(Games[[#This Row],[Result]]*LN(Games[[#This Row],[ExpectedWin]])+(1-Games[[#This Row],[Result]])*LN(1-Games[[#This Row],[ExpectedWin]])))</f>
        <v>0.20578008124450184</v>
      </c>
      <c r="AF324">
        <f>IF(Games[[#This Row],[Team]]="","",IF(Games[[#This Row],[Season]]&gt;=2021,17,16))</f>
        <v>16</v>
      </c>
      <c r="AG324">
        <f>IF(Games[[#This Row],[Team]]="","",KMax-(KMax-KFloor)*MIN(Games[[#This Row],[GamesPlayed]],Games[[#This Row],[SeasonLen]])/Games[[#This Row],[SeasonLen]])</f>
        <v>39.262500000000003</v>
      </c>
      <c r="AH324">
        <f>IF(Games[[#This Row],[Team]]="","",((ABS(Games[[#This Row],[MOV]])+3)^0.8)/(7.5+0.006*ABS(Games[[#This Row],[PreGmRate]]-Games[[#This Row],[OppPreGmRate]]))*IF(Games[[#This Row],[OT]]=1,0.7,1))</f>
        <v>1.3271995206832974</v>
      </c>
      <c r="AI32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4">
        <f>IF(Games[[#This Row],[Team]]="","",Games[[#This Row],[K]]*IF(Games[[#This Row],[DivG]]=1,DivMult,1)*IF(Games[[#This Row],[ConfG]]=1,ConfMult,1)*Games[[#This Row],[POMult]])</f>
        <v>39.262500000000003</v>
      </c>
      <c r="AK324">
        <f>IF(Games[[#This Row],[Team]]="","",(Games[[#This Row],[Keff]]*Games[[#This Row],[MOVMult]])*(Games[[#This Row],[Result]]-Games[[#This Row],[ExpectedWin]]))</f>
        <v>9.6916767192582416</v>
      </c>
      <c r="AL324">
        <f>IF(Games[[#This Row],[Team]]="","",Games[[#This Row],[PreGmRate]]+Games[[#This Row],[RatingChange]])</f>
        <v>1614.0367650702899</v>
      </c>
      <c r="AM324">
        <f>IF(Games[[#This Row],[Team]]="","",IF(Games[[#This Row],[Type]]="R",IF(Games[[#This Row],[Result]]&gt;0.5,1,0),0))</f>
        <v>1</v>
      </c>
      <c r="AN324">
        <f>IF(Games[[#This Row],[Team]]="","",IF(Games[[#This Row],[Type]]="R",IF(Games[[#This Row],[Result]]&lt;0.5,1,0),0))</f>
        <v>0</v>
      </c>
      <c r="AO324">
        <f>IF(Games[[#This Row],[Team]]="","",IF(Games[[#This Row],[Type]]="R",IF(Games[[#This Row],[Result]]=0.5,1,0),0))</f>
        <v>0</v>
      </c>
    </row>
    <row r="325" spans="1:41" x14ac:dyDescent="0.35">
      <c r="A325" s="8">
        <v>35386</v>
      </c>
      <c r="B325">
        <v>1996</v>
      </c>
      <c r="C325" t="s">
        <v>197</v>
      </c>
      <c r="D325" t="s">
        <v>199</v>
      </c>
      <c r="E325" t="s">
        <v>101</v>
      </c>
      <c r="F325" t="s">
        <v>148</v>
      </c>
      <c r="G325" t="s">
        <v>201</v>
      </c>
      <c r="H325">
        <v>20</v>
      </c>
      <c r="I325">
        <v>38</v>
      </c>
      <c r="J325">
        <v>0</v>
      </c>
      <c r="K32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2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2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2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25">
        <f>IF(Games[[#This Row],[Team]]="","",IF(Games[[#This Row],[Conf]]=Games[[#This Row],[OppConf]],1,0))</f>
        <v>0</v>
      </c>
      <c r="P325">
        <f>IF(Games[[#This Row],[Team]]="","",IF(AND(Games[[#This Row],[Conf]]=Games[[#This Row],[OppConf]],Games[[#This Row],[Div]]=Games[[#This Row],[OppDiv]]),1,0))</f>
        <v>0</v>
      </c>
      <c r="Q325">
        <f>IF(Games[[#This Row],[Team]]="","",_xlfn.MINIFS(Games[Date],Games[Season],Games[[#This Row],[Season]]))</f>
        <v>35309</v>
      </c>
      <c r="R325">
        <f>IF(Games[[#This Row],[Team]]="","",INT((Games[[#This Row],[Date]]-(Games[[#This Row],[SeasonStart]]-MOD(WEEKDAY(Games[[#This Row],[SeasonStart]],2)-2,7)))/7)+1)</f>
        <v>12</v>
      </c>
      <c r="S325">
        <f>IF(Games[[#This Row],[Team]]="","",COUNTIFS(Games[Team],Games[[#This Row],[Team]],Games[Season],Games[[#This Row],[Season]],Games[Week],"&lt;="&amp;Games[[#This Row],[Week]]))</f>
        <v>11</v>
      </c>
      <c r="T325">
        <f>IF(Games[[#This Row],[Team]]="","",_xlfn.MAXIFS(Games[Week],Games[Team],Games[[#This Row],[Team]],Games[Season],Games[[#This Row],[Season]],Games[Week],"&lt;"&amp;Games[[#This Row],[Week]]))</f>
        <v>11</v>
      </c>
      <c r="U325">
        <f>IF(Games[[#This Row],[Team]]="","",_xlfn.MAXIFS(Games[Week],Games[Team],Games[[#This Row],[Opponent]],Games[Season],Games[[#This Row],[Season]],Games[Week],"&lt;"&amp;Games[[#This Row],[Week]]))</f>
        <v>11</v>
      </c>
      <c r="V32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2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2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2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1419.8866512873162</v>
      </c>
      <c r="Z32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1604.3450883510316</v>
      </c>
      <c r="AA32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0.18598792687810026</v>
      </c>
      <c r="AB325">
        <f>IF(Games[[#This Row],[Team]]="","",Games[[#This Row],[PointsFor]]-Games[[#This Row],[PointsAgainst]])</f>
        <v>-18</v>
      </c>
      <c r="AC325">
        <f>IF(Games[[#This Row],[Team]]="","",IF(Games[[#This Row],[MOV]]&gt;0,1,IF(Games[[#This Row],[MOV]]=0,0.5,0)))</f>
        <v>0</v>
      </c>
      <c r="AD325">
        <f>IF(Games[[#This Row],[Team]]="","",--(OR(AND(Games[[#This Row],[ExpectedWin]]&gt;=0.5,Games[[#This Row],[Result]]=1),AND(Games[[#This Row],[ExpectedWin]]&lt;0.5,Games[[#This Row],[Result]]=0))))</f>
        <v>1</v>
      </c>
      <c r="AE325">
        <f>IF(Games[[#This Row],[Team]]="","",-(Games[[#This Row],[Result]]*LN(Games[[#This Row],[ExpectedWin]])+(1-Games[[#This Row],[Result]])*LN(1-Games[[#This Row],[ExpectedWin]])))</f>
        <v>0.20578008124450184</v>
      </c>
      <c r="AF325">
        <f>IF(Games[[#This Row],[Team]]="","",IF(Games[[#This Row],[Season]]&gt;=2021,17,16))</f>
        <v>16</v>
      </c>
      <c r="AG325">
        <f>IF(Games[[#This Row],[Team]]="","",KMax-(KMax-KFloor)*MIN(Games[[#This Row],[GamesPlayed]],Games[[#This Row],[SeasonLen]])/Games[[#This Row],[SeasonLen]])</f>
        <v>39.262500000000003</v>
      </c>
      <c r="AH325">
        <f>IF(Games[[#This Row],[Team]]="","",((ABS(Games[[#This Row],[MOV]])+3)^0.8)/(7.5+0.006*ABS(Games[[#This Row],[PreGmRate]]-Games[[#This Row],[OppPreGmRate]]))*IF(Games[[#This Row],[OT]]=1,0.7,1))</f>
        <v>1.3271995206832974</v>
      </c>
      <c r="AI32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5">
        <f>IF(Games[[#This Row],[Team]]="","",Games[[#This Row],[K]]*IF(Games[[#This Row],[DivG]]=1,DivMult,1)*IF(Games[[#This Row],[ConfG]]=1,ConfMult,1)*Games[[#This Row],[POMult]])</f>
        <v>39.262500000000003</v>
      </c>
      <c r="AK325">
        <f>IF(Games[[#This Row],[Team]]="","",(Games[[#This Row],[Keff]]*Games[[#This Row],[MOVMult]])*(Games[[#This Row],[Result]]-Games[[#This Row],[ExpectedWin]]))</f>
        <v>-9.6916767192582398</v>
      </c>
      <c r="AL325">
        <f>IF(Games[[#This Row],[Team]]="","",Games[[#This Row],[PreGmRate]]+Games[[#This Row],[RatingChange]])</f>
        <v>1410.1949745680579</v>
      </c>
      <c r="AM325">
        <f>IF(Games[[#This Row],[Team]]="","",IF(Games[[#This Row],[Type]]="R",IF(Games[[#This Row],[Result]]&gt;0.5,1,0),0))</f>
        <v>0</v>
      </c>
      <c r="AN325">
        <f>IF(Games[[#This Row],[Team]]="","",IF(Games[[#This Row],[Type]]="R",IF(Games[[#This Row],[Result]]&lt;0.5,1,0),0))</f>
        <v>1</v>
      </c>
      <c r="AO325">
        <f>IF(Games[[#This Row],[Team]]="","",IF(Games[[#This Row],[Type]]="R",IF(Games[[#This Row],[Result]]=0.5,1,0),0))</f>
        <v>0</v>
      </c>
    </row>
    <row r="326" spans="1:41" x14ac:dyDescent="0.35">
      <c r="A326" s="8">
        <v>35386</v>
      </c>
      <c r="B326">
        <v>1996</v>
      </c>
      <c r="C326" t="s">
        <v>197</v>
      </c>
      <c r="D326" t="s">
        <v>199</v>
      </c>
      <c r="E326" t="s">
        <v>151</v>
      </c>
      <c r="F326" t="s">
        <v>145</v>
      </c>
      <c r="G326" t="s">
        <v>201</v>
      </c>
      <c r="H326">
        <v>25</v>
      </c>
      <c r="I326">
        <v>17</v>
      </c>
      <c r="J326">
        <v>0</v>
      </c>
      <c r="K32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2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2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2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26">
        <f>IF(Games[[#This Row],[Team]]="","",IF(Games[[#This Row],[Conf]]=Games[[#This Row],[OppConf]],1,0))</f>
        <v>0</v>
      </c>
      <c r="P326">
        <f>IF(Games[[#This Row],[Team]]="","",IF(AND(Games[[#This Row],[Conf]]=Games[[#This Row],[OppConf]],Games[[#This Row],[Div]]=Games[[#This Row],[OppDiv]]),1,0))</f>
        <v>0</v>
      </c>
      <c r="Q326">
        <f>IF(Games[[#This Row],[Team]]="","",_xlfn.MINIFS(Games[Date],Games[Season],Games[[#This Row],[Season]]))</f>
        <v>35309</v>
      </c>
      <c r="R326">
        <f>IF(Games[[#This Row],[Team]]="","",INT((Games[[#This Row],[Date]]-(Games[[#This Row],[SeasonStart]]-MOD(WEEKDAY(Games[[#This Row],[SeasonStart]],2)-2,7)))/7)+1)</f>
        <v>12</v>
      </c>
      <c r="S326">
        <f>IF(Games[[#This Row],[Team]]="","",COUNTIFS(Games[Team],Games[[#This Row],[Team]],Games[Season],Games[[#This Row],[Season]],Games[Week],"&lt;="&amp;Games[[#This Row],[Week]]))</f>
        <v>11</v>
      </c>
      <c r="T326">
        <f>IF(Games[[#This Row],[Team]]="","",_xlfn.MAXIFS(Games[Week],Games[Team],Games[[#This Row],[Team]],Games[Season],Games[[#This Row],[Season]],Games[Week],"&lt;"&amp;Games[[#This Row],[Week]]))</f>
        <v>11</v>
      </c>
      <c r="U326">
        <f>IF(Games[[#This Row],[Team]]="","",_xlfn.MAXIFS(Games[Week],Games[Team],Games[[#This Row],[Opponent]],Games[Season],Games[[#This Row],[Season]],Games[Week],"&lt;"&amp;Games[[#This Row],[Week]]))</f>
        <v>11</v>
      </c>
      <c r="V32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2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32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32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1371.2778338029188</v>
      </c>
      <c r="Z32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1500.725307180222</v>
      </c>
      <c r="AA32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0.24506908402101282</v>
      </c>
      <c r="AB326">
        <f>IF(Games[[#This Row],[Team]]="","",Games[[#This Row],[PointsFor]]-Games[[#This Row],[PointsAgainst]])</f>
        <v>8</v>
      </c>
      <c r="AC326">
        <f>IF(Games[[#This Row],[Team]]="","",IF(Games[[#This Row],[MOV]]&gt;0,1,IF(Games[[#This Row],[MOV]]=0,0.5,0)))</f>
        <v>1</v>
      </c>
      <c r="AD326">
        <f>IF(Games[[#This Row],[Team]]="","",--(OR(AND(Games[[#This Row],[ExpectedWin]]&gt;=0.5,Games[[#This Row],[Result]]=1),AND(Games[[#This Row],[ExpectedWin]]&lt;0.5,Games[[#This Row],[Result]]=0))))</f>
        <v>0</v>
      </c>
      <c r="AE326">
        <f>IF(Games[[#This Row],[Team]]="","",-(Games[[#This Row],[Result]]*LN(Games[[#This Row],[ExpectedWin]])+(1-Games[[#This Row],[Result]])*LN(1-Games[[#This Row],[ExpectedWin]])))</f>
        <v>1.4062151325890859</v>
      </c>
      <c r="AF326">
        <f>IF(Games[[#This Row],[Team]]="","",IF(Games[[#This Row],[Season]]&gt;=2021,17,16))</f>
        <v>16</v>
      </c>
      <c r="AG326">
        <f>IF(Games[[#This Row],[Team]]="","",KMax-(KMax-KFloor)*MIN(Games[[#This Row],[GamesPlayed]],Games[[#This Row],[SeasonLen]])/Games[[#This Row],[SeasonLen]])</f>
        <v>39.262500000000003</v>
      </c>
      <c r="AH326">
        <f>IF(Games[[#This Row],[Team]]="","",((ABS(Games[[#This Row],[MOV]])+3)^0.8)/(7.5+0.006*ABS(Games[[#This Row],[PreGmRate]]-Games[[#This Row],[OppPreGmRate]]))*IF(Games[[#This Row],[OT]]=1,0.7,1))</f>
        <v>0.82273075016654251</v>
      </c>
      <c r="AI32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6">
        <f>IF(Games[[#This Row],[Team]]="","",Games[[#This Row],[K]]*IF(Games[[#This Row],[DivG]]=1,DivMult,1)*IF(Games[[#This Row],[ConfG]]=1,ConfMult,1)*Games[[#This Row],[POMult]])</f>
        <v>39.262500000000003</v>
      </c>
      <c r="AK326">
        <f>IF(Games[[#This Row],[Team]]="","",(Games[[#This Row],[Keff]]*Games[[#This Row],[MOVMult]])*(Games[[#This Row],[Result]]-Games[[#This Row],[ExpectedWin]]))</f>
        <v>24.386130304957153</v>
      </c>
      <c r="AL326">
        <f>IF(Games[[#This Row],[Team]]="","",Games[[#This Row],[PreGmRate]]+Games[[#This Row],[RatingChange]])</f>
        <v>1395.6639641078759</v>
      </c>
      <c r="AM326">
        <f>IF(Games[[#This Row],[Team]]="","",IF(Games[[#This Row],[Type]]="R",IF(Games[[#This Row],[Result]]&gt;0.5,1,0),0))</f>
        <v>1</v>
      </c>
      <c r="AN326">
        <f>IF(Games[[#This Row],[Team]]="","",IF(Games[[#This Row],[Type]]="R",IF(Games[[#This Row],[Result]]&lt;0.5,1,0),0))</f>
        <v>0</v>
      </c>
      <c r="AO326">
        <f>IF(Games[[#This Row],[Team]]="","",IF(Games[[#This Row],[Type]]="R",IF(Games[[#This Row],[Result]]=0.5,1,0),0))</f>
        <v>0</v>
      </c>
    </row>
    <row r="327" spans="1:41" x14ac:dyDescent="0.35">
      <c r="A327" s="8">
        <v>35386</v>
      </c>
      <c r="B327">
        <v>1996</v>
      </c>
      <c r="C327" t="s">
        <v>197</v>
      </c>
      <c r="D327" t="s">
        <v>199</v>
      </c>
      <c r="E327" t="s">
        <v>145</v>
      </c>
      <c r="F327" t="s">
        <v>151</v>
      </c>
      <c r="G327" t="s">
        <v>200</v>
      </c>
      <c r="H327">
        <v>17</v>
      </c>
      <c r="I327">
        <v>25</v>
      </c>
      <c r="J327">
        <v>0</v>
      </c>
      <c r="K32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2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2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2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27">
        <f>IF(Games[[#This Row],[Team]]="","",IF(Games[[#This Row],[Conf]]=Games[[#This Row],[OppConf]],1,0))</f>
        <v>0</v>
      </c>
      <c r="P327">
        <f>IF(Games[[#This Row],[Team]]="","",IF(AND(Games[[#This Row],[Conf]]=Games[[#This Row],[OppConf]],Games[[#This Row],[Div]]=Games[[#This Row],[OppDiv]]),1,0))</f>
        <v>0</v>
      </c>
      <c r="Q327">
        <f>IF(Games[[#This Row],[Team]]="","",_xlfn.MINIFS(Games[Date],Games[Season],Games[[#This Row],[Season]]))</f>
        <v>35309</v>
      </c>
      <c r="R327">
        <f>IF(Games[[#This Row],[Team]]="","",INT((Games[[#This Row],[Date]]-(Games[[#This Row],[SeasonStart]]-MOD(WEEKDAY(Games[[#This Row],[SeasonStart]],2)-2,7)))/7)+1)</f>
        <v>12</v>
      </c>
      <c r="S327">
        <f>IF(Games[[#This Row],[Team]]="","",COUNTIFS(Games[Team],Games[[#This Row],[Team]],Games[Season],Games[[#This Row],[Season]],Games[Week],"&lt;="&amp;Games[[#This Row],[Week]]))</f>
        <v>11</v>
      </c>
      <c r="T327">
        <f>IF(Games[[#This Row],[Team]]="","",_xlfn.MAXIFS(Games[Week],Games[Team],Games[[#This Row],[Team]],Games[Season],Games[[#This Row],[Season]],Games[Week],"&lt;"&amp;Games[[#This Row],[Week]]))</f>
        <v>11</v>
      </c>
      <c r="U327">
        <f>IF(Games[[#This Row],[Team]]="","",_xlfn.MAXIFS(Games[Week],Games[Team],Games[[#This Row],[Opponent]],Games[Season],Games[[#This Row],[Season]],Games[Week],"&lt;"&amp;Games[[#This Row],[Week]]))</f>
        <v>11</v>
      </c>
      <c r="V32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32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2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32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1500.725307180222</v>
      </c>
      <c r="Z32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1371.2778338029188</v>
      </c>
      <c r="AA32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0.75493091597898709</v>
      </c>
      <c r="AB327">
        <f>IF(Games[[#This Row],[Team]]="","",Games[[#This Row],[PointsFor]]-Games[[#This Row],[PointsAgainst]])</f>
        <v>-8</v>
      </c>
      <c r="AC327">
        <f>IF(Games[[#This Row],[Team]]="","",IF(Games[[#This Row],[MOV]]&gt;0,1,IF(Games[[#This Row],[MOV]]=0,0.5,0)))</f>
        <v>0</v>
      </c>
      <c r="AD327">
        <f>IF(Games[[#This Row],[Team]]="","",--(OR(AND(Games[[#This Row],[ExpectedWin]]&gt;=0.5,Games[[#This Row],[Result]]=1),AND(Games[[#This Row],[ExpectedWin]]&lt;0.5,Games[[#This Row],[Result]]=0))))</f>
        <v>0</v>
      </c>
      <c r="AE327">
        <f>IF(Games[[#This Row],[Team]]="","",-(Games[[#This Row],[Result]]*LN(Games[[#This Row],[ExpectedWin]])+(1-Games[[#This Row],[Result]])*LN(1-Games[[#This Row],[ExpectedWin]])))</f>
        <v>1.4062151325890857</v>
      </c>
      <c r="AF327">
        <f>IF(Games[[#This Row],[Team]]="","",IF(Games[[#This Row],[Season]]&gt;=2021,17,16))</f>
        <v>16</v>
      </c>
      <c r="AG327">
        <f>IF(Games[[#This Row],[Team]]="","",KMax-(KMax-KFloor)*MIN(Games[[#This Row],[GamesPlayed]],Games[[#This Row],[SeasonLen]])/Games[[#This Row],[SeasonLen]])</f>
        <v>39.262500000000003</v>
      </c>
      <c r="AH327">
        <f>IF(Games[[#This Row],[Team]]="","",((ABS(Games[[#This Row],[MOV]])+3)^0.8)/(7.5+0.006*ABS(Games[[#This Row],[PreGmRate]]-Games[[#This Row],[OppPreGmRate]]))*IF(Games[[#This Row],[OT]]=1,0.7,1))</f>
        <v>0.82273075016654251</v>
      </c>
      <c r="AI32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7">
        <f>IF(Games[[#This Row],[Team]]="","",Games[[#This Row],[K]]*IF(Games[[#This Row],[DivG]]=1,DivMult,1)*IF(Games[[#This Row],[ConfG]]=1,ConfMult,1)*Games[[#This Row],[POMult]])</f>
        <v>39.262500000000003</v>
      </c>
      <c r="AK327">
        <f>IF(Games[[#This Row],[Team]]="","",(Games[[#This Row],[Keff]]*Games[[#This Row],[MOVMult]])*(Games[[#This Row],[Result]]-Games[[#This Row],[ExpectedWin]]))</f>
        <v>-24.386130304957149</v>
      </c>
      <c r="AL327">
        <f>IF(Games[[#This Row],[Team]]="","",Games[[#This Row],[PreGmRate]]+Games[[#This Row],[RatingChange]])</f>
        <v>1476.3391768752649</v>
      </c>
      <c r="AM327">
        <f>IF(Games[[#This Row],[Team]]="","",IF(Games[[#This Row],[Type]]="R",IF(Games[[#This Row],[Result]]&gt;0.5,1,0),0))</f>
        <v>0</v>
      </c>
      <c r="AN327">
        <f>IF(Games[[#This Row],[Team]]="","",IF(Games[[#This Row],[Type]]="R",IF(Games[[#This Row],[Result]]&lt;0.5,1,0),0))</f>
        <v>1</v>
      </c>
      <c r="AO327">
        <f>IF(Games[[#This Row],[Team]]="","",IF(Games[[#This Row],[Type]]="R",IF(Games[[#This Row],[Result]]=0.5,1,0),0))</f>
        <v>0</v>
      </c>
    </row>
    <row r="328" spans="1:41" x14ac:dyDescent="0.35">
      <c r="A328" s="8">
        <v>35386</v>
      </c>
      <c r="B328">
        <v>1996</v>
      </c>
      <c r="C328" t="s">
        <v>197</v>
      </c>
      <c r="D328" t="s">
        <v>199</v>
      </c>
      <c r="E328" t="s">
        <v>130</v>
      </c>
      <c r="F328" t="s">
        <v>140</v>
      </c>
      <c r="G328" t="s">
        <v>201</v>
      </c>
      <c r="H328">
        <v>16</v>
      </c>
      <c r="I328">
        <v>13</v>
      </c>
      <c r="J328">
        <v>1</v>
      </c>
      <c r="K32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2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2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2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28">
        <f>IF(Games[[#This Row],[Team]]="","",IF(Games[[#This Row],[Conf]]=Games[[#This Row],[OppConf]],1,0))</f>
        <v>0</v>
      </c>
      <c r="P328">
        <f>IF(Games[[#This Row],[Team]]="","",IF(AND(Games[[#This Row],[Conf]]=Games[[#This Row],[OppConf]],Games[[#This Row],[Div]]=Games[[#This Row],[OppDiv]]),1,0))</f>
        <v>0</v>
      </c>
      <c r="Q328">
        <f>IF(Games[[#This Row],[Team]]="","",_xlfn.MINIFS(Games[Date],Games[Season],Games[[#This Row],[Season]]))</f>
        <v>35309</v>
      </c>
      <c r="R328">
        <f>IF(Games[[#This Row],[Team]]="","",INT((Games[[#This Row],[Date]]-(Games[[#This Row],[SeasonStart]]-MOD(WEEKDAY(Games[[#This Row],[SeasonStart]],2)-2,7)))/7)+1)</f>
        <v>12</v>
      </c>
      <c r="S328">
        <f>IF(Games[[#This Row],[Team]]="","",COUNTIFS(Games[Team],Games[[#This Row],[Team]],Games[Season],Games[[#This Row],[Season]],Games[Week],"&lt;="&amp;Games[[#This Row],[Week]]))</f>
        <v>11</v>
      </c>
      <c r="T328">
        <f>IF(Games[[#This Row],[Team]]="","",_xlfn.MAXIFS(Games[Week],Games[Team],Games[[#This Row],[Team]],Games[Season],Games[[#This Row],[Season]],Games[Week],"&lt;"&amp;Games[[#This Row],[Week]]))</f>
        <v>11</v>
      </c>
      <c r="U328">
        <f>IF(Games[[#This Row],[Team]]="","",_xlfn.MAXIFS(Games[Week],Games[Team],Games[[#This Row],[Opponent]],Games[Season],Games[[#This Row],[Season]],Games[Week],"&lt;"&amp;Games[[#This Row],[Week]]))</f>
        <v>11</v>
      </c>
      <c r="V32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2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2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2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1463.352191949079</v>
      </c>
      <c r="Z32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1531.8289407003535</v>
      </c>
      <c r="AA32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0.30817842427884357</v>
      </c>
      <c r="AB328">
        <f>IF(Games[[#This Row],[Team]]="","",Games[[#This Row],[PointsFor]]-Games[[#This Row],[PointsAgainst]])</f>
        <v>3</v>
      </c>
      <c r="AC328">
        <f>IF(Games[[#This Row],[Team]]="","",IF(Games[[#This Row],[MOV]]&gt;0,1,IF(Games[[#This Row],[MOV]]=0,0.5,0)))</f>
        <v>1</v>
      </c>
      <c r="AD328">
        <f>IF(Games[[#This Row],[Team]]="","",--(OR(AND(Games[[#This Row],[ExpectedWin]]&gt;=0.5,Games[[#This Row],[Result]]=1),AND(Games[[#This Row],[ExpectedWin]]&lt;0.5,Games[[#This Row],[Result]]=0))))</f>
        <v>0</v>
      </c>
      <c r="AE328">
        <f>IF(Games[[#This Row],[Team]]="","",-(Games[[#This Row],[Result]]*LN(Games[[#This Row],[ExpectedWin]])+(1-Games[[#This Row],[Result]])*LN(1-Games[[#This Row],[ExpectedWin]])))</f>
        <v>1.1770763641311708</v>
      </c>
      <c r="AF328">
        <f>IF(Games[[#This Row],[Team]]="","",IF(Games[[#This Row],[Season]]&gt;=2021,17,16))</f>
        <v>16</v>
      </c>
      <c r="AG328">
        <f>IF(Games[[#This Row],[Team]]="","",KMax-(KMax-KFloor)*MIN(Games[[#This Row],[GamesPlayed]],Games[[#This Row],[SeasonLen]])/Games[[#This Row],[SeasonLen]])</f>
        <v>39.262500000000003</v>
      </c>
      <c r="AH328">
        <f>IF(Games[[#This Row],[Team]]="","",((ABS(Games[[#This Row],[MOV]])+3)^0.8)/(7.5+0.006*ABS(Games[[#This Row],[PreGmRate]]-Games[[#This Row],[OppPreGmRate]]))*IF(Games[[#This Row],[OT]]=1,0.7,1))</f>
        <v>0.37101828576302576</v>
      </c>
      <c r="AI32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8">
        <f>IF(Games[[#This Row],[Team]]="","",Games[[#This Row],[K]]*IF(Games[[#This Row],[DivG]]=1,DivMult,1)*IF(Games[[#This Row],[ConfG]]=1,ConfMult,1)*Games[[#This Row],[POMult]])</f>
        <v>39.262500000000003</v>
      </c>
      <c r="AK328">
        <f>IF(Games[[#This Row],[Team]]="","",(Games[[#This Row],[Keff]]*Games[[#This Row],[MOVMult]])*(Games[[#This Row],[Result]]-Games[[#This Row],[ExpectedWin]]))</f>
        <v>10.077837842497571</v>
      </c>
      <c r="AL328">
        <f>IF(Games[[#This Row],[Team]]="","",Games[[#This Row],[PreGmRate]]+Games[[#This Row],[RatingChange]])</f>
        <v>1473.4300297915765</v>
      </c>
      <c r="AM328">
        <f>IF(Games[[#This Row],[Team]]="","",IF(Games[[#This Row],[Type]]="R",IF(Games[[#This Row],[Result]]&gt;0.5,1,0),0))</f>
        <v>1</v>
      </c>
      <c r="AN328">
        <f>IF(Games[[#This Row],[Team]]="","",IF(Games[[#This Row],[Type]]="R",IF(Games[[#This Row],[Result]]&lt;0.5,1,0),0))</f>
        <v>0</v>
      </c>
      <c r="AO328">
        <f>IF(Games[[#This Row],[Team]]="","",IF(Games[[#This Row],[Type]]="R",IF(Games[[#This Row],[Result]]=0.5,1,0),0))</f>
        <v>0</v>
      </c>
    </row>
    <row r="329" spans="1:41" x14ac:dyDescent="0.35">
      <c r="A329" s="8">
        <v>35386</v>
      </c>
      <c r="B329">
        <v>1996</v>
      </c>
      <c r="C329" t="s">
        <v>197</v>
      </c>
      <c r="D329" t="s">
        <v>199</v>
      </c>
      <c r="E329" t="s">
        <v>140</v>
      </c>
      <c r="F329" t="s">
        <v>130</v>
      </c>
      <c r="G329" t="s">
        <v>200</v>
      </c>
      <c r="H329">
        <v>13</v>
      </c>
      <c r="I329">
        <v>16</v>
      </c>
      <c r="J329">
        <v>1</v>
      </c>
      <c r="K32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2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2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2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29">
        <f>IF(Games[[#This Row],[Team]]="","",IF(Games[[#This Row],[Conf]]=Games[[#This Row],[OppConf]],1,0))</f>
        <v>0</v>
      </c>
      <c r="P329">
        <f>IF(Games[[#This Row],[Team]]="","",IF(AND(Games[[#This Row],[Conf]]=Games[[#This Row],[OppConf]],Games[[#This Row],[Div]]=Games[[#This Row],[OppDiv]]),1,0))</f>
        <v>0</v>
      </c>
      <c r="Q329">
        <f>IF(Games[[#This Row],[Team]]="","",_xlfn.MINIFS(Games[Date],Games[Season],Games[[#This Row],[Season]]))</f>
        <v>35309</v>
      </c>
      <c r="R329">
        <f>IF(Games[[#This Row],[Team]]="","",INT((Games[[#This Row],[Date]]-(Games[[#This Row],[SeasonStart]]-MOD(WEEKDAY(Games[[#This Row],[SeasonStart]],2)-2,7)))/7)+1)</f>
        <v>12</v>
      </c>
      <c r="S329">
        <f>IF(Games[[#This Row],[Team]]="","",COUNTIFS(Games[Team],Games[[#This Row],[Team]],Games[Season],Games[[#This Row],[Season]],Games[Week],"&lt;="&amp;Games[[#This Row],[Week]]))</f>
        <v>11</v>
      </c>
      <c r="T329">
        <f>IF(Games[[#This Row],[Team]]="","",_xlfn.MAXIFS(Games[Week],Games[Team],Games[[#This Row],[Team]],Games[Season],Games[[#This Row],[Season]],Games[Week],"&lt;"&amp;Games[[#This Row],[Week]]))</f>
        <v>11</v>
      </c>
      <c r="U329">
        <f>IF(Games[[#This Row],[Team]]="","",_xlfn.MAXIFS(Games[Week],Games[Team],Games[[#This Row],[Opponent]],Games[Season],Games[[#This Row],[Season]],Games[Week],"&lt;"&amp;Games[[#This Row],[Week]]))</f>
        <v>11</v>
      </c>
      <c r="V32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2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2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2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1531.8289407003535</v>
      </c>
      <c r="Z32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1463.352191949079</v>
      </c>
      <c r="AA32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0.69182157572115643</v>
      </c>
      <c r="AB329">
        <f>IF(Games[[#This Row],[Team]]="","",Games[[#This Row],[PointsFor]]-Games[[#This Row],[PointsAgainst]])</f>
        <v>-3</v>
      </c>
      <c r="AC329">
        <f>IF(Games[[#This Row],[Team]]="","",IF(Games[[#This Row],[MOV]]&gt;0,1,IF(Games[[#This Row],[MOV]]=0,0.5,0)))</f>
        <v>0</v>
      </c>
      <c r="AD329">
        <f>IF(Games[[#This Row],[Team]]="","",--(OR(AND(Games[[#This Row],[ExpectedWin]]&gt;=0.5,Games[[#This Row],[Result]]=1),AND(Games[[#This Row],[ExpectedWin]]&lt;0.5,Games[[#This Row],[Result]]=0))))</f>
        <v>0</v>
      </c>
      <c r="AE329">
        <f>IF(Games[[#This Row],[Team]]="","",-(Games[[#This Row],[Result]]*LN(Games[[#This Row],[ExpectedWin]])+(1-Games[[#This Row],[Result]])*LN(1-Games[[#This Row],[ExpectedWin]])))</f>
        <v>1.1770763641311708</v>
      </c>
      <c r="AF329">
        <f>IF(Games[[#This Row],[Team]]="","",IF(Games[[#This Row],[Season]]&gt;=2021,17,16))</f>
        <v>16</v>
      </c>
      <c r="AG329">
        <f>IF(Games[[#This Row],[Team]]="","",KMax-(KMax-KFloor)*MIN(Games[[#This Row],[GamesPlayed]],Games[[#This Row],[SeasonLen]])/Games[[#This Row],[SeasonLen]])</f>
        <v>39.262500000000003</v>
      </c>
      <c r="AH329">
        <f>IF(Games[[#This Row],[Team]]="","",((ABS(Games[[#This Row],[MOV]])+3)^0.8)/(7.5+0.006*ABS(Games[[#This Row],[PreGmRate]]-Games[[#This Row],[OppPreGmRate]]))*IF(Games[[#This Row],[OT]]=1,0.7,1))</f>
        <v>0.37101828576302576</v>
      </c>
      <c r="AI32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9">
        <f>IF(Games[[#This Row],[Team]]="","",Games[[#This Row],[K]]*IF(Games[[#This Row],[DivG]]=1,DivMult,1)*IF(Games[[#This Row],[ConfG]]=1,ConfMult,1)*Games[[#This Row],[POMult]])</f>
        <v>39.262500000000003</v>
      </c>
      <c r="AK329">
        <f>IF(Games[[#This Row],[Team]]="","",(Games[[#This Row],[Keff]]*Games[[#This Row],[MOVMult]])*(Games[[#This Row],[Result]]-Games[[#This Row],[ExpectedWin]]))</f>
        <v>-10.077837842497571</v>
      </c>
      <c r="AL329">
        <f>IF(Games[[#This Row],[Team]]="","",Games[[#This Row],[PreGmRate]]+Games[[#This Row],[RatingChange]])</f>
        <v>1521.751102857856</v>
      </c>
      <c r="AM329">
        <f>IF(Games[[#This Row],[Team]]="","",IF(Games[[#This Row],[Type]]="R",IF(Games[[#This Row],[Result]]&gt;0.5,1,0),0))</f>
        <v>0</v>
      </c>
      <c r="AN329">
        <f>IF(Games[[#This Row],[Team]]="","",IF(Games[[#This Row],[Type]]="R",IF(Games[[#This Row],[Result]]&lt;0.5,1,0),0))</f>
        <v>1</v>
      </c>
      <c r="AO329">
        <f>IF(Games[[#This Row],[Team]]="","",IF(Games[[#This Row],[Type]]="R",IF(Games[[#This Row],[Result]]=0.5,1,0),0))</f>
        <v>0</v>
      </c>
    </row>
    <row r="330" spans="1:41" x14ac:dyDescent="0.35">
      <c r="A330" s="8">
        <v>35387</v>
      </c>
      <c r="B330">
        <v>1996</v>
      </c>
      <c r="C330" t="s">
        <v>197</v>
      </c>
      <c r="D330" t="s">
        <v>199</v>
      </c>
      <c r="E330" t="s">
        <v>114</v>
      </c>
      <c r="F330" t="s">
        <v>120</v>
      </c>
      <c r="G330" t="s">
        <v>200</v>
      </c>
      <c r="H330">
        <v>21</v>
      </c>
      <c r="I330">
        <v>6</v>
      </c>
      <c r="J330">
        <v>0</v>
      </c>
      <c r="K33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3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3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3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30">
        <f>IF(Games[[#This Row],[Team]]="","",IF(Games[[#This Row],[Conf]]=Games[[#This Row],[OppConf]],1,0))</f>
        <v>1</v>
      </c>
      <c r="P330">
        <f>IF(Games[[#This Row],[Team]]="","",IF(AND(Games[[#This Row],[Conf]]=Games[[#This Row],[OppConf]],Games[[#This Row],[Div]]=Games[[#This Row],[OppDiv]]),1,0))</f>
        <v>0</v>
      </c>
      <c r="Q330">
        <f>IF(Games[[#This Row],[Team]]="","",_xlfn.MINIFS(Games[Date],Games[Season],Games[[#This Row],[Season]]))</f>
        <v>35309</v>
      </c>
      <c r="R330">
        <f>IF(Games[[#This Row],[Team]]="","",INT((Games[[#This Row],[Date]]-(Games[[#This Row],[SeasonStart]]-MOD(WEEKDAY(Games[[#This Row],[SeasonStart]],2)-2,7)))/7)+1)</f>
        <v>12</v>
      </c>
      <c r="S330">
        <f>IF(Games[[#This Row],[Team]]="","",COUNTIFS(Games[Team],Games[[#This Row],[Team]],Games[Season],Games[[#This Row],[Season]],Games[Week],"&lt;="&amp;Games[[#This Row],[Week]]))</f>
        <v>11</v>
      </c>
      <c r="T330">
        <f>IF(Games[[#This Row],[Team]]="","",_xlfn.MAXIFS(Games[Week],Games[Team],Games[[#This Row],[Team]],Games[Season],Games[[#This Row],[Season]],Games[Week],"&lt;"&amp;Games[[#This Row],[Week]]))</f>
        <v>11</v>
      </c>
      <c r="U330">
        <f>IF(Games[[#This Row],[Team]]="","",_xlfn.MAXIFS(Games[Week],Games[Team],Games[[#This Row],[Opponent]],Games[Season],Games[[#This Row],[Season]],Games[Week],"&lt;"&amp;Games[[#This Row],[Week]]))</f>
        <v>11</v>
      </c>
      <c r="V33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33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33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3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1561.5625880558096</v>
      </c>
      <c r="Z33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1661.942809802616</v>
      </c>
      <c r="AA33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0.45924817518069905</v>
      </c>
      <c r="AB330">
        <f>IF(Games[[#This Row],[Team]]="","",Games[[#This Row],[PointsFor]]-Games[[#This Row],[PointsAgainst]])</f>
        <v>15</v>
      </c>
      <c r="AC330">
        <f>IF(Games[[#This Row],[Team]]="","",IF(Games[[#This Row],[MOV]]&gt;0,1,IF(Games[[#This Row],[MOV]]=0,0.5,0)))</f>
        <v>1</v>
      </c>
      <c r="AD330">
        <f>IF(Games[[#This Row],[Team]]="","",--(OR(AND(Games[[#This Row],[ExpectedWin]]&gt;=0.5,Games[[#This Row],[Result]]=1),AND(Games[[#This Row],[ExpectedWin]]&lt;0.5,Games[[#This Row],[Result]]=0))))</f>
        <v>0</v>
      </c>
      <c r="AE330">
        <f>IF(Games[[#This Row],[Team]]="","",-(Games[[#This Row],[Result]]*LN(Games[[#This Row],[ExpectedWin]])+(1-Games[[#This Row],[Result]])*LN(1-Games[[#This Row],[ExpectedWin]])))</f>
        <v>0.77816452837177175</v>
      </c>
      <c r="AF330">
        <f>IF(Games[[#This Row],[Team]]="","",IF(Games[[#This Row],[Season]]&gt;=2021,17,16))</f>
        <v>16</v>
      </c>
      <c r="AG330">
        <f>IF(Games[[#This Row],[Team]]="","",KMax-(KMax-KFloor)*MIN(Games[[#This Row],[GamesPlayed]],Games[[#This Row],[SeasonLen]])/Games[[#This Row],[SeasonLen]])</f>
        <v>39.262500000000003</v>
      </c>
      <c r="AH330">
        <f>IF(Games[[#This Row],[Team]]="","",((ABS(Games[[#This Row],[MOV]])+3)^0.8)/(7.5+0.006*ABS(Games[[#This Row],[PreGmRate]]-Games[[#This Row],[OppPreGmRate]]))*IF(Games[[#This Row],[OT]]=1,0.7,1))</f>
        <v>1.2462658228156764</v>
      </c>
      <c r="AI33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0">
        <f>IF(Games[[#This Row],[Team]]="","",Games[[#This Row],[K]]*IF(Games[[#This Row],[DivG]]=1,DivMult,1)*IF(Games[[#This Row],[ConfG]]=1,ConfMult,1)*Games[[#This Row],[POMult]])</f>
        <v>40.047750000000001</v>
      </c>
      <c r="AK330">
        <f>IF(Games[[#This Row],[Team]]="","",(Games[[#This Row],[Keff]]*Games[[#This Row],[MOVMult]])*(Games[[#This Row],[Result]]-Games[[#This Row],[ExpectedWin]]))</f>
        <v>26.989000420629793</v>
      </c>
      <c r="AL330">
        <f>IF(Games[[#This Row],[Team]]="","",Games[[#This Row],[PreGmRate]]+Games[[#This Row],[RatingChange]])</f>
        <v>1588.5515884764393</v>
      </c>
      <c r="AM330">
        <f>IF(Games[[#This Row],[Team]]="","",IF(Games[[#This Row],[Type]]="R",IF(Games[[#This Row],[Result]]&gt;0.5,1,0),0))</f>
        <v>1</v>
      </c>
      <c r="AN330">
        <f>IF(Games[[#This Row],[Team]]="","",IF(Games[[#This Row],[Type]]="R",IF(Games[[#This Row],[Result]]&lt;0.5,1,0),0))</f>
        <v>0</v>
      </c>
      <c r="AO330">
        <f>IF(Games[[#This Row],[Team]]="","",IF(Games[[#This Row],[Type]]="R",IF(Games[[#This Row],[Result]]=0.5,1,0),0))</f>
        <v>0</v>
      </c>
    </row>
    <row r="331" spans="1:41" x14ac:dyDescent="0.35">
      <c r="A331" s="8">
        <v>35387</v>
      </c>
      <c r="B331">
        <v>1996</v>
      </c>
      <c r="C331" t="s">
        <v>197</v>
      </c>
      <c r="D331" t="s">
        <v>199</v>
      </c>
      <c r="E331" t="s">
        <v>120</v>
      </c>
      <c r="F331" t="s">
        <v>114</v>
      </c>
      <c r="G331" t="s">
        <v>201</v>
      </c>
      <c r="H331">
        <v>6</v>
      </c>
      <c r="I331">
        <v>21</v>
      </c>
      <c r="J331">
        <v>0</v>
      </c>
      <c r="K33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3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3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3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31">
        <f>IF(Games[[#This Row],[Team]]="","",IF(Games[[#This Row],[Conf]]=Games[[#This Row],[OppConf]],1,0))</f>
        <v>1</v>
      </c>
      <c r="P331">
        <f>IF(Games[[#This Row],[Team]]="","",IF(AND(Games[[#This Row],[Conf]]=Games[[#This Row],[OppConf]],Games[[#This Row],[Div]]=Games[[#This Row],[OppDiv]]),1,0))</f>
        <v>0</v>
      </c>
      <c r="Q331">
        <f>IF(Games[[#This Row],[Team]]="","",_xlfn.MINIFS(Games[Date],Games[Season],Games[[#This Row],[Season]]))</f>
        <v>35309</v>
      </c>
      <c r="R331">
        <f>IF(Games[[#This Row],[Team]]="","",INT((Games[[#This Row],[Date]]-(Games[[#This Row],[SeasonStart]]-MOD(WEEKDAY(Games[[#This Row],[SeasonStart]],2)-2,7)))/7)+1)</f>
        <v>12</v>
      </c>
      <c r="S331">
        <f>IF(Games[[#This Row],[Team]]="","",COUNTIFS(Games[Team],Games[[#This Row],[Team]],Games[Season],Games[[#This Row],[Season]],Games[Week],"&lt;="&amp;Games[[#This Row],[Week]]))</f>
        <v>11</v>
      </c>
      <c r="T331">
        <f>IF(Games[[#This Row],[Team]]="","",_xlfn.MAXIFS(Games[Week],Games[Team],Games[[#This Row],[Team]],Games[Season],Games[[#This Row],[Season]],Games[Week],"&lt;"&amp;Games[[#This Row],[Week]]))</f>
        <v>11</v>
      </c>
      <c r="U331">
        <f>IF(Games[[#This Row],[Team]]="","",_xlfn.MAXIFS(Games[Week],Games[Team],Games[[#This Row],[Opponent]],Games[Season],Games[[#This Row],[Season]],Games[Week],"&lt;"&amp;Games[[#This Row],[Week]]))</f>
        <v>11</v>
      </c>
      <c r="V33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33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33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3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1661.942809802616</v>
      </c>
      <c r="Z33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1561.5625880558096</v>
      </c>
      <c r="AA33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0.54075182481930095</v>
      </c>
      <c r="AB331">
        <f>IF(Games[[#This Row],[Team]]="","",Games[[#This Row],[PointsFor]]-Games[[#This Row],[PointsAgainst]])</f>
        <v>-15</v>
      </c>
      <c r="AC331">
        <f>IF(Games[[#This Row],[Team]]="","",IF(Games[[#This Row],[MOV]]&gt;0,1,IF(Games[[#This Row],[MOV]]=0,0.5,0)))</f>
        <v>0</v>
      </c>
      <c r="AD331">
        <f>IF(Games[[#This Row],[Team]]="","",--(OR(AND(Games[[#This Row],[ExpectedWin]]&gt;=0.5,Games[[#This Row],[Result]]=1),AND(Games[[#This Row],[ExpectedWin]]&lt;0.5,Games[[#This Row],[Result]]=0))))</f>
        <v>0</v>
      </c>
      <c r="AE331">
        <f>IF(Games[[#This Row],[Team]]="","",-(Games[[#This Row],[Result]]*LN(Games[[#This Row],[ExpectedWin]])+(1-Games[[#This Row],[Result]])*LN(1-Games[[#This Row],[ExpectedWin]])))</f>
        <v>0.77816452837177175</v>
      </c>
      <c r="AF331">
        <f>IF(Games[[#This Row],[Team]]="","",IF(Games[[#This Row],[Season]]&gt;=2021,17,16))</f>
        <v>16</v>
      </c>
      <c r="AG331">
        <f>IF(Games[[#This Row],[Team]]="","",KMax-(KMax-KFloor)*MIN(Games[[#This Row],[GamesPlayed]],Games[[#This Row],[SeasonLen]])/Games[[#This Row],[SeasonLen]])</f>
        <v>39.262500000000003</v>
      </c>
      <c r="AH331">
        <f>IF(Games[[#This Row],[Team]]="","",((ABS(Games[[#This Row],[MOV]])+3)^0.8)/(7.5+0.006*ABS(Games[[#This Row],[PreGmRate]]-Games[[#This Row],[OppPreGmRate]]))*IF(Games[[#This Row],[OT]]=1,0.7,1))</f>
        <v>1.2462658228156764</v>
      </c>
      <c r="AI33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1">
        <f>IF(Games[[#This Row],[Team]]="","",Games[[#This Row],[K]]*IF(Games[[#This Row],[DivG]]=1,DivMult,1)*IF(Games[[#This Row],[ConfG]]=1,ConfMult,1)*Games[[#This Row],[POMult]])</f>
        <v>40.047750000000001</v>
      </c>
      <c r="AK331">
        <f>IF(Games[[#This Row],[Team]]="","",(Games[[#This Row],[Keff]]*Games[[#This Row],[MOVMult]])*(Games[[#This Row],[Result]]-Games[[#This Row],[ExpectedWin]]))</f>
        <v>-26.989000420629793</v>
      </c>
      <c r="AL331">
        <f>IF(Games[[#This Row],[Team]]="","",Games[[#This Row],[PreGmRate]]+Games[[#This Row],[RatingChange]])</f>
        <v>1634.9538093819863</v>
      </c>
      <c r="AM331">
        <f>IF(Games[[#This Row],[Team]]="","",IF(Games[[#This Row],[Type]]="R",IF(Games[[#This Row],[Result]]&gt;0.5,1,0),0))</f>
        <v>0</v>
      </c>
      <c r="AN331">
        <f>IF(Games[[#This Row],[Team]]="","",IF(Games[[#This Row],[Type]]="R",IF(Games[[#This Row],[Result]]&lt;0.5,1,0),0))</f>
        <v>1</v>
      </c>
      <c r="AO331">
        <f>IF(Games[[#This Row],[Team]]="","",IF(Games[[#This Row],[Type]]="R",IF(Games[[#This Row],[Result]]=0.5,1,0),0))</f>
        <v>0</v>
      </c>
    </row>
    <row r="332" spans="1:41" x14ac:dyDescent="0.35">
      <c r="A332" s="8">
        <v>35393</v>
      </c>
      <c r="B332">
        <v>1996</v>
      </c>
      <c r="C332" t="s">
        <v>197</v>
      </c>
      <c r="D332" t="s">
        <v>199</v>
      </c>
      <c r="E332" t="s">
        <v>112</v>
      </c>
      <c r="F332" t="s">
        <v>98</v>
      </c>
      <c r="G332" t="s">
        <v>200</v>
      </c>
      <c r="H332">
        <v>41</v>
      </c>
      <c r="I332">
        <v>31</v>
      </c>
      <c r="J332">
        <v>0</v>
      </c>
      <c r="K33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3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3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3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32">
        <f>IF(Games[[#This Row],[Team]]="","",IF(Games[[#This Row],[Conf]]=Games[[#This Row],[OppConf]],1,0))</f>
        <v>0</v>
      </c>
      <c r="P332">
        <f>IF(Games[[#This Row],[Team]]="","",IF(AND(Games[[#This Row],[Conf]]=Games[[#This Row],[OppConf]],Games[[#This Row],[Div]]=Games[[#This Row],[OppDiv]]),1,0))</f>
        <v>0</v>
      </c>
      <c r="Q332">
        <f>IF(Games[[#This Row],[Team]]="","",_xlfn.MINIFS(Games[Date],Games[Season],Games[[#This Row],[Season]]))</f>
        <v>35309</v>
      </c>
      <c r="R332">
        <f>IF(Games[[#This Row],[Team]]="","",INT((Games[[#This Row],[Date]]-(Games[[#This Row],[SeasonStart]]-MOD(WEEKDAY(Games[[#This Row],[SeasonStart]],2)-2,7)))/7)+1)</f>
        <v>13</v>
      </c>
      <c r="S332">
        <f>IF(Games[[#This Row],[Team]]="","",COUNTIFS(Games[Team],Games[[#This Row],[Team]],Games[Season],Games[[#This Row],[Season]],Games[Week],"&lt;="&amp;Games[[#This Row],[Week]]))</f>
        <v>12</v>
      </c>
      <c r="T332">
        <f>IF(Games[[#This Row],[Team]]="","",_xlfn.MAXIFS(Games[Week],Games[Team],Games[[#This Row],[Team]],Games[Season],Games[[#This Row],[Season]],Games[Week],"&lt;"&amp;Games[[#This Row],[Week]]))</f>
        <v>12</v>
      </c>
      <c r="U332">
        <f>IF(Games[[#This Row],[Team]]="","",_xlfn.MAXIFS(Games[Week],Games[Team],Games[[#This Row],[Opponent]],Games[Season],Games[[#This Row],[Season]],Games[Week],"&lt;"&amp;Games[[#This Row],[Week]]))</f>
        <v>12</v>
      </c>
      <c r="V33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3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3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3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1482.3444893412293</v>
      </c>
      <c r="Z33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1336.7908944065675</v>
      </c>
      <c r="AA33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0.77770451857299616</v>
      </c>
      <c r="AB332">
        <f>IF(Games[[#This Row],[Team]]="","",Games[[#This Row],[PointsFor]]-Games[[#This Row],[PointsAgainst]])</f>
        <v>10</v>
      </c>
      <c r="AC332">
        <f>IF(Games[[#This Row],[Team]]="","",IF(Games[[#This Row],[MOV]]&gt;0,1,IF(Games[[#This Row],[MOV]]=0,0.5,0)))</f>
        <v>1</v>
      </c>
      <c r="AD332">
        <f>IF(Games[[#This Row],[Team]]="","",--(OR(AND(Games[[#This Row],[ExpectedWin]]&gt;=0.5,Games[[#This Row],[Result]]=1),AND(Games[[#This Row],[ExpectedWin]]&lt;0.5,Games[[#This Row],[Result]]=0))))</f>
        <v>1</v>
      </c>
      <c r="AE332">
        <f>IF(Games[[#This Row],[Team]]="","",-(Games[[#This Row],[Result]]*LN(Games[[#This Row],[ExpectedWin]])+(1-Games[[#This Row],[Result]])*LN(1-Games[[#This Row],[ExpectedWin]])))</f>
        <v>0.25140862312324874</v>
      </c>
      <c r="AF332">
        <f>IF(Games[[#This Row],[Team]]="","",IF(Games[[#This Row],[Season]]&gt;=2021,17,16))</f>
        <v>16</v>
      </c>
      <c r="AG332">
        <f>IF(Games[[#This Row],[Team]]="","",KMax-(KMax-KFloor)*MIN(Games[[#This Row],[GamesPlayed]],Games[[#This Row],[SeasonLen]])/Games[[#This Row],[SeasonLen]])</f>
        <v>38.650000000000006</v>
      </c>
      <c r="AH332">
        <f>IF(Games[[#This Row],[Team]]="","",((ABS(Games[[#This Row],[MOV]])+3)^0.8)/(7.5+0.006*ABS(Games[[#This Row],[PreGmRate]]-Games[[#This Row],[OppPreGmRate]]))*IF(Games[[#This Row],[OT]]=1,0.7,1))</f>
        <v>0.92951608956347165</v>
      </c>
      <c r="AI33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2">
        <f>IF(Games[[#This Row],[Team]]="","",Games[[#This Row],[K]]*IF(Games[[#This Row],[DivG]]=1,DivMult,1)*IF(Games[[#This Row],[ConfG]]=1,ConfMult,1)*Games[[#This Row],[POMult]])</f>
        <v>38.650000000000006</v>
      </c>
      <c r="AK332">
        <f>IF(Games[[#This Row],[Team]]="","",(Games[[#This Row],[Keff]]*Games[[#This Row],[MOVMult]])*(Games[[#This Row],[Result]]-Games[[#This Row],[ExpectedWin]]))</f>
        <v>7.9861423090043813</v>
      </c>
      <c r="AL332">
        <f>IF(Games[[#This Row],[Team]]="","",Games[[#This Row],[PreGmRate]]+Games[[#This Row],[RatingChange]])</f>
        <v>1490.3306316502337</v>
      </c>
      <c r="AM332">
        <f>IF(Games[[#This Row],[Team]]="","",IF(Games[[#This Row],[Type]]="R",IF(Games[[#This Row],[Result]]&gt;0.5,1,0),0))</f>
        <v>1</v>
      </c>
      <c r="AN332">
        <f>IF(Games[[#This Row],[Team]]="","",IF(Games[[#This Row],[Type]]="R",IF(Games[[#This Row],[Result]]&lt;0.5,1,0),0))</f>
        <v>0</v>
      </c>
      <c r="AO332">
        <f>IF(Games[[#This Row],[Team]]="","",IF(Games[[#This Row],[Type]]="R",IF(Games[[#This Row],[Result]]=0.5,1,0),0))</f>
        <v>0</v>
      </c>
    </row>
    <row r="333" spans="1:41" x14ac:dyDescent="0.35">
      <c r="A333" s="8">
        <v>35393</v>
      </c>
      <c r="B333">
        <v>1996</v>
      </c>
      <c r="C333" t="s">
        <v>197</v>
      </c>
      <c r="D333" t="s">
        <v>199</v>
      </c>
      <c r="E333" t="s">
        <v>98</v>
      </c>
      <c r="F333" t="s">
        <v>112</v>
      </c>
      <c r="G333" t="s">
        <v>201</v>
      </c>
      <c r="H333">
        <v>31</v>
      </c>
      <c r="I333">
        <v>41</v>
      </c>
      <c r="J333">
        <v>0</v>
      </c>
      <c r="K33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3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3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3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33">
        <f>IF(Games[[#This Row],[Team]]="","",IF(Games[[#This Row],[Conf]]=Games[[#This Row],[OppConf]],1,0))</f>
        <v>0</v>
      </c>
      <c r="P333">
        <f>IF(Games[[#This Row],[Team]]="","",IF(AND(Games[[#This Row],[Conf]]=Games[[#This Row],[OppConf]],Games[[#This Row],[Div]]=Games[[#This Row],[OppDiv]]),1,0))</f>
        <v>0</v>
      </c>
      <c r="Q333">
        <f>IF(Games[[#This Row],[Team]]="","",_xlfn.MINIFS(Games[Date],Games[Season],Games[[#This Row],[Season]]))</f>
        <v>35309</v>
      </c>
      <c r="R333">
        <f>IF(Games[[#This Row],[Team]]="","",INT((Games[[#This Row],[Date]]-(Games[[#This Row],[SeasonStart]]-MOD(WEEKDAY(Games[[#This Row],[SeasonStart]],2)-2,7)))/7)+1)</f>
        <v>13</v>
      </c>
      <c r="S333">
        <f>IF(Games[[#This Row],[Team]]="","",COUNTIFS(Games[Team],Games[[#This Row],[Team]],Games[Season],Games[[#This Row],[Season]],Games[Week],"&lt;="&amp;Games[[#This Row],[Week]]))</f>
        <v>12</v>
      </c>
      <c r="T333">
        <f>IF(Games[[#This Row],[Team]]="","",_xlfn.MAXIFS(Games[Week],Games[Team],Games[[#This Row],[Team]],Games[Season],Games[[#This Row],[Season]],Games[Week],"&lt;"&amp;Games[[#This Row],[Week]]))</f>
        <v>12</v>
      </c>
      <c r="U333">
        <f>IF(Games[[#This Row],[Team]]="","",_xlfn.MAXIFS(Games[Week],Games[Team],Games[[#This Row],[Opponent]],Games[Season],Games[[#This Row],[Season]],Games[Week],"&lt;"&amp;Games[[#This Row],[Week]]))</f>
        <v>12</v>
      </c>
      <c r="V33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3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3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3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1336.7908944065675</v>
      </c>
      <c r="Z33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1482.3444893412293</v>
      </c>
      <c r="AA33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0.22229548142700384</v>
      </c>
      <c r="AB333">
        <f>IF(Games[[#This Row],[Team]]="","",Games[[#This Row],[PointsFor]]-Games[[#This Row],[PointsAgainst]])</f>
        <v>-10</v>
      </c>
      <c r="AC333">
        <f>IF(Games[[#This Row],[Team]]="","",IF(Games[[#This Row],[MOV]]&gt;0,1,IF(Games[[#This Row],[MOV]]=0,0.5,0)))</f>
        <v>0</v>
      </c>
      <c r="AD333">
        <f>IF(Games[[#This Row],[Team]]="","",--(OR(AND(Games[[#This Row],[ExpectedWin]]&gt;=0.5,Games[[#This Row],[Result]]=1),AND(Games[[#This Row],[ExpectedWin]]&lt;0.5,Games[[#This Row],[Result]]=0))))</f>
        <v>1</v>
      </c>
      <c r="AE333">
        <f>IF(Games[[#This Row],[Team]]="","",-(Games[[#This Row],[Result]]*LN(Games[[#This Row],[ExpectedWin]])+(1-Games[[#This Row],[Result]])*LN(1-Games[[#This Row],[ExpectedWin]])))</f>
        <v>0.25140862312324874</v>
      </c>
      <c r="AF333">
        <f>IF(Games[[#This Row],[Team]]="","",IF(Games[[#This Row],[Season]]&gt;=2021,17,16))</f>
        <v>16</v>
      </c>
      <c r="AG333">
        <f>IF(Games[[#This Row],[Team]]="","",KMax-(KMax-KFloor)*MIN(Games[[#This Row],[GamesPlayed]],Games[[#This Row],[SeasonLen]])/Games[[#This Row],[SeasonLen]])</f>
        <v>38.650000000000006</v>
      </c>
      <c r="AH333">
        <f>IF(Games[[#This Row],[Team]]="","",((ABS(Games[[#This Row],[MOV]])+3)^0.8)/(7.5+0.006*ABS(Games[[#This Row],[PreGmRate]]-Games[[#This Row],[OppPreGmRate]]))*IF(Games[[#This Row],[OT]]=1,0.7,1))</f>
        <v>0.92951608956347165</v>
      </c>
      <c r="AI33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3">
        <f>IF(Games[[#This Row],[Team]]="","",Games[[#This Row],[K]]*IF(Games[[#This Row],[DivG]]=1,DivMult,1)*IF(Games[[#This Row],[ConfG]]=1,ConfMult,1)*Games[[#This Row],[POMult]])</f>
        <v>38.650000000000006</v>
      </c>
      <c r="AK333">
        <f>IF(Games[[#This Row],[Team]]="","",(Games[[#This Row],[Keff]]*Games[[#This Row],[MOVMult]])*(Games[[#This Row],[Result]]-Games[[#This Row],[ExpectedWin]]))</f>
        <v>-7.9861423090043813</v>
      </c>
      <c r="AL333">
        <f>IF(Games[[#This Row],[Team]]="","",Games[[#This Row],[PreGmRate]]+Games[[#This Row],[RatingChange]])</f>
        <v>1328.8047520975631</v>
      </c>
      <c r="AM333">
        <f>IF(Games[[#This Row],[Team]]="","",IF(Games[[#This Row],[Type]]="R",IF(Games[[#This Row],[Result]]&gt;0.5,1,0),0))</f>
        <v>0</v>
      </c>
      <c r="AN333">
        <f>IF(Games[[#This Row],[Team]]="","",IF(Games[[#This Row],[Type]]="R",IF(Games[[#This Row],[Result]]&lt;0.5,1,0),0))</f>
        <v>1</v>
      </c>
      <c r="AO333">
        <f>IF(Games[[#This Row],[Team]]="","",IF(Games[[#This Row],[Type]]="R",IF(Games[[#This Row],[Result]]=0.5,1,0),0))</f>
        <v>0</v>
      </c>
    </row>
    <row r="334" spans="1:41" x14ac:dyDescent="0.35">
      <c r="A334" s="8">
        <v>35393</v>
      </c>
      <c r="B334">
        <v>1996</v>
      </c>
      <c r="C334" t="s">
        <v>197</v>
      </c>
      <c r="D334" t="s">
        <v>199</v>
      </c>
      <c r="E334" t="s">
        <v>106</v>
      </c>
      <c r="F334" t="s">
        <v>138</v>
      </c>
      <c r="G334" t="s">
        <v>200</v>
      </c>
      <c r="H334">
        <v>35</v>
      </c>
      <c r="I334">
        <v>10</v>
      </c>
      <c r="J334">
        <v>0</v>
      </c>
      <c r="K33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3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3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3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34">
        <f>IF(Games[[#This Row],[Team]]="","",IF(Games[[#This Row],[Conf]]=Games[[#This Row],[OppConf]],1,0))</f>
        <v>1</v>
      </c>
      <c r="P334">
        <f>IF(Games[[#This Row],[Team]]="","",IF(AND(Games[[#This Row],[Conf]]=Games[[#This Row],[OppConf]],Games[[#This Row],[Div]]=Games[[#This Row],[OppDiv]]),1,0))</f>
        <v>1</v>
      </c>
      <c r="Q334">
        <f>IF(Games[[#This Row],[Team]]="","",_xlfn.MINIFS(Games[Date],Games[Season],Games[[#This Row],[Season]]))</f>
        <v>35309</v>
      </c>
      <c r="R334">
        <f>IF(Games[[#This Row],[Team]]="","",INT((Games[[#This Row],[Date]]-(Games[[#This Row],[SeasonStart]]-MOD(WEEKDAY(Games[[#This Row],[SeasonStart]],2)-2,7)))/7)+1)</f>
        <v>13</v>
      </c>
      <c r="S334">
        <f>IF(Games[[#This Row],[Team]]="","",COUNTIFS(Games[Team],Games[[#This Row],[Team]],Games[Season],Games[[#This Row],[Season]],Games[Week],"&lt;="&amp;Games[[#This Row],[Week]]))</f>
        <v>12</v>
      </c>
      <c r="T334">
        <f>IF(Games[[#This Row],[Team]]="","",_xlfn.MAXIFS(Games[Week],Games[Team],Games[[#This Row],[Team]],Games[Season],Games[[#This Row],[Season]],Games[Week],"&lt;"&amp;Games[[#This Row],[Week]]))</f>
        <v>12</v>
      </c>
      <c r="U334">
        <f>IF(Games[[#This Row],[Team]]="","",_xlfn.MAXIFS(Games[Week],Games[Team],Games[[#This Row],[Opponent]],Games[Season],Games[[#This Row],[Season]],Games[Week],"&lt;"&amp;Games[[#This Row],[Week]]))</f>
        <v>12</v>
      </c>
      <c r="V33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3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3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3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1563.0065918637861</v>
      </c>
      <c r="Z33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1350.6596982315625</v>
      </c>
      <c r="AA33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0.83710344645589063</v>
      </c>
      <c r="AB334">
        <f>IF(Games[[#This Row],[Team]]="","",Games[[#This Row],[PointsFor]]-Games[[#This Row],[PointsAgainst]])</f>
        <v>25</v>
      </c>
      <c r="AC334">
        <f>IF(Games[[#This Row],[Team]]="","",IF(Games[[#This Row],[MOV]]&gt;0,1,IF(Games[[#This Row],[MOV]]=0,0.5,0)))</f>
        <v>1</v>
      </c>
      <c r="AD334">
        <f>IF(Games[[#This Row],[Team]]="","",--(OR(AND(Games[[#This Row],[ExpectedWin]]&gt;=0.5,Games[[#This Row],[Result]]=1),AND(Games[[#This Row],[ExpectedWin]]&lt;0.5,Games[[#This Row],[Result]]=0))))</f>
        <v>1</v>
      </c>
      <c r="AE334">
        <f>IF(Games[[#This Row],[Team]]="","",-(Games[[#This Row],[Result]]*LN(Games[[#This Row],[ExpectedWin]])+(1-Games[[#This Row],[Result]])*LN(1-Games[[#This Row],[ExpectedWin]])))</f>
        <v>0.17780762418699497</v>
      </c>
      <c r="AF334">
        <f>IF(Games[[#This Row],[Team]]="","",IF(Games[[#This Row],[Season]]&gt;=2021,17,16))</f>
        <v>16</v>
      </c>
      <c r="AG334">
        <f>IF(Games[[#This Row],[Team]]="","",KMax-(KMax-KFloor)*MIN(Games[[#This Row],[GamesPlayed]],Games[[#This Row],[SeasonLen]])/Games[[#This Row],[SeasonLen]])</f>
        <v>38.650000000000006</v>
      </c>
      <c r="AH334">
        <f>IF(Games[[#This Row],[Team]]="","",((ABS(Games[[#This Row],[MOV]])+3)^0.8)/(7.5+0.006*ABS(Games[[#This Row],[PreGmRate]]-Games[[#This Row],[OppPreGmRate]]))*IF(Games[[#This Row],[OT]]=1,0.7,1))</f>
        <v>1.6387955190230883</v>
      </c>
      <c r="AI33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4">
        <f>IF(Games[[#This Row],[Team]]="","",Games[[#This Row],[K]]*IF(Games[[#This Row],[DivG]]=1,DivMult,1)*IF(Games[[#This Row],[ConfG]]=1,ConfMult,1)*Games[[#This Row],[POMult]])</f>
        <v>43.365300000000012</v>
      </c>
      <c r="AK334">
        <f>IF(Games[[#This Row],[Team]]="","",(Games[[#This Row],[Keff]]*Games[[#This Row],[MOVMult]])*(Games[[#This Row],[Result]]-Games[[#This Row],[ExpectedWin]]))</f>
        <v>11.576546454609943</v>
      </c>
      <c r="AL334">
        <f>IF(Games[[#This Row],[Team]]="","",Games[[#This Row],[PreGmRate]]+Games[[#This Row],[RatingChange]])</f>
        <v>1574.5831383183961</v>
      </c>
      <c r="AM334">
        <f>IF(Games[[#This Row],[Team]]="","",IF(Games[[#This Row],[Type]]="R",IF(Games[[#This Row],[Result]]&gt;0.5,1,0),0))</f>
        <v>1</v>
      </c>
      <c r="AN334">
        <f>IF(Games[[#This Row],[Team]]="","",IF(Games[[#This Row],[Type]]="R",IF(Games[[#This Row],[Result]]&lt;0.5,1,0),0))</f>
        <v>0</v>
      </c>
      <c r="AO334">
        <f>IF(Games[[#This Row],[Team]]="","",IF(Games[[#This Row],[Type]]="R",IF(Games[[#This Row],[Result]]=0.5,1,0),0))</f>
        <v>0</v>
      </c>
    </row>
    <row r="335" spans="1:41" x14ac:dyDescent="0.35">
      <c r="A335" s="8">
        <v>35393</v>
      </c>
      <c r="B335">
        <v>1996</v>
      </c>
      <c r="C335" t="s">
        <v>197</v>
      </c>
      <c r="D335" t="s">
        <v>199</v>
      </c>
      <c r="E335" t="s">
        <v>138</v>
      </c>
      <c r="F335" t="s">
        <v>106</v>
      </c>
      <c r="G335" t="s">
        <v>201</v>
      </c>
      <c r="H335">
        <v>10</v>
      </c>
      <c r="I335">
        <v>35</v>
      </c>
      <c r="J335">
        <v>0</v>
      </c>
      <c r="K33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3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3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3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35">
        <f>IF(Games[[#This Row],[Team]]="","",IF(Games[[#This Row],[Conf]]=Games[[#This Row],[OppConf]],1,0))</f>
        <v>1</v>
      </c>
      <c r="P335">
        <f>IF(Games[[#This Row],[Team]]="","",IF(AND(Games[[#This Row],[Conf]]=Games[[#This Row],[OppConf]],Games[[#This Row],[Div]]=Games[[#This Row],[OppDiv]]),1,0))</f>
        <v>1</v>
      </c>
      <c r="Q335">
        <f>IF(Games[[#This Row],[Team]]="","",_xlfn.MINIFS(Games[Date],Games[Season],Games[[#This Row],[Season]]))</f>
        <v>35309</v>
      </c>
      <c r="R335">
        <f>IF(Games[[#This Row],[Team]]="","",INT((Games[[#This Row],[Date]]-(Games[[#This Row],[SeasonStart]]-MOD(WEEKDAY(Games[[#This Row],[SeasonStart]],2)-2,7)))/7)+1)</f>
        <v>13</v>
      </c>
      <c r="S335">
        <f>IF(Games[[#This Row],[Team]]="","",COUNTIFS(Games[Team],Games[[#This Row],[Team]],Games[Season],Games[[#This Row],[Season]],Games[Week],"&lt;="&amp;Games[[#This Row],[Week]]))</f>
        <v>12</v>
      </c>
      <c r="T335">
        <f>IF(Games[[#This Row],[Team]]="","",_xlfn.MAXIFS(Games[Week],Games[Team],Games[[#This Row],[Team]],Games[Season],Games[[#This Row],[Season]],Games[Week],"&lt;"&amp;Games[[#This Row],[Week]]))</f>
        <v>12</v>
      </c>
      <c r="U335">
        <f>IF(Games[[#This Row],[Team]]="","",_xlfn.MAXIFS(Games[Week],Games[Team],Games[[#This Row],[Opponent]],Games[Season],Games[[#This Row],[Season]],Games[Week],"&lt;"&amp;Games[[#This Row],[Week]]))</f>
        <v>12</v>
      </c>
      <c r="V33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3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3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3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1350.6596982315625</v>
      </c>
      <c r="Z33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1563.0065918637861</v>
      </c>
      <c r="AA33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0.16289655354410934</v>
      </c>
      <c r="AB335">
        <f>IF(Games[[#This Row],[Team]]="","",Games[[#This Row],[PointsFor]]-Games[[#This Row],[PointsAgainst]])</f>
        <v>-25</v>
      </c>
      <c r="AC335">
        <f>IF(Games[[#This Row],[Team]]="","",IF(Games[[#This Row],[MOV]]&gt;0,1,IF(Games[[#This Row],[MOV]]=0,0.5,0)))</f>
        <v>0</v>
      </c>
      <c r="AD335">
        <f>IF(Games[[#This Row],[Team]]="","",--(OR(AND(Games[[#This Row],[ExpectedWin]]&gt;=0.5,Games[[#This Row],[Result]]=1),AND(Games[[#This Row],[ExpectedWin]]&lt;0.5,Games[[#This Row],[Result]]=0))))</f>
        <v>1</v>
      </c>
      <c r="AE335">
        <f>IF(Games[[#This Row],[Team]]="","",-(Games[[#This Row],[Result]]*LN(Games[[#This Row],[ExpectedWin]])+(1-Games[[#This Row],[Result]])*LN(1-Games[[#This Row],[ExpectedWin]])))</f>
        <v>0.17780762418699497</v>
      </c>
      <c r="AF335">
        <f>IF(Games[[#This Row],[Team]]="","",IF(Games[[#This Row],[Season]]&gt;=2021,17,16))</f>
        <v>16</v>
      </c>
      <c r="AG335">
        <f>IF(Games[[#This Row],[Team]]="","",KMax-(KMax-KFloor)*MIN(Games[[#This Row],[GamesPlayed]],Games[[#This Row],[SeasonLen]])/Games[[#This Row],[SeasonLen]])</f>
        <v>38.650000000000006</v>
      </c>
      <c r="AH335">
        <f>IF(Games[[#This Row],[Team]]="","",((ABS(Games[[#This Row],[MOV]])+3)^0.8)/(7.5+0.006*ABS(Games[[#This Row],[PreGmRate]]-Games[[#This Row],[OppPreGmRate]]))*IF(Games[[#This Row],[OT]]=1,0.7,1))</f>
        <v>1.6387955190230883</v>
      </c>
      <c r="AI33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5">
        <f>IF(Games[[#This Row],[Team]]="","",Games[[#This Row],[K]]*IF(Games[[#This Row],[DivG]]=1,DivMult,1)*IF(Games[[#This Row],[ConfG]]=1,ConfMult,1)*Games[[#This Row],[POMult]])</f>
        <v>43.365300000000012</v>
      </c>
      <c r="AK335">
        <f>IF(Games[[#This Row],[Team]]="","",(Games[[#This Row],[Keff]]*Games[[#This Row],[MOVMult]])*(Games[[#This Row],[Result]]-Games[[#This Row],[ExpectedWin]]))</f>
        <v>-11.576546454609941</v>
      </c>
      <c r="AL335">
        <f>IF(Games[[#This Row],[Team]]="","",Games[[#This Row],[PreGmRate]]+Games[[#This Row],[RatingChange]])</f>
        <v>1339.0831517769525</v>
      </c>
      <c r="AM335">
        <f>IF(Games[[#This Row],[Team]]="","",IF(Games[[#This Row],[Type]]="R",IF(Games[[#This Row],[Result]]&gt;0.5,1,0),0))</f>
        <v>0</v>
      </c>
      <c r="AN335">
        <f>IF(Games[[#This Row],[Team]]="","",IF(Games[[#This Row],[Type]]="R",IF(Games[[#This Row],[Result]]&lt;0.5,1,0),0))</f>
        <v>1</v>
      </c>
      <c r="AO335">
        <f>IF(Games[[#This Row],[Team]]="","",IF(Games[[#This Row],[Type]]="R",IF(Games[[#This Row],[Result]]=0.5,1,0),0))</f>
        <v>0</v>
      </c>
    </row>
    <row r="336" spans="1:41" x14ac:dyDescent="0.35">
      <c r="A336" s="8">
        <v>35393</v>
      </c>
      <c r="B336">
        <v>1996</v>
      </c>
      <c r="C336" t="s">
        <v>197</v>
      </c>
      <c r="D336" t="s">
        <v>199</v>
      </c>
      <c r="E336" t="s">
        <v>108</v>
      </c>
      <c r="F336" t="s">
        <v>153</v>
      </c>
      <c r="G336" t="s">
        <v>201</v>
      </c>
      <c r="H336">
        <v>31</v>
      </c>
      <c r="I336">
        <v>6</v>
      </c>
      <c r="J336">
        <v>0</v>
      </c>
      <c r="K33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3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3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3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36">
        <f>IF(Games[[#This Row],[Team]]="","",IF(Games[[#This Row],[Conf]]=Games[[#This Row],[OppConf]],1,0))</f>
        <v>0</v>
      </c>
      <c r="P336">
        <f>IF(Games[[#This Row],[Team]]="","",IF(AND(Games[[#This Row],[Conf]]=Games[[#This Row],[OppConf]],Games[[#This Row],[Div]]=Games[[#This Row],[OppDiv]]),1,0))</f>
        <v>0</v>
      </c>
      <c r="Q336">
        <f>IF(Games[[#This Row],[Team]]="","",_xlfn.MINIFS(Games[Date],Games[Season],Games[[#This Row],[Season]]))</f>
        <v>35309</v>
      </c>
      <c r="R336">
        <f>IF(Games[[#This Row],[Team]]="","",INT((Games[[#This Row],[Date]]-(Games[[#This Row],[SeasonStart]]-MOD(WEEKDAY(Games[[#This Row],[SeasonStart]],2)-2,7)))/7)+1)</f>
        <v>13</v>
      </c>
      <c r="S336">
        <f>IF(Games[[#This Row],[Team]]="","",COUNTIFS(Games[Team],Games[[#This Row],[Team]],Games[Season],Games[[#This Row],[Season]],Games[Week],"&lt;="&amp;Games[[#This Row],[Week]]))</f>
        <v>12</v>
      </c>
      <c r="T336">
        <f>IF(Games[[#This Row],[Team]]="","",_xlfn.MAXIFS(Games[Week],Games[Team],Games[[#This Row],[Team]],Games[Season],Games[[#This Row],[Season]],Games[Week],"&lt;"&amp;Games[[#This Row],[Week]]))</f>
        <v>12</v>
      </c>
      <c r="U336">
        <f>IF(Games[[#This Row],[Team]]="","",_xlfn.MAXIFS(Games[Week],Games[Team],Games[[#This Row],[Opponent]],Games[Season],Games[[#This Row],[Season]],Games[Week],"&lt;"&amp;Games[[#This Row],[Week]]))</f>
        <v>12</v>
      </c>
      <c r="V33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3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3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3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1576.4672399446433</v>
      </c>
      <c r="Z33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1542.3188350666007</v>
      </c>
      <c r="AA33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0.4457416729780736</v>
      </c>
      <c r="AB336">
        <f>IF(Games[[#This Row],[Team]]="","",Games[[#This Row],[PointsFor]]-Games[[#This Row],[PointsAgainst]])</f>
        <v>25</v>
      </c>
      <c r="AC336">
        <f>IF(Games[[#This Row],[Team]]="","",IF(Games[[#This Row],[MOV]]&gt;0,1,IF(Games[[#This Row],[MOV]]=0,0.5,0)))</f>
        <v>1</v>
      </c>
      <c r="AD336">
        <f>IF(Games[[#This Row],[Team]]="","",--(OR(AND(Games[[#This Row],[ExpectedWin]]&gt;=0.5,Games[[#This Row],[Result]]=1),AND(Games[[#This Row],[ExpectedWin]]&lt;0.5,Games[[#This Row],[Result]]=0))))</f>
        <v>0</v>
      </c>
      <c r="AE336">
        <f>IF(Games[[#This Row],[Team]]="","",-(Games[[#This Row],[Result]]*LN(Games[[#This Row],[ExpectedWin]])+(1-Games[[#This Row],[Result]])*LN(1-Games[[#This Row],[ExpectedWin]])))</f>
        <v>0.80801570333749773</v>
      </c>
      <c r="AF336">
        <f>IF(Games[[#This Row],[Team]]="","",IF(Games[[#This Row],[Season]]&gt;=2021,17,16))</f>
        <v>16</v>
      </c>
      <c r="AG336">
        <f>IF(Games[[#This Row],[Team]]="","",KMax-(KMax-KFloor)*MIN(Games[[#This Row],[GamesPlayed]],Games[[#This Row],[SeasonLen]])/Games[[#This Row],[SeasonLen]])</f>
        <v>38.650000000000006</v>
      </c>
      <c r="AH336">
        <f>IF(Games[[#This Row],[Team]]="","",((ABS(Games[[#This Row],[MOV]])+3)^0.8)/(7.5+0.006*ABS(Games[[#This Row],[PreGmRate]]-Games[[#This Row],[OppPreGmRate]]))*IF(Games[[#This Row],[OT]]=1,0.7,1))</f>
        <v>1.8662076185574661</v>
      </c>
      <c r="AI33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6">
        <f>IF(Games[[#This Row],[Team]]="","",Games[[#This Row],[K]]*IF(Games[[#This Row],[DivG]]=1,DivMult,1)*IF(Games[[#This Row],[ConfG]]=1,ConfMult,1)*Games[[#This Row],[POMult]])</f>
        <v>38.650000000000006</v>
      </c>
      <c r="AK336">
        <f>IF(Games[[#This Row],[Team]]="","",(Games[[#This Row],[Keff]]*Games[[#This Row],[MOVMult]])*(Games[[#This Row],[Result]]-Games[[#This Row],[ExpectedWin]]))</f>
        <v>39.978056999564117</v>
      </c>
      <c r="AL336">
        <f>IF(Games[[#This Row],[Team]]="","",Games[[#This Row],[PreGmRate]]+Games[[#This Row],[RatingChange]])</f>
        <v>1616.4452969442075</v>
      </c>
      <c r="AM336">
        <f>IF(Games[[#This Row],[Team]]="","",IF(Games[[#This Row],[Type]]="R",IF(Games[[#This Row],[Result]]&gt;0.5,1,0),0))</f>
        <v>1</v>
      </c>
      <c r="AN336">
        <f>IF(Games[[#This Row],[Team]]="","",IF(Games[[#This Row],[Type]]="R",IF(Games[[#This Row],[Result]]&lt;0.5,1,0),0))</f>
        <v>0</v>
      </c>
      <c r="AO336">
        <f>IF(Games[[#This Row],[Team]]="","",IF(Games[[#This Row],[Type]]="R",IF(Games[[#This Row],[Result]]=0.5,1,0),0))</f>
        <v>0</v>
      </c>
    </row>
    <row r="337" spans="1:41" x14ac:dyDescent="0.35">
      <c r="A337" s="8">
        <v>35393</v>
      </c>
      <c r="B337">
        <v>1996</v>
      </c>
      <c r="C337" t="s">
        <v>197</v>
      </c>
      <c r="D337" t="s">
        <v>199</v>
      </c>
      <c r="E337" t="s">
        <v>153</v>
      </c>
      <c r="F337" t="s">
        <v>108</v>
      </c>
      <c r="G337" t="s">
        <v>200</v>
      </c>
      <c r="H337">
        <v>6</v>
      </c>
      <c r="I337">
        <v>31</v>
      </c>
      <c r="J337">
        <v>0</v>
      </c>
      <c r="K33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3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3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3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37">
        <f>IF(Games[[#This Row],[Team]]="","",IF(Games[[#This Row],[Conf]]=Games[[#This Row],[OppConf]],1,0))</f>
        <v>0</v>
      </c>
      <c r="P337">
        <f>IF(Games[[#This Row],[Team]]="","",IF(AND(Games[[#This Row],[Conf]]=Games[[#This Row],[OppConf]],Games[[#This Row],[Div]]=Games[[#This Row],[OppDiv]]),1,0))</f>
        <v>0</v>
      </c>
      <c r="Q337">
        <f>IF(Games[[#This Row],[Team]]="","",_xlfn.MINIFS(Games[Date],Games[Season],Games[[#This Row],[Season]]))</f>
        <v>35309</v>
      </c>
      <c r="R337">
        <f>IF(Games[[#This Row],[Team]]="","",INT((Games[[#This Row],[Date]]-(Games[[#This Row],[SeasonStart]]-MOD(WEEKDAY(Games[[#This Row],[SeasonStart]],2)-2,7)))/7)+1)</f>
        <v>13</v>
      </c>
      <c r="S337">
        <f>IF(Games[[#This Row],[Team]]="","",COUNTIFS(Games[Team],Games[[#This Row],[Team]],Games[Season],Games[[#This Row],[Season]],Games[Week],"&lt;="&amp;Games[[#This Row],[Week]]))</f>
        <v>12</v>
      </c>
      <c r="T337">
        <f>IF(Games[[#This Row],[Team]]="","",_xlfn.MAXIFS(Games[Week],Games[Team],Games[[#This Row],[Team]],Games[Season],Games[[#This Row],[Season]],Games[Week],"&lt;"&amp;Games[[#This Row],[Week]]))</f>
        <v>12</v>
      </c>
      <c r="U337">
        <f>IF(Games[[#This Row],[Team]]="","",_xlfn.MAXIFS(Games[Week],Games[Team],Games[[#This Row],[Opponent]],Games[Season],Games[[#This Row],[Season]],Games[Week],"&lt;"&amp;Games[[#This Row],[Week]]))</f>
        <v>12</v>
      </c>
      <c r="V33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3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3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3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1542.3188350666007</v>
      </c>
      <c r="Z33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1576.4672399446433</v>
      </c>
      <c r="AA33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0.55425832702192646</v>
      </c>
      <c r="AB337">
        <f>IF(Games[[#This Row],[Team]]="","",Games[[#This Row],[PointsFor]]-Games[[#This Row],[PointsAgainst]])</f>
        <v>-25</v>
      </c>
      <c r="AC337">
        <f>IF(Games[[#This Row],[Team]]="","",IF(Games[[#This Row],[MOV]]&gt;0,1,IF(Games[[#This Row],[MOV]]=0,0.5,0)))</f>
        <v>0</v>
      </c>
      <c r="AD337">
        <f>IF(Games[[#This Row],[Team]]="","",--(OR(AND(Games[[#This Row],[ExpectedWin]]&gt;=0.5,Games[[#This Row],[Result]]=1),AND(Games[[#This Row],[ExpectedWin]]&lt;0.5,Games[[#This Row],[Result]]=0))))</f>
        <v>0</v>
      </c>
      <c r="AE337">
        <f>IF(Games[[#This Row],[Team]]="","",-(Games[[#This Row],[Result]]*LN(Games[[#This Row],[ExpectedWin]])+(1-Games[[#This Row],[Result]])*LN(1-Games[[#This Row],[ExpectedWin]])))</f>
        <v>0.80801570333749784</v>
      </c>
      <c r="AF337">
        <f>IF(Games[[#This Row],[Team]]="","",IF(Games[[#This Row],[Season]]&gt;=2021,17,16))</f>
        <v>16</v>
      </c>
      <c r="AG337">
        <f>IF(Games[[#This Row],[Team]]="","",KMax-(KMax-KFloor)*MIN(Games[[#This Row],[GamesPlayed]],Games[[#This Row],[SeasonLen]])/Games[[#This Row],[SeasonLen]])</f>
        <v>38.650000000000006</v>
      </c>
      <c r="AH337">
        <f>IF(Games[[#This Row],[Team]]="","",((ABS(Games[[#This Row],[MOV]])+3)^0.8)/(7.5+0.006*ABS(Games[[#This Row],[PreGmRate]]-Games[[#This Row],[OppPreGmRate]]))*IF(Games[[#This Row],[OT]]=1,0.7,1))</f>
        <v>1.8662076185574661</v>
      </c>
      <c r="AI33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7">
        <f>IF(Games[[#This Row],[Team]]="","",Games[[#This Row],[K]]*IF(Games[[#This Row],[DivG]]=1,DivMult,1)*IF(Games[[#This Row],[ConfG]]=1,ConfMult,1)*Games[[#This Row],[POMult]])</f>
        <v>38.650000000000006</v>
      </c>
      <c r="AK337">
        <f>IF(Games[[#This Row],[Team]]="","",(Games[[#This Row],[Keff]]*Games[[#This Row],[MOVMult]])*(Games[[#This Row],[Result]]-Games[[#This Row],[ExpectedWin]]))</f>
        <v>-39.978056999564124</v>
      </c>
      <c r="AL337">
        <f>IF(Games[[#This Row],[Team]]="","",Games[[#This Row],[PreGmRate]]+Games[[#This Row],[RatingChange]])</f>
        <v>1502.3407780670366</v>
      </c>
      <c r="AM337">
        <f>IF(Games[[#This Row],[Team]]="","",IF(Games[[#This Row],[Type]]="R",IF(Games[[#This Row],[Result]]&gt;0.5,1,0),0))</f>
        <v>0</v>
      </c>
      <c r="AN337">
        <f>IF(Games[[#This Row],[Team]]="","",IF(Games[[#This Row],[Type]]="R",IF(Games[[#This Row],[Result]]&lt;0.5,1,0),0))</f>
        <v>1</v>
      </c>
      <c r="AO337">
        <f>IF(Games[[#This Row],[Team]]="","",IF(Games[[#This Row],[Type]]="R",IF(Games[[#This Row],[Result]]=0.5,1,0),0))</f>
        <v>0</v>
      </c>
    </row>
    <row r="338" spans="1:41" x14ac:dyDescent="0.35">
      <c r="A338" s="8">
        <v>35393</v>
      </c>
      <c r="B338">
        <v>1996</v>
      </c>
      <c r="C338" t="s">
        <v>197</v>
      </c>
      <c r="D338" t="s">
        <v>199</v>
      </c>
      <c r="E338" t="s">
        <v>110</v>
      </c>
      <c r="F338" t="s">
        <v>118</v>
      </c>
      <c r="G338" t="s">
        <v>200</v>
      </c>
      <c r="H338">
        <v>31</v>
      </c>
      <c r="I338">
        <v>14</v>
      </c>
      <c r="J338">
        <v>0</v>
      </c>
      <c r="K33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3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3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3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38">
        <f>IF(Games[[#This Row],[Team]]="","",IF(Games[[#This Row],[Conf]]=Games[[#This Row],[OppConf]],1,0))</f>
        <v>1</v>
      </c>
      <c r="P338">
        <f>IF(Games[[#This Row],[Team]]="","",IF(AND(Games[[#This Row],[Conf]]=Games[[#This Row],[OppConf]],Games[[#This Row],[Div]]=Games[[#This Row],[OppDiv]]),1,0))</f>
        <v>1</v>
      </c>
      <c r="Q338">
        <f>IF(Games[[#This Row],[Team]]="","",_xlfn.MINIFS(Games[Date],Games[Season],Games[[#This Row],[Season]]))</f>
        <v>35309</v>
      </c>
      <c r="R338">
        <f>IF(Games[[#This Row],[Team]]="","",INT((Games[[#This Row],[Date]]-(Games[[#This Row],[SeasonStart]]-MOD(WEEKDAY(Games[[#This Row],[SeasonStart]],2)-2,7)))/7)+1)</f>
        <v>13</v>
      </c>
      <c r="S338">
        <f>IF(Games[[#This Row],[Team]]="","",COUNTIFS(Games[Team],Games[[#This Row],[Team]],Games[Season],Games[[#This Row],[Season]],Games[Week],"&lt;="&amp;Games[[#This Row],[Week]]))</f>
        <v>12</v>
      </c>
      <c r="T338">
        <f>IF(Games[[#This Row],[Team]]="","",_xlfn.MAXIFS(Games[Week],Games[Team],Games[[#This Row],[Team]],Games[Season],Games[[#This Row],[Season]],Games[Week],"&lt;"&amp;Games[[#This Row],[Week]]))</f>
        <v>12</v>
      </c>
      <c r="U338">
        <f>IF(Games[[#This Row],[Team]]="","",_xlfn.MAXIFS(Games[Week],Games[Team],Games[[#This Row],[Opponent]],Games[Season],Games[[#This Row],[Season]],Games[Week],"&lt;"&amp;Games[[#This Row],[Week]]))</f>
        <v>12</v>
      </c>
      <c r="V33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3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3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3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1434.2330113991945</v>
      </c>
      <c r="Z33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1462.7817337217225</v>
      </c>
      <c r="AA33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0.5622074300078157</v>
      </c>
      <c r="AB338">
        <f>IF(Games[[#This Row],[Team]]="","",Games[[#This Row],[PointsFor]]-Games[[#This Row],[PointsAgainst]])</f>
        <v>17</v>
      </c>
      <c r="AC338">
        <f>IF(Games[[#This Row],[Team]]="","",IF(Games[[#This Row],[MOV]]&gt;0,1,IF(Games[[#This Row],[MOV]]=0,0.5,0)))</f>
        <v>1</v>
      </c>
      <c r="AD338">
        <f>IF(Games[[#This Row],[Team]]="","",--(OR(AND(Games[[#This Row],[ExpectedWin]]&gt;=0.5,Games[[#This Row],[Result]]=1),AND(Games[[#This Row],[ExpectedWin]]&lt;0.5,Games[[#This Row],[Result]]=0))))</f>
        <v>1</v>
      </c>
      <c r="AE338">
        <f>IF(Games[[#This Row],[Team]]="","",-(Games[[#This Row],[Result]]*LN(Games[[#This Row],[ExpectedWin]])+(1-Games[[#This Row],[Result]])*LN(1-Games[[#This Row],[ExpectedWin]])))</f>
        <v>0.57588440464574464</v>
      </c>
      <c r="AF338">
        <f>IF(Games[[#This Row],[Team]]="","",IF(Games[[#This Row],[Season]]&gt;=2021,17,16))</f>
        <v>16</v>
      </c>
      <c r="AG338">
        <f>IF(Games[[#This Row],[Team]]="","",KMax-(KMax-KFloor)*MIN(Games[[#This Row],[GamesPlayed]],Games[[#This Row],[SeasonLen]])/Games[[#This Row],[SeasonLen]])</f>
        <v>38.650000000000006</v>
      </c>
      <c r="AH338">
        <f>IF(Games[[#This Row],[Team]]="","",((ABS(Games[[#This Row],[MOV]])+3)^0.8)/(7.5+0.006*ABS(Games[[#This Row],[PreGmRate]]-Games[[#This Row],[OppPreGmRate]]))*IF(Games[[#This Row],[OT]]=1,0.7,1))</f>
        <v>1.4320410375269659</v>
      </c>
      <c r="AI33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8">
        <f>IF(Games[[#This Row],[Team]]="","",Games[[#This Row],[K]]*IF(Games[[#This Row],[DivG]]=1,DivMult,1)*IF(Games[[#This Row],[ConfG]]=1,ConfMult,1)*Games[[#This Row],[POMult]])</f>
        <v>43.365300000000012</v>
      </c>
      <c r="AK338">
        <f>IF(Games[[#This Row],[Team]]="","",(Games[[#This Row],[Keff]]*Games[[#This Row],[MOVMult]])*(Games[[#This Row],[Result]]-Games[[#This Row],[ExpectedWin]]))</f>
        <v>27.187307883711565</v>
      </c>
      <c r="AL338">
        <f>IF(Games[[#This Row],[Team]]="","",Games[[#This Row],[PreGmRate]]+Games[[#This Row],[RatingChange]])</f>
        <v>1461.4203192829061</v>
      </c>
      <c r="AM338">
        <f>IF(Games[[#This Row],[Team]]="","",IF(Games[[#This Row],[Type]]="R",IF(Games[[#This Row],[Result]]&gt;0.5,1,0),0))</f>
        <v>1</v>
      </c>
      <c r="AN338">
        <f>IF(Games[[#This Row],[Team]]="","",IF(Games[[#This Row],[Type]]="R",IF(Games[[#This Row],[Result]]&lt;0.5,1,0),0))</f>
        <v>0</v>
      </c>
      <c r="AO338">
        <f>IF(Games[[#This Row],[Team]]="","",IF(Games[[#This Row],[Type]]="R",IF(Games[[#This Row],[Result]]=0.5,1,0),0))</f>
        <v>0</v>
      </c>
    </row>
    <row r="339" spans="1:41" x14ac:dyDescent="0.35">
      <c r="A339" s="8">
        <v>35393</v>
      </c>
      <c r="B339">
        <v>1996</v>
      </c>
      <c r="C339" t="s">
        <v>197</v>
      </c>
      <c r="D339" t="s">
        <v>199</v>
      </c>
      <c r="E339" t="s">
        <v>118</v>
      </c>
      <c r="F339" t="s">
        <v>110</v>
      </c>
      <c r="G339" t="s">
        <v>201</v>
      </c>
      <c r="H339">
        <v>14</v>
      </c>
      <c r="I339">
        <v>31</v>
      </c>
      <c r="J339">
        <v>0</v>
      </c>
      <c r="K33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3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3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3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39">
        <f>IF(Games[[#This Row],[Team]]="","",IF(Games[[#This Row],[Conf]]=Games[[#This Row],[OppConf]],1,0))</f>
        <v>1</v>
      </c>
      <c r="P339">
        <f>IF(Games[[#This Row],[Team]]="","",IF(AND(Games[[#This Row],[Conf]]=Games[[#This Row],[OppConf]],Games[[#This Row],[Div]]=Games[[#This Row],[OppDiv]]),1,0))</f>
        <v>1</v>
      </c>
      <c r="Q339">
        <f>IF(Games[[#This Row],[Team]]="","",_xlfn.MINIFS(Games[Date],Games[Season],Games[[#This Row],[Season]]))</f>
        <v>35309</v>
      </c>
      <c r="R339">
        <f>IF(Games[[#This Row],[Team]]="","",INT((Games[[#This Row],[Date]]-(Games[[#This Row],[SeasonStart]]-MOD(WEEKDAY(Games[[#This Row],[SeasonStart]],2)-2,7)))/7)+1)</f>
        <v>13</v>
      </c>
      <c r="S339">
        <f>IF(Games[[#This Row],[Team]]="","",COUNTIFS(Games[Team],Games[[#This Row],[Team]],Games[Season],Games[[#This Row],[Season]],Games[Week],"&lt;="&amp;Games[[#This Row],[Week]]))</f>
        <v>12</v>
      </c>
      <c r="T339">
        <f>IF(Games[[#This Row],[Team]]="","",_xlfn.MAXIFS(Games[Week],Games[Team],Games[[#This Row],[Team]],Games[Season],Games[[#This Row],[Season]],Games[Week],"&lt;"&amp;Games[[#This Row],[Week]]))</f>
        <v>12</v>
      </c>
      <c r="U339">
        <f>IF(Games[[#This Row],[Team]]="","",_xlfn.MAXIFS(Games[Week],Games[Team],Games[[#This Row],[Opponent]],Games[Season],Games[[#This Row],[Season]],Games[Week],"&lt;"&amp;Games[[#This Row],[Week]]))</f>
        <v>12</v>
      </c>
      <c r="V33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3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3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3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1462.7817337217225</v>
      </c>
      <c r="Z33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1434.2330113991945</v>
      </c>
      <c r="AA33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0.4377925699921843</v>
      </c>
      <c r="AB339">
        <f>IF(Games[[#This Row],[Team]]="","",Games[[#This Row],[PointsFor]]-Games[[#This Row],[PointsAgainst]])</f>
        <v>-17</v>
      </c>
      <c r="AC339">
        <f>IF(Games[[#This Row],[Team]]="","",IF(Games[[#This Row],[MOV]]&gt;0,1,IF(Games[[#This Row],[MOV]]=0,0.5,0)))</f>
        <v>0</v>
      </c>
      <c r="AD339">
        <f>IF(Games[[#This Row],[Team]]="","",--(OR(AND(Games[[#This Row],[ExpectedWin]]&gt;=0.5,Games[[#This Row],[Result]]=1),AND(Games[[#This Row],[ExpectedWin]]&lt;0.5,Games[[#This Row],[Result]]=0))))</f>
        <v>1</v>
      </c>
      <c r="AE339">
        <f>IF(Games[[#This Row],[Team]]="","",-(Games[[#This Row],[Result]]*LN(Games[[#This Row],[ExpectedWin]])+(1-Games[[#This Row],[Result]])*LN(1-Games[[#This Row],[ExpectedWin]])))</f>
        <v>0.57588440464574464</v>
      </c>
      <c r="AF339">
        <f>IF(Games[[#This Row],[Team]]="","",IF(Games[[#This Row],[Season]]&gt;=2021,17,16))</f>
        <v>16</v>
      </c>
      <c r="AG339">
        <f>IF(Games[[#This Row],[Team]]="","",KMax-(KMax-KFloor)*MIN(Games[[#This Row],[GamesPlayed]],Games[[#This Row],[SeasonLen]])/Games[[#This Row],[SeasonLen]])</f>
        <v>38.650000000000006</v>
      </c>
      <c r="AH339">
        <f>IF(Games[[#This Row],[Team]]="","",((ABS(Games[[#This Row],[MOV]])+3)^0.8)/(7.5+0.006*ABS(Games[[#This Row],[PreGmRate]]-Games[[#This Row],[OppPreGmRate]]))*IF(Games[[#This Row],[OT]]=1,0.7,1))</f>
        <v>1.4320410375269659</v>
      </c>
      <c r="AI33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9">
        <f>IF(Games[[#This Row],[Team]]="","",Games[[#This Row],[K]]*IF(Games[[#This Row],[DivG]]=1,DivMult,1)*IF(Games[[#This Row],[ConfG]]=1,ConfMult,1)*Games[[#This Row],[POMult]])</f>
        <v>43.365300000000012</v>
      </c>
      <c r="AK339">
        <f>IF(Games[[#This Row],[Team]]="","",(Games[[#This Row],[Keff]]*Games[[#This Row],[MOVMult]])*(Games[[#This Row],[Result]]-Games[[#This Row],[ExpectedWin]]))</f>
        <v>-27.187307883711565</v>
      </c>
      <c r="AL339">
        <f>IF(Games[[#This Row],[Team]]="","",Games[[#This Row],[PreGmRate]]+Games[[#This Row],[RatingChange]])</f>
        <v>1435.5944258380109</v>
      </c>
      <c r="AM339">
        <f>IF(Games[[#This Row],[Team]]="","",IF(Games[[#This Row],[Type]]="R",IF(Games[[#This Row],[Result]]&gt;0.5,1,0),0))</f>
        <v>0</v>
      </c>
      <c r="AN339">
        <f>IF(Games[[#This Row],[Team]]="","",IF(Games[[#This Row],[Type]]="R",IF(Games[[#This Row],[Result]]&lt;0.5,1,0),0))</f>
        <v>1</v>
      </c>
      <c r="AO339">
        <f>IF(Games[[#This Row],[Team]]="","",IF(Games[[#This Row],[Type]]="R",IF(Games[[#This Row],[Result]]=0.5,1,0),0))</f>
        <v>0</v>
      </c>
    </row>
    <row r="340" spans="1:41" x14ac:dyDescent="0.35">
      <c r="A340" s="8">
        <v>35393</v>
      </c>
      <c r="B340">
        <v>1996</v>
      </c>
      <c r="C340" t="s">
        <v>197</v>
      </c>
      <c r="D340" t="s">
        <v>199</v>
      </c>
      <c r="E340" t="s">
        <v>132</v>
      </c>
      <c r="F340" t="s">
        <v>122</v>
      </c>
      <c r="G340" t="s">
        <v>200</v>
      </c>
      <c r="H340">
        <v>27</v>
      </c>
      <c r="I340">
        <v>13</v>
      </c>
      <c r="J340">
        <v>0</v>
      </c>
      <c r="K34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4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4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4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40">
        <f>IF(Games[[#This Row],[Team]]="","",IF(Games[[#This Row],[Conf]]=Games[[#This Row],[OppConf]],1,0))</f>
        <v>1</v>
      </c>
      <c r="P340">
        <f>IF(Games[[#This Row],[Team]]="","",IF(AND(Games[[#This Row],[Conf]]=Games[[#This Row],[OppConf]],Games[[#This Row],[Div]]=Games[[#This Row],[OppDiv]]),1,0))</f>
        <v>1</v>
      </c>
      <c r="Q340">
        <f>IF(Games[[#This Row],[Team]]="","",_xlfn.MINIFS(Games[Date],Games[Season],Games[[#This Row],[Season]]))</f>
        <v>35309</v>
      </c>
      <c r="R340">
        <f>IF(Games[[#This Row],[Team]]="","",INT((Games[[#This Row],[Date]]-(Games[[#This Row],[SeasonStart]]-MOD(WEEKDAY(Games[[#This Row],[SeasonStart]],2)-2,7)))/7)+1)</f>
        <v>13</v>
      </c>
      <c r="S340">
        <f>IF(Games[[#This Row],[Team]]="","",COUNTIFS(Games[Team],Games[[#This Row],[Team]],Games[Season],Games[[#This Row],[Season]],Games[Week],"&lt;="&amp;Games[[#This Row],[Week]]))</f>
        <v>12</v>
      </c>
      <c r="T340">
        <f>IF(Games[[#This Row],[Team]]="","",_xlfn.MAXIFS(Games[Week],Games[Team],Games[[#This Row],[Team]],Games[Season],Games[[#This Row],[Season]],Games[Week],"&lt;"&amp;Games[[#This Row],[Week]]))</f>
        <v>12</v>
      </c>
      <c r="U340">
        <f>IF(Games[[#This Row],[Team]]="","",_xlfn.MAXIFS(Games[Week],Games[Team],Games[[#This Row],[Opponent]],Games[Season],Games[[#This Row],[Season]],Games[Week],"&lt;"&amp;Games[[#This Row],[Week]]))</f>
        <v>12</v>
      </c>
      <c r="V34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4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1553.1210545880983</v>
      </c>
      <c r="Z34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1461.8236090209555</v>
      </c>
      <c r="AA34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0.71910282059544783</v>
      </c>
      <c r="AB340">
        <f>IF(Games[[#This Row],[Team]]="","",Games[[#This Row],[PointsFor]]-Games[[#This Row],[PointsAgainst]])</f>
        <v>14</v>
      </c>
      <c r="AC340">
        <f>IF(Games[[#This Row],[Team]]="","",IF(Games[[#This Row],[MOV]]&gt;0,1,IF(Games[[#This Row],[MOV]]=0,0.5,0)))</f>
        <v>1</v>
      </c>
      <c r="AD340">
        <f>IF(Games[[#This Row],[Team]]="","",--(OR(AND(Games[[#This Row],[ExpectedWin]]&gt;=0.5,Games[[#This Row],[Result]]=1),AND(Games[[#This Row],[ExpectedWin]]&lt;0.5,Games[[#This Row],[Result]]=0))))</f>
        <v>1</v>
      </c>
      <c r="AE340">
        <f>IF(Games[[#This Row],[Team]]="","",-(Games[[#This Row],[Result]]*LN(Games[[#This Row],[ExpectedWin]])+(1-Games[[#This Row],[Result]])*LN(1-Games[[#This Row],[ExpectedWin]])))</f>
        <v>0.32975092648470788</v>
      </c>
      <c r="AF340">
        <f>IF(Games[[#This Row],[Team]]="","",IF(Games[[#This Row],[Season]]&gt;=2021,17,16))</f>
        <v>16</v>
      </c>
      <c r="AG340">
        <f>IF(Games[[#This Row],[Team]]="","",KMax-(KMax-KFloor)*MIN(Games[[#This Row],[GamesPlayed]],Games[[#This Row],[SeasonLen]])/Games[[#This Row],[SeasonLen]])</f>
        <v>38.650000000000006</v>
      </c>
      <c r="AH340">
        <f>IF(Games[[#This Row],[Team]]="","",((ABS(Games[[#This Row],[MOV]])+3)^0.8)/(7.5+0.006*ABS(Games[[#This Row],[PreGmRate]]-Games[[#This Row],[OppPreGmRate]]))*IF(Games[[#This Row],[OT]]=1,0.7,1))</f>
        <v>1.1986235029742811</v>
      </c>
      <c r="AI34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0">
        <f>IF(Games[[#This Row],[Team]]="","",Games[[#This Row],[K]]*IF(Games[[#This Row],[DivG]]=1,DivMult,1)*IF(Games[[#This Row],[ConfG]]=1,ConfMult,1)*Games[[#This Row],[POMult]])</f>
        <v>43.365300000000012</v>
      </c>
      <c r="AK340">
        <f>IF(Games[[#This Row],[Team]]="","",(Games[[#This Row],[Keff]]*Games[[#This Row],[MOVMult]])*(Games[[#This Row],[Result]]-Games[[#This Row],[ExpectedWin]]))</f>
        <v>14.600661172408984</v>
      </c>
      <c r="AL340">
        <f>IF(Games[[#This Row],[Team]]="","",Games[[#This Row],[PreGmRate]]+Games[[#This Row],[RatingChange]])</f>
        <v>1567.7217157605073</v>
      </c>
      <c r="AM340">
        <f>IF(Games[[#This Row],[Team]]="","",IF(Games[[#This Row],[Type]]="R",IF(Games[[#This Row],[Result]]&gt;0.5,1,0),0))</f>
        <v>1</v>
      </c>
      <c r="AN340">
        <f>IF(Games[[#This Row],[Team]]="","",IF(Games[[#This Row],[Type]]="R",IF(Games[[#This Row],[Result]]&lt;0.5,1,0),0))</f>
        <v>0</v>
      </c>
      <c r="AO340">
        <f>IF(Games[[#This Row],[Team]]="","",IF(Games[[#This Row],[Type]]="R",IF(Games[[#This Row],[Result]]=0.5,1,0),0))</f>
        <v>0</v>
      </c>
    </row>
    <row r="341" spans="1:41" x14ac:dyDescent="0.35">
      <c r="A341" s="8">
        <v>35393</v>
      </c>
      <c r="B341">
        <v>1996</v>
      </c>
      <c r="C341" t="s">
        <v>197</v>
      </c>
      <c r="D341" t="s">
        <v>199</v>
      </c>
      <c r="E341" t="s">
        <v>122</v>
      </c>
      <c r="F341" t="s">
        <v>132</v>
      </c>
      <c r="G341" t="s">
        <v>201</v>
      </c>
      <c r="H341">
        <v>13</v>
      </c>
      <c r="I341">
        <v>27</v>
      </c>
      <c r="J341">
        <v>0</v>
      </c>
      <c r="K34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4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4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4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41">
        <f>IF(Games[[#This Row],[Team]]="","",IF(Games[[#This Row],[Conf]]=Games[[#This Row],[OppConf]],1,0))</f>
        <v>1</v>
      </c>
      <c r="P341">
        <f>IF(Games[[#This Row],[Team]]="","",IF(AND(Games[[#This Row],[Conf]]=Games[[#This Row],[OppConf]],Games[[#This Row],[Div]]=Games[[#This Row],[OppDiv]]),1,0))</f>
        <v>1</v>
      </c>
      <c r="Q341">
        <f>IF(Games[[#This Row],[Team]]="","",_xlfn.MINIFS(Games[Date],Games[Season],Games[[#This Row],[Season]]))</f>
        <v>35309</v>
      </c>
      <c r="R341">
        <f>IF(Games[[#This Row],[Team]]="","",INT((Games[[#This Row],[Date]]-(Games[[#This Row],[SeasonStart]]-MOD(WEEKDAY(Games[[#This Row],[SeasonStart]],2)-2,7)))/7)+1)</f>
        <v>13</v>
      </c>
      <c r="S341">
        <f>IF(Games[[#This Row],[Team]]="","",COUNTIFS(Games[Team],Games[[#This Row],[Team]],Games[Season],Games[[#This Row],[Season]],Games[Week],"&lt;="&amp;Games[[#This Row],[Week]]))</f>
        <v>12</v>
      </c>
      <c r="T341">
        <f>IF(Games[[#This Row],[Team]]="","",_xlfn.MAXIFS(Games[Week],Games[Team],Games[[#This Row],[Team]],Games[Season],Games[[#This Row],[Season]],Games[Week],"&lt;"&amp;Games[[#This Row],[Week]]))</f>
        <v>12</v>
      </c>
      <c r="U341">
        <f>IF(Games[[#This Row],[Team]]="","",_xlfn.MAXIFS(Games[Week],Games[Team],Games[[#This Row],[Opponent]],Games[Season],Games[[#This Row],[Season]],Games[Week],"&lt;"&amp;Games[[#This Row],[Week]]))</f>
        <v>12</v>
      </c>
      <c r="V34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4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1461.8236090209555</v>
      </c>
      <c r="Z34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1553.1210545880983</v>
      </c>
      <c r="AA34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0.28089717940455217</v>
      </c>
      <c r="AB341">
        <f>IF(Games[[#This Row],[Team]]="","",Games[[#This Row],[PointsFor]]-Games[[#This Row],[PointsAgainst]])</f>
        <v>-14</v>
      </c>
      <c r="AC341">
        <f>IF(Games[[#This Row],[Team]]="","",IF(Games[[#This Row],[MOV]]&gt;0,1,IF(Games[[#This Row],[MOV]]=0,0.5,0)))</f>
        <v>0</v>
      </c>
      <c r="AD341">
        <f>IF(Games[[#This Row],[Team]]="","",--(OR(AND(Games[[#This Row],[ExpectedWin]]&gt;=0.5,Games[[#This Row],[Result]]=1),AND(Games[[#This Row],[ExpectedWin]]&lt;0.5,Games[[#This Row],[Result]]=0))))</f>
        <v>1</v>
      </c>
      <c r="AE341">
        <f>IF(Games[[#This Row],[Team]]="","",-(Games[[#This Row],[Result]]*LN(Games[[#This Row],[ExpectedWin]])+(1-Games[[#This Row],[Result]])*LN(1-Games[[#This Row],[ExpectedWin]])))</f>
        <v>0.32975092648470788</v>
      </c>
      <c r="AF341">
        <f>IF(Games[[#This Row],[Team]]="","",IF(Games[[#This Row],[Season]]&gt;=2021,17,16))</f>
        <v>16</v>
      </c>
      <c r="AG341">
        <f>IF(Games[[#This Row],[Team]]="","",KMax-(KMax-KFloor)*MIN(Games[[#This Row],[GamesPlayed]],Games[[#This Row],[SeasonLen]])/Games[[#This Row],[SeasonLen]])</f>
        <v>38.650000000000006</v>
      </c>
      <c r="AH341">
        <f>IF(Games[[#This Row],[Team]]="","",((ABS(Games[[#This Row],[MOV]])+3)^0.8)/(7.5+0.006*ABS(Games[[#This Row],[PreGmRate]]-Games[[#This Row],[OppPreGmRate]]))*IF(Games[[#This Row],[OT]]=1,0.7,1))</f>
        <v>1.1986235029742811</v>
      </c>
      <c r="AI34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1">
        <f>IF(Games[[#This Row],[Team]]="","",Games[[#This Row],[K]]*IF(Games[[#This Row],[DivG]]=1,DivMult,1)*IF(Games[[#This Row],[ConfG]]=1,ConfMult,1)*Games[[#This Row],[POMult]])</f>
        <v>43.365300000000012</v>
      </c>
      <c r="AK341">
        <f>IF(Games[[#This Row],[Team]]="","",(Games[[#This Row],[Keff]]*Games[[#This Row],[MOVMult]])*(Games[[#This Row],[Result]]-Games[[#This Row],[ExpectedWin]]))</f>
        <v>-14.600661172408984</v>
      </c>
      <c r="AL341">
        <f>IF(Games[[#This Row],[Team]]="","",Games[[#This Row],[PreGmRate]]+Games[[#This Row],[RatingChange]])</f>
        <v>1447.2229478485465</v>
      </c>
      <c r="AM341">
        <f>IF(Games[[#This Row],[Team]]="","",IF(Games[[#This Row],[Type]]="R",IF(Games[[#This Row],[Result]]&gt;0.5,1,0),0))</f>
        <v>0</v>
      </c>
      <c r="AN341">
        <f>IF(Games[[#This Row],[Team]]="","",IF(Games[[#This Row],[Type]]="R",IF(Games[[#This Row],[Result]]&lt;0.5,1,0),0))</f>
        <v>1</v>
      </c>
      <c r="AO341">
        <f>IF(Games[[#This Row],[Team]]="","",IF(Games[[#This Row],[Type]]="R",IF(Games[[#This Row],[Result]]=0.5,1,0),0))</f>
        <v>0</v>
      </c>
    </row>
    <row r="342" spans="1:41" x14ac:dyDescent="0.35">
      <c r="A342" s="8">
        <v>35393</v>
      </c>
      <c r="B342">
        <v>1996</v>
      </c>
      <c r="C342" t="s">
        <v>197</v>
      </c>
      <c r="D342" t="s">
        <v>199</v>
      </c>
      <c r="E342" t="s">
        <v>116</v>
      </c>
      <c r="F342" t="s">
        <v>130</v>
      </c>
      <c r="G342" t="s">
        <v>201</v>
      </c>
      <c r="H342">
        <v>21</v>
      </c>
      <c r="I342">
        <v>17</v>
      </c>
      <c r="J342">
        <v>0</v>
      </c>
      <c r="K34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4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4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4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42">
        <f>IF(Games[[#This Row],[Team]]="","",IF(Games[[#This Row],[Conf]]=Games[[#This Row],[OppConf]],1,0))</f>
        <v>0</v>
      </c>
      <c r="P342">
        <f>IF(Games[[#This Row],[Team]]="","",IF(AND(Games[[#This Row],[Conf]]=Games[[#This Row],[OppConf]],Games[[#This Row],[Div]]=Games[[#This Row],[OppDiv]]),1,0))</f>
        <v>0</v>
      </c>
      <c r="Q342">
        <f>IF(Games[[#This Row],[Team]]="","",_xlfn.MINIFS(Games[Date],Games[Season],Games[[#This Row],[Season]]))</f>
        <v>35309</v>
      </c>
      <c r="R342">
        <f>IF(Games[[#This Row],[Team]]="","",INT((Games[[#This Row],[Date]]-(Games[[#This Row],[SeasonStart]]-MOD(WEEKDAY(Games[[#This Row],[SeasonStart]],2)-2,7)))/7)+1)</f>
        <v>13</v>
      </c>
      <c r="S342">
        <f>IF(Games[[#This Row],[Team]]="","",COUNTIFS(Games[Team],Games[[#This Row],[Team]],Games[Season],Games[[#This Row],[Season]],Games[Week],"&lt;="&amp;Games[[#This Row],[Week]]))</f>
        <v>12</v>
      </c>
      <c r="T342">
        <f>IF(Games[[#This Row],[Team]]="","",_xlfn.MAXIFS(Games[Week],Games[Team],Games[[#This Row],[Team]],Games[Season],Games[[#This Row],[Season]],Games[Week],"&lt;"&amp;Games[[#This Row],[Week]]))</f>
        <v>12</v>
      </c>
      <c r="U342">
        <f>IF(Games[[#This Row],[Team]]="","",_xlfn.MAXIFS(Games[Week],Games[Team],Games[[#This Row],[Opponent]],Games[Season],Games[[#This Row],[Season]],Games[Week],"&lt;"&amp;Games[[#This Row],[Week]]))</f>
        <v>12</v>
      </c>
      <c r="V34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4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1682.7655554214346</v>
      </c>
      <c r="Z34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1473.4300297915765</v>
      </c>
      <c r="AA34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0.68795302811754544</v>
      </c>
      <c r="AB342">
        <f>IF(Games[[#This Row],[Team]]="","",Games[[#This Row],[PointsFor]]-Games[[#This Row],[PointsAgainst]])</f>
        <v>4</v>
      </c>
      <c r="AC342">
        <f>IF(Games[[#This Row],[Team]]="","",IF(Games[[#This Row],[MOV]]&gt;0,1,IF(Games[[#This Row],[MOV]]=0,0.5,0)))</f>
        <v>1</v>
      </c>
      <c r="AD342">
        <f>IF(Games[[#This Row],[Team]]="","",--(OR(AND(Games[[#This Row],[ExpectedWin]]&gt;=0.5,Games[[#This Row],[Result]]=1),AND(Games[[#This Row],[ExpectedWin]]&lt;0.5,Games[[#This Row],[Result]]=0))))</f>
        <v>1</v>
      </c>
      <c r="AE342">
        <f>IF(Games[[#This Row],[Team]]="","",-(Games[[#This Row],[Result]]*LN(Games[[#This Row],[ExpectedWin]])+(1-Games[[#This Row],[Result]])*LN(1-Games[[#This Row],[ExpectedWin]])))</f>
        <v>0.37403471646446956</v>
      </c>
      <c r="AF342">
        <f>IF(Games[[#This Row],[Team]]="","",IF(Games[[#This Row],[Season]]&gt;=2021,17,16))</f>
        <v>16</v>
      </c>
      <c r="AG342">
        <f>IF(Games[[#This Row],[Team]]="","",KMax-(KMax-KFloor)*MIN(Games[[#This Row],[GamesPlayed]],Games[[#This Row],[SeasonLen]])/Games[[#This Row],[SeasonLen]])</f>
        <v>38.650000000000006</v>
      </c>
      <c r="AH342">
        <f>IF(Games[[#This Row],[Team]]="","",((ABS(Games[[#This Row],[MOV]])+3)^0.8)/(7.5+0.006*ABS(Games[[#This Row],[PreGmRate]]-Games[[#This Row],[OppPreGmRate]]))*IF(Games[[#This Row],[OT]]=1,0.7,1))</f>
        <v>0.54171645365289789</v>
      </c>
      <c r="AI34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2">
        <f>IF(Games[[#This Row],[Team]]="","",Games[[#This Row],[K]]*IF(Games[[#This Row],[DivG]]=1,DivMult,1)*IF(Games[[#This Row],[ConfG]]=1,ConfMult,1)*Games[[#This Row],[POMult]])</f>
        <v>38.650000000000006</v>
      </c>
      <c r="AK342">
        <f>IF(Games[[#This Row],[Team]]="","",(Games[[#This Row],[Keff]]*Games[[#This Row],[MOVMult]])*(Games[[#This Row],[Result]]-Games[[#This Row],[ExpectedWin]]))</f>
        <v>6.5334338376268137</v>
      </c>
      <c r="AL342">
        <f>IF(Games[[#This Row],[Team]]="","",Games[[#This Row],[PreGmRate]]+Games[[#This Row],[RatingChange]])</f>
        <v>1689.2989892590613</v>
      </c>
      <c r="AM342">
        <f>IF(Games[[#This Row],[Team]]="","",IF(Games[[#This Row],[Type]]="R",IF(Games[[#This Row],[Result]]&gt;0.5,1,0),0))</f>
        <v>1</v>
      </c>
      <c r="AN342">
        <f>IF(Games[[#This Row],[Team]]="","",IF(Games[[#This Row],[Type]]="R",IF(Games[[#This Row],[Result]]&lt;0.5,1,0),0))</f>
        <v>0</v>
      </c>
      <c r="AO342">
        <f>IF(Games[[#This Row],[Team]]="","",IF(Games[[#This Row],[Type]]="R",IF(Games[[#This Row],[Result]]=0.5,1,0),0))</f>
        <v>0</v>
      </c>
    </row>
    <row r="343" spans="1:41" x14ac:dyDescent="0.35">
      <c r="A343" s="8">
        <v>35393</v>
      </c>
      <c r="B343">
        <v>1996</v>
      </c>
      <c r="C343" t="s">
        <v>197</v>
      </c>
      <c r="D343" t="s">
        <v>199</v>
      </c>
      <c r="E343" t="s">
        <v>130</v>
      </c>
      <c r="F343" t="s">
        <v>116</v>
      </c>
      <c r="G343" t="s">
        <v>200</v>
      </c>
      <c r="H343">
        <v>17</v>
      </c>
      <c r="I343">
        <v>21</v>
      </c>
      <c r="J343">
        <v>0</v>
      </c>
      <c r="K34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4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4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4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43">
        <f>IF(Games[[#This Row],[Team]]="","",IF(Games[[#This Row],[Conf]]=Games[[#This Row],[OppConf]],1,0))</f>
        <v>0</v>
      </c>
      <c r="P343">
        <f>IF(Games[[#This Row],[Team]]="","",IF(AND(Games[[#This Row],[Conf]]=Games[[#This Row],[OppConf]],Games[[#This Row],[Div]]=Games[[#This Row],[OppDiv]]),1,0))</f>
        <v>0</v>
      </c>
      <c r="Q343">
        <f>IF(Games[[#This Row],[Team]]="","",_xlfn.MINIFS(Games[Date],Games[Season],Games[[#This Row],[Season]]))</f>
        <v>35309</v>
      </c>
      <c r="R343">
        <f>IF(Games[[#This Row],[Team]]="","",INT((Games[[#This Row],[Date]]-(Games[[#This Row],[SeasonStart]]-MOD(WEEKDAY(Games[[#This Row],[SeasonStart]],2)-2,7)))/7)+1)</f>
        <v>13</v>
      </c>
      <c r="S343">
        <f>IF(Games[[#This Row],[Team]]="","",COUNTIFS(Games[Team],Games[[#This Row],[Team]],Games[Season],Games[[#This Row],[Season]],Games[Week],"&lt;="&amp;Games[[#This Row],[Week]]))</f>
        <v>12</v>
      </c>
      <c r="T343">
        <f>IF(Games[[#This Row],[Team]]="","",_xlfn.MAXIFS(Games[Week],Games[Team],Games[[#This Row],[Team]],Games[Season],Games[[#This Row],[Season]],Games[Week],"&lt;"&amp;Games[[#This Row],[Week]]))</f>
        <v>12</v>
      </c>
      <c r="U343">
        <f>IF(Games[[#This Row],[Team]]="","",_xlfn.MAXIFS(Games[Week],Games[Team],Games[[#This Row],[Opponent]],Games[Season],Games[[#This Row],[Season]],Games[Week],"&lt;"&amp;Games[[#This Row],[Week]]))</f>
        <v>12</v>
      </c>
      <c r="V34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4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1473.4300297915765</v>
      </c>
      <c r="Z34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1682.7655554214346</v>
      </c>
      <c r="AA34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0.31204697188245467</v>
      </c>
      <c r="AB343">
        <f>IF(Games[[#This Row],[Team]]="","",Games[[#This Row],[PointsFor]]-Games[[#This Row],[PointsAgainst]])</f>
        <v>-4</v>
      </c>
      <c r="AC343">
        <f>IF(Games[[#This Row],[Team]]="","",IF(Games[[#This Row],[MOV]]&gt;0,1,IF(Games[[#This Row],[MOV]]=0,0.5,0)))</f>
        <v>0</v>
      </c>
      <c r="AD343">
        <f>IF(Games[[#This Row],[Team]]="","",--(OR(AND(Games[[#This Row],[ExpectedWin]]&gt;=0.5,Games[[#This Row],[Result]]=1),AND(Games[[#This Row],[ExpectedWin]]&lt;0.5,Games[[#This Row],[Result]]=0))))</f>
        <v>1</v>
      </c>
      <c r="AE343">
        <f>IF(Games[[#This Row],[Team]]="","",-(Games[[#This Row],[Result]]*LN(Games[[#This Row],[ExpectedWin]])+(1-Games[[#This Row],[Result]])*LN(1-Games[[#This Row],[ExpectedWin]])))</f>
        <v>0.37403471646446973</v>
      </c>
      <c r="AF343">
        <f>IF(Games[[#This Row],[Team]]="","",IF(Games[[#This Row],[Season]]&gt;=2021,17,16))</f>
        <v>16</v>
      </c>
      <c r="AG343">
        <f>IF(Games[[#This Row],[Team]]="","",KMax-(KMax-KFloor)*MIN(Games[[#This Row],[GamesPlayed]],Games[[#This Row],[SeasonLen]])/Games[[#This Row],[SeasonLen]])</f>
        <v>38.650000000000006</v>
      </c>
      <c r="AH343">
        <f>IF(Games[[#This Row],[Team]]="","",((ABS(Games[[#This Row],[MOV]])+3)^0.8)/(7.5+0.006*ABS(Games[[#This Row],[PreGmRate]]-Games[[#This Row],[OppPreGmRate]]))*IF(Games[[#This Row],[OT]]=1,0.7,1))</f>
        <v>0.54171645365289789</v>
      </c>
      <c r="AI34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3">
        <f>IF(Games[[#This Row],[Team]]="","",Games[[#This Row],[K]]*IF(Games[[#This Row],[DivG]]=1,DivMult,1)*IF(Games[[#This Row],[ConfG]]=1,ConfMult,1)*Games[[#This Row],[POMult]])</f>
        <v>38.650000000000006</v>
      </c>
      <c r="AK343">
        <f>IF(Games[[#This Row],[Team]]="","",(Games[[#This Row],[Keff]]*Games[[#This Row],[MOVMult]])*(Games[[#This Row],[Result]]-Games[[#This Row],[ExpectedWin]]))</f>
        <v>-6.5334338376268164</v>
      </c>
      <c r="AL343">
        <f>IF(Games[[#This Row],[Team]]="","",Games[[#This Row],[PreGmRate]]+Games[[#This Row],[RatingChange]])</f>
        <v>1466.8965959539498</v>
      </c>
      <c r="AM343">
        <f>IF(Games[[#This Row],[Team]]="","",IF(Games[[#This Row],[Type]]="R",IF(Games[[#This Row],[Result]]&gt;0.5,1,0),0))</f>
        <v>0</v>
      </c>
      <c r="AN343">
        <f>IF(Games[[#This Row],[Team]]="","",IF(Games[[#This Row],[Type]]="R",IF(Games[[#This Row],[Result]]&lt;0.5,1,0),0))</f>
        <v>1</v>
      </c>
      <c r="AO343">
        <f>IF(Games[[#This Row],[Team]]="","",IF(Games[[#This Row],[Type]]="R",IF(Games[[#This Row],[Result]]=0.5,1,0),0))</f>
        <v>0</v>
      </c>
    </row>
    <row r="344" spans="1:41" x14ac:dyDescent="0.35">
      <c r="A344" s="8">
        <v>35393</v>
      </c>
      <c r="B344">
        <v>1996</v>
      </c>
      <c r="C344" t="s">
        <v>197</v>
      </c>
      <c r="D344" t="s">
        <v>199</v>
      </c>
      <c r="E344" t="s">
        <v>124</v>
      </c>
      <c r="F344" t="s">
        <v>101</v>
      </c>
      <c r="G344" t="s">
        <v>201</v>
      </c>
      <c r="H344">
        <v>28</v>
      </c>
      <c r="I344">
        <v>25</v>
      </c>
      <c r="J344">
        <v>1</v>
      </c>
      <c r="K34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4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4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4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44">
        <f>IF(Games[[#This Row],[Team]]="","",IF(Games[[#This Row],[Conf]]=Games[[#This Row],[OppConf]],1,0))</f>
        <v>1</v>
      </c>
      <c r="P344">
        <f>IF(Games[[#This Row],[Team]]="","",IF(AND(Games[[#This Row],[Conf]]=Games[[#This Row],[OppConf]],Games[[#This Row],[Div]]=Games[[#This Row],[OppDiv]]),1,0))</f>
        <v>1</v>
      </c>
      <c r="Q344">
        <f>IF(Games[[#This Row],[Team]]="","",_xlfn.MINIFS(Games[Date],Games[Season],Games[[#This Row],[Season]]))</f>
        <v>35309</v>
      </c>
      <c r="R344">
        <f>IF(Games[[#This Row],[Team]]="","",INT((Games[[#This Row],[Date]]-(Games[[#This Row],[SeasonStart]]-MOD(WEEKDAY(Games[[#This Row],[SeasonStart]],2)-2,7)))/7)+1)</f>
        <v>13</v>
      </c>
      <c r="S344">
        <f>IF(Games[[#This Row],[Team]]="","",COUNTIFS(Games[Team],Games[[#This Row],[Team]],Games[Season],Games[[#This Row],[Season]],Games[Week],"&lt;="&amp;Games[[#This Row],[Week]]))</f>
        <v>12</v>
      </c>
      <c r="T344">
        <f>IF(Games[[#This Row],[Team]]="","",_xlfn.MAXIFS(Games[Week],Games[Team],Games[[#This Row],[Team]],Games[Season],Games[[#This Row],[Season]],Games[Week],"&lt;"&amp;Games[[#This Row],[Week]]))</f>
        <v>12</v>
      </c>
      <c r="U344">
        <f>IF(Games[[#This Row],[Team]]="","",_xlfn.MAXIFS(Games[Week],Games[Team],Games[[#This Row],[Opponent]],Games[Season],Games[[#This Row],[Season]],Games[Week],"&lt;"&amp;Games[[#This Row],[Week]]))</f>
        <v>12</v>
      </c>
      <c r="V34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4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1443.9748212282502</v>
      </c>
      <c r="Z34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1410.1949745680579</v>
      </c>
      <c r="AA34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0.44521758148726126</v>
      </c>
      <c r="AB344">
        <f>IF(Games[[#This Row],[Team]]="","",Games[[#This Row],[PointsFor]]-Games[[#This Row],[PointsAgainst]])</f>
        <v>3</v>
      </c>
      <c r="AC344">
        <f>IF(Games[[#This Row],[Team]]="","",IF(Games[[#This Row],[MOV]]&gt;0,1,IF(Games[[#This Row],[MOV]]=0,0.5,0)))</f>
        <v>1</v>
      </c>
      <c r="AD344">
        <f>IF(Games[[#This Row],[Team]]="","",--(OR(AND(Games[[#This Row],[ExpectedWin]]&gt;=0.5,Games[[#This Row],[Result]]=1),AND(Games[[#This Row],[ExpectedWin]]&lt;0.5,Games[[#This Row],[Result]]=0))))</f>
        <v>0</v>
      </c>
      <c r="AE344">
        <f>IF(Games[[#This Row],[Team]]="","",-(Games[[#This Row],[Result]]*LN(Games[[#This Row],[ExpectedWin]])+(1-Games[[#This Row],[Result]])*LN(1-Games[[#This Row],[ExpectedWin]])))</f>
        <v>0.80919216914922598</v>
      </c>
      <c r="AF344">
        <f>IF(Games[[#This Row],[Team]]="","",IF(Games[[#This Row],[Season]]&gt;=2021,17,16))</f>
        <v>16</v>
      </c>
      <c r="AG344">
        <f>IF(Games[[#This Row],[Team]]="","",KMax-(KMax-KFloor)*MIN(Games[[#This Row],[GamesPlayed]],Games[[#This Row],[SeasonLen]])/Games[[#This Row],[SeasonLen]])</f>
        <v>38.650000000000006</v>
      </c>
      <c r="AH344">
        <f>IF(Games[[#This Row],[Team]]="","",((ABS(Games[[#This Row],[MOV]])+3)^0.8)/(7.5+0.006*ABS(Games[[#This Row],[PreGmRate]]-Games[[#This Row],[OppPreGmRate]]))*IF(Games[[#This Row],[OT]]=1,0.7,1))</f>
        <v>0.38104585019988074</v>
      </c>
      <c r="AI34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4">
        <f>IF(Games[[#This Row],[Team]]="","",Games[[#This Row],[K]]*IF(Games[[#This Row],[DivG]]=1,DivMult,1)*IF(Games[[#This Row],[ConfG]]=1,ConfMult,1)*Games[[#This Row],[POMult]])</f>
        <v>43.365300000000012</v>
      </c>
      <c r="AK344">
        <f>IF(Games[[#This Row],[Team]]="","",(Games[[#This Row],[Keff]]*Games[[#This Row],[MOVMult]])*(Games[[#This Row],[Result]]-Games[[#This Row],[ExpectedWin]]))</f>
        <v>9.1673176692946257</v>
      </c>
      <c r="AL344">
        <f>IF(Games[[#This Row],[Team]]="","",Games[[#This Row],[PreGmRate]]+Games[[#This Row],[RatingChange]])</f>
        <v>1453.1421388975448</v>
      </c>
      <c r="AM344">
        <f>IF(Games[[#This Row],[Team]]="","",IF(Games[[#This Row],[Type]]="R",IF(Games[[#This Row],[Result]]&gt;0.5,1,0),0))</f>
        <v>1</v>
      </c>
      <c r="AN344">
        <f>IF(Games[[#This Row],[Team]]="","",IF(Games[[#This Row],[Type]]="R",IF(Games[[#This Row],[Result]]&lt;0.5,1,0),0))</f>
        <v>0</v>
      </c>
      <c r="AO344">
        <f>IF(Games[[#This Row],[Team]]="","",IF(Games[[#This Row],[Type]]="R",IF(Games[[#This Row],[Result]]=0.5,1,0),0))</f>
        <v>0</v>
      </c>
    </row>
    <row r="345" spans="1:41" x14ac:dyDescent="0.35">
      <c r="A345" s="8">
        <v>35393</v>
      </c>
      <c r="B345">
        <v>1996</v>
      </c>
      <c r="C345" t="s">
        <v>197</v>
      </c>
      <c r="D345" t="s">
        <v>199</v>
      </c>
      <c r="E345" t="s">
        <v>101</v>
      </c>
      <c r="F345" t="s">
        <v>124</v>
      </c>
      <c r="G345" t="s">
        <v>200</v>
      </c>
      <c r="H345">
        <v>25</v>
      </c>
      <c r="I345">
        <v>28</v>
      </c>
      <c r="J345">
        <v>1</v>
      </c>
      <c r="K34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4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4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4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45">
        <f>IF(Games[[#This Row],[Team]]="","",IF(Games[[#This Row],[Conf]]=Games[[#This Row],[OppConf]],1,0))</f>
        <v>1</v>
      </c>
      <c r="P345">
        <f>IF(Games[[#This Row],[Team]]="","",IF(AND(Games[[#This Row],[Conf]]=Games[[#This Row],[OppConf]],Games[[#This Row],[Div]]=Games[[#This Row],[OppDiv]]),1,0))</f>
        <v>1</v>
      </c>
      <c r="Q345">
        <f>IF(Games[[#This Row],[Team]]="","",_xlfn.MINIFS(Games[Date],Games[Season],Games[[#This Row],[Season]]))</f>
        <v>35309</v>
      </c>
      <c r="R345">
        <f>IF(Games[[#This Row],[Team]]="","",INT((Games[[#This Row],[Date]]-(Games[[#This Row],[SeasonStart]]-MOD(WEEKDAY(Games[[#This Row],[SeasonStart]],2)-2,7)))/7)+1)</f>
        <v>13</v>
      </c>
      <c r="S345">
        <f>IF(Games[[#This Row],[Team]]="","",COUNTIFS(Games[Team],Games[[#This Row],[Team]],Games[Season],Games[[#This Row],[Season]],Games[Week],"&lt;="&amp;Games[[#This Row],[Week]]))</f>
        <v>12</v>
      </c>
      <c r="T345">
        <f>IF(Games[[#This Row],[Team]]="","",_xlfn.MAXIFS(Games[Week],Games[Team],Games[[#This Row],[Team]],Games[Season],Games[[#This Row],[Season]],Games[Week],"&lt;"&amp;Games[[#This Row],[Week]]))</f>
        <v>12</v>
      </c>
      <c r="U345">
        <f>IF(Games[[#This Row],[Team]]="","",_xlfn.MAXIFS(Games[Week],Games[Team],Games[[#This Row],[Opponent]],Games[Season],Games[[#This Row],[Season]],Games[Week],"&lt;"&amp;Games[[#This Row],[Week]]))</f>
        <v>12</v>
      </c>
      <c r="V34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4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1410.1949745680579</v>
      </c>
      <c r="Z34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1443.9748212282502</v>
      </c>
      <c r="AA34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0.55478241851273868</v>
      </c>
      <c r="AB345">
        <f>IF(Games[[#This Row],[Team]]="","",Games[[#This Row],[PointsFor]]-Games[[#This Row],[PointsAgainst]])</f>
        <v>-3</v>
      </c>
      <c r="AC345">
        <f>IF(Games[[#This Row],[Team]]="","",IF(Games[[#This Row],[MOV]]&gt;0,1,IF(Games[[#This Row],[MOV]]=0,0.5,0)))</f>
        <v>0</v>
      </c>
      <c r="AD345">
        <f>IF(Games[[#This Row],[Team]]="","",--(OR(AND(Games[[#This Row],[ExpectedWin]]&gt;=0.5,Games[[#This Row],[Result]]=1),AND(Games[[#This Row],[ExpectedWin]]&lt;0.5,Games[[#This Row],[Result]]=0))))</f>
        <v>0</v>
      </c>
      <c r="AE345">
        <f>IF(Games[[#This Row],[Team]]="","",-(Games[[#This Row],[Result]]*LN(Games[[#This Row],[ExpectedWin]])+(1-Games[[#This Row],[Result]])*LN(1-Games[[#This Row],[ExpectedWin]])))</f>
        <v>0.80919216914922587</v>
      </c>
      <c r="AF345">
        <f>IF(Games[[#This Row],[Team]]="","",IF(Games[[#This Row],[Season]]&gt;=2021,17,16))</f>
        <v>16</v>
      </c>
      <c r="AG345">
        <f>IF(Games[[#This Row],[Team]]="","",KMax-(KMax-KFloor)*MIN(Games[[#This Row],[GamesPlayed]],Games[[#This Row],[SeasonLen]])/Games[[#This Row],[SeasonLen]])</f>
        <v>38.650000000000006</v>
      </c>
      <c r="AH345">
        <f>IF(Games[[#This Row],[Team]]="","",((ABS(Games[[#This Row],[MOV]])+3)^0.8)/(7.5+0.006*ABS(Games[[#This Row],[PreGmRate]]-Games[[#This Row],[OppPreGmRate]]))*IF(Games[[#This Row],[OT]]=1,0.7,1))</f>
        <v>0.38104585019988074</v>
      </c>
      <c r="AI34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5">
        <f>IF(Games[[#This Row],[Team]]="","",Games[[#This Row],[K]]*IF(Games[[#This Row],[DivG]]=1,DivMult,1)*IF(Games[[#This Row],[ConfG]]=1,ConfMult,1)*Games[[#This Row],[POMult]])</f>
        <v>43.365300000000012</v>
      </c>
      <c r="AK345">
        <f>IF(Games[[#This Row],[Team]]="","",(Games[[#This Row],[Keff]]*Games[[#This Row],[MOVMult]])*(Games[[#This Row],[Result]]-Games[[#This Row],[ExpectedWin]]))</f>
        <v>-9.1673176692946239</v>
      </c>
      <c r="AL345">
        <f>IF(Games[[#This Row],[Team]]="","",Games[[#This Row],[PreGmRate]]+Games[[#This Row],[RatingChange]])</f>
        <v>1401.0276568987633</v>
      </c>
      <c r="AM345">
        <f>IF(Games[[#This Row],[Team]]="","",IF(Games[[#This Row],[Type]]="R",IF(Games[[#This Row],[Result]]&gt;0.5,1,0),0))</f>
        <v>0</v>
      </c>
      <c r="AN345">
        <f>IF(Games[[#This Row],[Team]]="","",IF(Games[[#This Row],[Type]]="R",IF(Games[[#This Row],[Result]]&lt;0.5,1,0),0))</f>
        <v>1</v>
      </c>
      <c r="AO345">
        <f>IF(Games[[#This Row],[Team]]="","",IF(Games[[#This Row],[Type]]="R",IF(Games[[#This Row],[Result]]=0.5,1,0),0))</f>
        <v>0</v>
      </c>
    </row>
    <row r="346" spans="1:41" x14ac:dyDescent="0.35">
      <c r="A346" s="8">
        <v>35393</v>
      </c>
      <c r="B346">
        <v>1996</v>
      </c>
      <c r="C346" t="s">
        <v>197</v>
      </c>
      <c r="D346" t="s">
        <v>199</v>
      </c>
      <c r="E346" t="s">
        <v>145</v>
      </c>
      <c r="F346" t="s">
        <v>126</v>
      </c>
      <c r="G346" t="s">
        <v>201</v>
      </c>
      <c r="H346">
        <v>28</v>
      </c>
      <c r="I346">
        <v>14</v>
      </c>
      <c r="J346">
        <v>0</v>
      </c>
      <c r="K34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4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4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4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46">
        <f>IF(Games[[#This Row],[Team]]="","",IF(Games[[#This Row],[Conf]]=Games[[#This Row],[OppConf]],1,0))</f>
        <v>1</v>
      </c>
      <c r="P346">
        <f>IF(Games[[#This Row],[Team]]="","",IF(AND(Games[[#This Row],[Conf]]=Games[[#This Row],[OppConf]],Games[[#This Row],[Div]]=Games[[#This Row],[OppDiv]]),1,0))</f>
        <v>1</v>
      </c>
      <c r="Q346">
        <f>IF(Games[[#This Row],[Team]]="","",_xlfn.MINIFS(Games[Date],Games[Season],Games[[#This Row],[Season]]))</f>
        <v>35309</v>
      </c>
      <c r="R346">
        <f>IF(Games[[#This Row],[Team]]="","",INT((Games[[#This Row],[Date]]-(Games[[#This Row],[SeasonStart]]-MOD(WEEKDAY(Games[[#This Row],[SeasonStart]],2)-2,7)))/7)+1)</f>
        <v>13</v>
      </c>
      <c r="S346">
        <f>IF(Games[[#This Row],[Team]]="","",COUNTIFS(Games[Team],Games[[#This Row],[Team]],Games[Season],Games[[#This Row],[Season]],Games[Week],"&lt;="&amp;Games[[#This Row],[Week]]))</f>
        <v>12</v>
      </c>
      <c r="T346">
        <f>IF(Games[[#This Row],[Team]]="","",_xlfn.MAXIFS(Games[Week],Games[Team],Games[[#This Row],[Team]],Games[Season],Games[[#This Row],[Season]],Games[Week],"&lt;"&amp;Games[[#This Row],[Week]]))</f>
        <v>12</v>
      </c>
      <c r="U346">
        <f>IF(Games[[#This Row],[Team]]="","",_xlfn.MAXIFS(Games[Week],Games[Team],Games[[#This Row],[Opponent]],Games[Season],Games[[#This Row],[Season]],Games[Week],"&lt;"&amp;Games[[#This Row],[Week]]))</f>
        <v>12</v>
      </c>
      <c r="V34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4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1476.3391768752649</v>
      </c>
      <c r="Z34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1580.3948948686361</v>
      </c>
      <c r="AA34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0.26630362506489752</v>
      </c>
      <c r="AB346">
        <f>IF(Games[[#This Row],[Team]]="","",Games[[#This Row],[PointsFor]]-Games[[#This Row],[PointsAgainst]])</f>
        <v>14</v>
      </c>
      <c r="AC346">
        <f>IF(Games[[#This Row],[Team]]="","",IF(Games[[#This Row],[MOV]]&gt;0,1,IF(Games[[#This Row],[MOV]]=0,0.5,0)))</f>
        <v>1</v>
      </c>
      <c r="AD346">
        <f>IF(Games[[#This Row],[Team]]="","",--(OR(AND(Games[[#This Row],[ExpectedWin]]&gt;=0.5,Games[[#This Row],[Result]]=1),AND(Games[[#This Row],[ExpectedWin]]&lt;0.5,Games[[#This Row],[Result]]=0))))</f>
        <v>0</v>
      </c>
      <c r="AE346">
        <f>IF(Games[[#This Row],[Team]]="","",-(Games[[#This Row],[Result]]*LN(Games[[#This Row],[ExpectedWin]])+(1-Games[[#This Row],[Result]])*LN(1-Games[[#This Row],[ExpectedWin]])))</f>
        <v>1.3231181735440596</v>
      </c>
      <c r="AF346">
        <f>IF(Games[[#This Row],[Team]]="","",IF(Games[[#This Row],[Season]]&gt;=2021,17,16))</f>
        <v>16</v>
      </c>
      <c r="AG346">
        <f>IF(Games[[#This Row],[Team]]="","",KMax-(KMax-KFloor)*MIN(Games[[#This Row],[GamesPlayed]],Games[[#This Row],[SeasonLen]])/Games[[#This Row],[SeasonLen]])</f>
        <v>38.650000000000006</v>
      </c>
      <c r="AH346">
        <f>IF(Games[[#This Row],[Team]]="","",((ABS(Games[[#This Row],[MOV]])+3)^0.8)/(7.5+0.006*ABS(Games[[#This Row],[PreGmRate]]-Games[[#This Row],[OppPreGmRate]]))*IF(Games[[#This Row],[OT]]=1,0.7,1))</f>
        <v>1.187329754139419</v>
      </c>
      <c r="AI34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6">
        <f>IF(Games[[#This Row],[Team]]="","",Games[[#This Row],[K]]*IF(Games[[#This Row],[DivG]]=1,DivMult,1)*IF(Games[[#This Row],[ConfG]]=1,ConfMult,1)*Games[[#This Row],[POMult]])</f>
        <v>43.365300000000012</v>
      </c>
      <c r="AK346">
        <f>IF(Games[[#This Row],[Team]]="","",(Games[[#This Row],[Keff]]*Games[[#This Row],[MOVMult]])*(Games[[#This Row],[Result]]-Games[[#This Row],[ExpectedWin]]))</f>
        <v>37.777227340651713</v>
      </c>
      <c r="AL346">
        <f>IF(Games[[#This Row],[Team]]="","",Games[[#This Row],[PreGmRate]]+Games[[#This Row],[RatingChange]])</f>
        <v>1514.1164042159166</v>
      </c>
      <c r="AM346">
        <f>IF(Games[[#This Row],[Team]]="","",IF(Games[[#This Row],[Type]]="R",IF(Games[[#This Row],[Result]]&gt;0.5,1,0),0))</f>
        <v>1</v>
      </c>
      <c r="AN346">
        <f>IF(Games[[#This Row],[Team]]="","",IF(Games[[#This Row],[Type]]="R",IF(Games[[#This Row],[Result]]&lt;0.5,1,0),0))</f>
        <v>0</v>
      </c>
      <c r="AO346">
        <f>IF(Games[[#This Row],[Team]]="","",IF(Games[[#This Row],[Type]]="R",IF(Games[[#This Row],[Result]]=0.5,1,0),0))</f>
        <v>0</v>
      </c>
    </row>
    <row r="347" spans="1:41" x14ac:dyDescent="0.35">
      <c r="A347" s="8">
        <v>35393</v>
      </c>
      <c r="B347">
        <v>1996</v>
      </c>
      <c r="C347" t="s">
        <v>197</v>
      </c>
      <c r="D347" t="s">
        <v>199</v>
      </c>
      <c r="E347" t="s">
        <v>126</v>
      </c>
      <c r="F347" t="s">
        <v>145</v>
      </c>
      <c r="G347" t="s">
        <v>200</v>
      </c>
      <c r="H347">
        <v>14</v>
      </c>
      <c r="I347">
        <v>28</v>
      </c>
      <c r="J347">
        <v>0</v>
      </c>
      <c r="K34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4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4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4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47">
        <f>IF(Games[[#This Row],[Team]]="","",IF(Games[[#This Row],[Conf]]=Games[[#This Row],[OppConf]],1,0))</f>
        <v>1</v>
      </c>
      <c r="P347">
        <f>IF(Games[[#This Row],[Team]]="","",IF(AND(Games[[#This Row],[Conf]]=Games[[#This Row],[OppConf]],Games[[#This Row],[Div]]=Games[[#This Row],[OppDiv]]),1,0))</f>
        <v>1</v>
      </c>
      <c r="Q347">
        <f>IF(Games[[#This Row],[Team]]="","",_xlfn.MINIFS(Games[Date],Games[Season],Games[[#This Row],[Season]]))</f>
        <v>35309</v>
      </c>
      <c r="R347">
        <f>IF(Games[[#This Row],[Team]]="","",INT((Games[[#This Row],[Date]]-(Games[[#This Row],[SeasonStart]]-MOD(WEEKDAY(Games[[#This Row],[SeasonStart]],2)-2,7)))/7)+1)</f>
        <v>13</v>
      </c>
      <c r="S347">
        <f>IF(Games[[#This Row],[Team]]="","",COUNTIFS(Games[Team],Games[[#This Row],[Team]],Games[Season],Games[[#This Row],[Season]],Games[Week],"&lt;="&amp;Games[[#This Row],[Week]]))</f>
        <v>12</v>
      </c>
      <c r="T347">
        <f>IF(Games[[#This Row],[Team]]="","",_xlfn.MAXIFS(Games[Week],Games[Team],Games[[#This Row],[Team]],Games[Season],Games[[#This Row],[Season]],Games[Week],"&lt;"&amp;Games[[#This Row],[Week]]))</f>
        <v>12</v>
      </c>
      <c r="U347">
        <f>IF(Games[[#This Row],[Team]]="","",_xlfn.MAXIFS(Games[Week],Games[Team],Games[[#This Row],[Opponent]],Games[Season],Games[[#This Row],[Season]],Games[Week],"&lt;"&amp;Games[[#This Row],[Week]]))</f>
        <v>12</v>
      </c>
      <c r="V34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4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1580.3948948686361</v>
      </c>
      <c r="Z34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1476.3391768752649</v>
      </c>
      <c r="AA34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0.73369637493510254</v>
      </c>
      <c r="AB347">
        <f>IF(Games[[#This Row],[Team]]="","",Games[[#This Row],[PointsFor]]-Games[[#This Row],[PointsAgainst]])</f>
        <v>-14</v>
      </c>
      <c r="AC347">
        <f>IF(Games[[#This Row],[Team]]="","",IF(Games[[#This Row],[MOV]]&gt;0,1,IF(Games[[#This Row],[MOV]]=0,0.5,0)))</f>
        <v>0</v>
      </c>
      <c r="AD347">
        <f>IF(Games[[#This Row],[Team]]="","",--(OR(AND(Games[[#This Row],[ExpectedWin]]&gt;=0.5,Games[[#This Row],[Result]]=1),AND(Games[[#This Row],[ExpectedWin]]&lt;0.5,Games[[#This Row],[Result]]=0))))</f>
        <v>0</v>
      </c>
      <c r="AE347">
        <f>IF(Games[[#This Row],[Team]]="","",-(Games[[#This Row],[Result]]*LN(Games[[#This Row],[ExpectedWin]])+(1-Games[[#This Row],[Result]])*LN(1-Games[[#This Row],[ExpectedWin]])))</f>
        <v>1.3231181735440598</v>
      </c>
      <c r="AF347">
        <f>IF(Games[[#This Row],[Team]]="","",IF(Games[[#This Row],[Season]]&gt;=2021,17,16))</f>
        <v>16</v>
      </c>
      <c r="AG347">
        <f>IF(Games[[#This Row],[Team]]="","",KMax-(KMax-KFloor)*MIN(Games[[#This Row],[GamesPlayed]],Games[[#This Row],[SeasonLen]])/Games[[#This Row],[SeasonLen]])</f>
        <v>38.650000000000006</v>
      </c>
      <c r="AH347">
        <f>IF(Games[[#This Row],[Team]]="","",((ABS(Games[[#This Row],[MOV]])+3)^0.8)/(7.5+0.006*ABS(Games[[#This Row],[PreGmRate]]-Games[[#This Row],[OppPreGmRate]]))*IF(Games[[#This Row],[OT]]=1,0.7,1))</f>
        <v>1.187329754139419</v>
      </c>
      <c r="AI34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7">
        <f>IF(Games[[#This Row],[Team]]="","",Games[[#This Row],[K]]*IF(Games[[#This Row],[DivG]]=1,DivMult,1)*IF(Games[[#This Row],[ConfG]]=1,ConfMult,1)*Games[[#This Row],[POMult]])</f>
        <v>43.365300000000012</v>
      </c>
      <c r="AK347">
        <f>IF(Games[[#This Row],[Team]]="","",(Games[[#This Row],[Keff]]*Games[[#This Row],[MOVMult]])*(Games[[#This Row],[Result]]-Games[[#This Row],[ExpectedWin]]))</f>
        <v>-37.77722734065172</v>
      </c>
      <c r="AL347">
        <f>IF(Games[[#This Row],[Team]]="","",Games[[#This Row],[PreGmRate]]+Games[[#This Row],[RatingChange]])</f>
        <v>1542.6176675279844</v>
      </c>
      <c r="AM347">
        <f>IF(Games[[#This Row],[Team]]="","",IF(Games[[#This Row],[Type]]="R",IF(Games[[#This Row],[Result]]&gt;0.5,1,0),0))</f>
        <v>0</v>
      </c>
      <c r="AN347">
        <f>IF(Games[[#This Row],[Team]]="","",IF(Games[[#This Row],[Type]]="R",IF(Games[[#This Row],[Result]]&lt;0.5,1,0),0))</f>
        <v>1</v>
      </c>
      <c r="AO347">
        <f>IF(Games[[#This Row],[Team]]="","",IF(Games[[#This Row],[Type]]="R",IF(Games[[#This Row],[Result]]=0.5,1,0),0))</f>
        <v>0</v>
      </c>
    </row>
    <row r="348" spans="1:41" x14ac:dyDescent="0.35">
      <c r="A348" s="8">
        <v>35393</v>
      </c>
      <c r="B348">
        <v>1996</v>
      </c>
      <c r="C348" t="s">
        <v>197</v>
      </c>
      <c r="D348" t="s">
        <v>199</v>
      </c>
      <c r="E348" t="s">
        <v>151</v>
      </c>
      <c r="F348" t="s">
        <v>134</v>
      </c>
      <c r="G348" t="s">
        <v>200</v>
      </c>
      <c r="H348">
        <v>13</v>
      </c>
      <c r="I348">
        <v>7</v>
      </c>
      <c r="J348">
        <v>0</v>
      </c>
      <c r="K34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4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4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4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48">
        <f>IF(Games[[#This Row],[Team]]="","",IF(Games[[#This Row],[Conf]]=Games[[#This Row],[OppConf]],1,0))</f>
        <v>1</v>
      </c>
      <c r="P348">
        <f>IF(Games[[#This Row],[Team]]="","",IF(AND(Games[[#This Row],[Conf]]=Games[[#This Row],[OppConf]],Games[[#This Row],[Div]]=Games[[#This Row],[OppDiv]]),1,0))</f>
        <v>0</v>
      </c>
      <c r="Q348">
        <f>IF(Games[[#This Row],[Team]]="","",_xlfn.MINIFS(Games[Date],Games[Season],Games[[#This Row],[Season]]))</f>
        <v>35309</v>
      </c>
      <c r="R348">
        <f>IF(Games[[#This Row],[Team]]="","",INT((Games[[#This Row],[Date]]-(Games[[#This Row],[SeasonStart]]-MOD(WEEKDAY(Games[[#This Row],[SeasonStart]],2)-2,7)))/7)+1)</f>
        <v>13</v>
      </c>
      <c r="S348">
        <f>IF(Games[[#This Row],[Team]]="","",COUNTIFS(Games[Team],Games[[#This Row],[Team]],Games[Season],Games[[#This Row],[Season]],Games[Week],"&lt;="&amp;Games[[#This Row],[Week]]))</f>
        <v>12</v>
      </c>
      <c r="T348">
        <f>IF(Games[[#This Row],[Team]]="","",_xlfn.MAXIFS(Games[Week],Games[Team],Games[[#This Row],[Team]],Games[Season],Games[[#This Row],[Season]],Games[Week],"&lt;"&amp;Games[[#This Row],[Week]]))</f>
        <v>12</v>
      </c>
      <c r="U348">
        <f>IF(Games[[#This Row],[Team]]="","",_xlfn.MAXIFS(Games[Week],Games[Team],Games[[#This Row],[Opponent]],Games[Season],Games[[#This Row],[Season]],Games[Week],"&lt;"&amp;Games[[#This Row],[Week]]))</f>
        <v>12</v>
      </c>
      <c r="V34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4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1395.6639641078759</v>
      </c>
      <c r="Z34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1361.7739150011587</v>
      </c>
      <c r="AA34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0.64783862815423421</v>
      </c>
      <c r="AB348">
        <f>IF(Games[[#This Row],[Team]]="","",Games[[#This Row],[PointsFor]]-Games[[#This Row],[PointsAgainst]])</f>
        <v>6</v>
      </c>
      <c r="AC348">
        <f>IF(Games[[#This Row],[Team]]="","",IF(Games[[#This Row],[MOV]]&gt;0,1,IF(Games[[#This Row],[MOV]]=0,0.5,0)))</f>
        <v>1</v>
      </c>
      <c r="AD348">
        <f>IF(Games[[#This Row],[Team]]="","",--(OR(AND(Games[[#This Row],[ExpectedWin]]&gt;=0.5,Games[[#This Row],[Result]]=1),AND(Games[[#This Row],[ExpectedWin]]&lt;0.5,Games[[#This Row],[Result]]=0))))</f>
        <v>1</v>
      </c>
      <c r="AE348">
        <f>IF(Games[[#This Row],[Team]]="","",-(Games[[#This Row],[Result]]*LN(Games[[#This Row],[ExpectedWin]])+(1-Games[[#This Row],[Result]])*LN(1-Games[[#This Row],[ExpectedWin]])))</f>
        <v>0.43411364426931948</v>
      </c>
      <c r="AF348">
        <f>IF(Games[[#This Row],[Team]]="","",IF(Games[[#This Row],[Season]]&gt;=2021,17,16))</f>
        <v>16</v>
      </c>
      <c r="AG348">
        <f>IF(Games[[#This Row],[Team]]="","",KMax-(KMax-KFloor)*MIN(Games[[#This Row],[GamesPlayed]],Games[[#This Row],[SeasonLen]])/Games[[#This Row],[SeasonLen]])</f>
        <v>38.650000000000006</v>
      </c>
      <c r="AH348">
        <f>IF(Games[[#This Row],[Team]]="","",((ABS(Games[[#This Row],[MOV]])+3)^0.8)/(7.5+0.006*ABS(Games[[#This Row],[PreGmRate]]-Games[[#This Row],[OppPreGmRate]]))*IF(Games[[#This Row],[OT]]=1,0.7,1))</f>
        <v>0.75286121513162252</v>
      </c>
      <c r="AI34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8">
        <f>IF(Games[[#This Row],[Team]]="","",Games[[#This Row],[K]]*IF(Games[[#This Row],[DivG]]=1,DivMult,1)*IF(Games[[#This Row],[ConfG]]=1,ConfMult,1)*Games[[#This Row],[POMult]])</f>
        <v>39.423000000000009</v>
      </c>
      <c r="AK348">
        <f>IF(Games[[#This Row],[Team]]="","",(Games[[#This Row],[Keff]]*Games[[#This Row],[MOVMult]])*(Games[[#This Row],[Result]]-Games[[#This Row],[ExpectedWin]]))</f>
        <v>10.452166308892359</v>
      </c>
      <c r="AL348">
        <f>IF(Games[[#This Row],[Team]]="","",Games[[#This Row],[PreGmRate]]+Games[[#This Row],[RatingChange]])</f>
        <v>1406.1161304167683</v>
      </c>
      <c r="AM348">
        <f>IF(Games[[#This Row],[Team]]="","",IF(Games[[#This Row],[Type]]="R",IF(Games[[#This Row],[Result]]&gt;0.5,1,0),0))</f>
        <v>1</v>
      </c>
      <c r="AN348">
        <f>IF(Games[[#This Row],[Team]]="","",IF(Games[[#This Row],[Type]]="R",IF(Games[[#This Row],[Result]]&lt;0.5,1,0),0))</f>
        <v>0</v>
      </c>
      <c r="AO348">
        <f>IF(Games[[#This Row],[Team]]="","",IF(Games[[#This Row],[Type]]="R",IF(Games[[#This Row],[Result]]=0.5,1,0),0))</f>
        <v>0</v>
      </c>
    </row>
    <row r="349" spans="1:41" x14ac:dyDescent="0.35">
      <c r="A349" s="8">
        <v>35393</v>
      </c>
      <c r="B349">
        <v>1996</v>
      </c>
      <c r="C349" t="s">
        <v>197</v>
      </c>
      <c r="D349" t="s">
        <v>199</v>
      </c>
      <c r="E349" t="s">
        <v>134</v>
      </c>
      <c r="F349" t="s">
        <v>151</v>
      </c>
      <c r="G349" t="s">
        <v>201</v>
      </c>
      <c r="H349">
        <v>7</v>
      </c>
      <c r="I349">
        <v>13</v>
      </c>
      <c r="J349">
        <v>0</v>
      </c>
      <c r="K34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4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4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4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49">
        <f>IF(Games[[#This Row],[Team]]="","",IF(Games[[#This Row],[Conf]]=Games[[#This Row],[OppConf]],1,0))</f>
        <v>1</v>
      </c>
      <c r="P349">
        <f>IF(Games[[#This Row],[Team]]="","",IF(AND(Games[[#This Row],[Conf]]=Games[[#This Row],[OppConf]],Games[[#This Row],[Div]]=Games[[#This Row],[OppDiv]]),1,0))</f>
        <v>0</v>
      </c>
      <c r="Q349">
        <f>IF(Games[[#This Row],[Team]]="","",_xlfn.MINIFS(Games[Date],Games[Season],Games[[#This Row],[Season]]))</f>
        <v>35309</v>
      </c>
      <c r="R349">
        <f>IF(Games[[#This Row],[Team]]="","",INT((Games[[#This Row],[Date]]-(Games[[#This Row],[SeasonStart]]-MOD(WEEKDAY(Games[[#This Row],[SeasonStart]],2)-2,7)))/7)+1)</f>
        <v>13</v>
      </c>
      <c r="S349">
        <f>IF(Games[[#This Row],[Team]]="","",COUNTIFS(Games[Team],Games[[#This Row],[Team]],Games[Season],Games[[#This Row],[Season]],Games[Week],"&lt;="&amp;Games[[#This Row],[Week]]))</f>
        <v>12</v>
      </c>
      <c r="T349">
        <f>IF(Games[[#This Row],[Team]]="","",_xlfn.MAXIFS(Games[Week],Games[Team],Games[[#This Row],[Team]],Games[Season],Games[[#This Row],[Season]],Games[Week],"&lt;"&amp;Games[[#This Row],[Week]]))</f>
        <v>12</v>
      </c>
      <c r="U349">
        <f>IF(Games[[#This Row],[Team]]="","",_xlfn.MAXIFS(Games[Week],Games[Team],Games[[#This Row],[Opponent]],Games[Season],Games[[#This Row],[Season]],Games[Week],"&lt;"&amp;Games[[#This Row],[Week]]))</f>
        <v>12</v>
      </c>
      <c r="V34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4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1361.7739150011587</v>
      </c>
      <c r="Z34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1395.6639641078759</v>
      </c>
      <c r="AA34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0.35216137184576574</v>
      </c>
      <c r="AB349">
        <f>IF(Games[[#This Row],[Team]]="","",Games[[#This Row],[PointsFor]]-Games[[#This Row],[PointsAgainst]])</f>
        <v>-6</v>
      </c>
      <c r="AC349">
        <f>IF(Games[[#This Row],[Team]]="","",IF(Games[[#This Row],[MOV]]&gt;0,1,IF(Games[[#This Row],[MOV]]=0,0.5,0)))</f>
        <v>0</v>
      </c>
      <c r="AD349">
        <f>IF(Games[[#This Row],[Team]]="","",--(OR(AND(Games[[#This Row],[ExpectedWin]]&gt;=0.5,Games[[#This Row],[Result]]=1),AND(Games[[#This Row],[ExpectedWin]]&lt;0.5,Games[[#This Row],[Result]]=0))))</f>
        <v>1</v>
      </c>
      <c r="AE349">
        <f>IF(Games[[#This Row],[Team]]="","",-(Games[[#This Row],[Result]]*LN(Games[[#This Row],[ExpectedWin]])+(1-Games[[#This Row],[Result]])*LN(1-Games[[#This Row],[ExpectedWin]])))</f>
        <v>0.43411364426931931</v>
      </c>
      <c r="AF349">
        <f>IF(Games[[#This Row],[Team]]="","",IF(Games[[#This Row],[Season]]&gt;=2021,17,16))</f>
        <v>16</v>
      </c>
      <c r="AG349">
        <f>IF(Games[[#This Row],[Team]]="","",KMax-(KMax-KFloor)*MIN(Games[[#This Row],[GamesPlayed]],Games[[#This Row],[SeasonLen]])/Games[[#This Row],[SeasonLen]])</f>
        <v>38.650000000000006</v>
      </c>
      <c r="AH349">
        <f>IF(Games[[#This Row],[Team]]="","",((ABS(Games[[#This Row],[MOV]])+3)^0.8)/(7.5+0.006*ABS(Games[[#This Row],[PreGmRate]]-Games[[#This Row],[OppPreGmRate]]))*IF(Games[[#This Row],[OT]]=1,0.7,1))</f>
        <v>0.75286121513162252</v>
      </c>
      <c r="AI34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9">
        <f>IF(Games[[#This Row],[Team]]="","",Games[[#This Row],[K]]*IF(Games[[#This Row],[DivG]]=1,DivMult,1)*IF(Games[[#This Row],[ConfG]]=1,ConfMult,1)*Games[[#This Row],[POMult]])</f>
        <v>39.423000000000009</v>
      </c>
      <c r="AK349">
        <f>IF(Games[[#This Row],[Team]]="","",(Games[[#This Row],[Keff]]*Games[[#This Row],[MOVMult]])*(Games[[#This Row],[Result]]-Games[[#This Row],[ExpectedWin]]))</f>
        <v>-10.452166308892357</v>
      </c>
      <c r="AL349">
        <f>IF(Games[[#This Row],[Team]]="","",Games[[#This Row],[PreGmRate]]+Games[[#This Row],[RatingChange]])</f>
        <v>1351.3217486922663</v>
      </c>
      <c r="AM349">
        <f>IF(Games[[#This Row],[Team]]="","",IF(Games[[#This Row],[Type]]="R",IF(Games[[#This Row],[Result]]&gt;0.5,1,0),0))</f>
        <v>0</v>
      </c>
      <c r="AN349">
        <f>IF(Games[[#This Row],[Team]]="","",IF(Games[[#This Row],[Type]]="R",IF(Games[[#This Row],[Result]]&lt;0.5,1,0),0))</f>
        <v>1</v>
      </c>
      <c r="AO349">
        <f>IF(Games[[#This Row],[Team]]="","",IF(Games[[#This Row],[Type]]="R",IF(Games[[#This Row],[Result]]=0.5,1,0),0))</f>
        <v>0</v>
      </c>
    </row>
    <row r="350" spans="1:41" x14ac:dyDescent="0.35">
      <c r="A350" s="8">
        <v>35393</v>
      </c>
      <c r="B350">
        <v>1996</v>
      </c>
      <c r="C350" t="s">
        <v>197</v>
      </c>
      <c r="D350" t="s">
        <v>199</v>
      </c>
      <c r="E350" t="s">
        <v>148</v>
      </c>
      <c r="F350" t="s">
        <v>154</v>
      </c>
      <c r="G350" t="s">
        <v>201</v>
      </c>
      <c r="H350">
        <v>19</v>
      </c>
      <c r="I350">
        <v>16</v>
      </c>
      <c r="J350">
        <v>1</v>
      </c>
      <c r="K35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5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5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5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50">
        <f>IF(Games[[#This Row],[Team]]="","",IF(Games[[#This Row],[Conf]]=Games[[#This Row],[OppConf]],1,0))</f>
        <v>1</v>
      </c>
      <c r="P350">
        <f>IF(Games[[#This Row],[Team]]="","",IF(AND(Games[[#This Row],[Conf]]=Games[[#This Row],[OppConf]],Games[[#This Row],[Div]]=Games[[#This Row],[OppDiv]]),1,0))</f>
        <v>0</v>
      </c>
      <c r="Q350">
        <f>IF(Games[[#This Row],[Team]]="","",_xlfn.MINIFS(Games[Date],Games[Season],Games[[#This Row],[Season]]))</f>
        <v>35309</v>
      </c>
      <c r="R350">
        <f>IF(Games[[#This Row],[Team]]="","",INT((Games[[#This Row],[Date]]-(Games[[#This Row],[SeasonStart]]-MOD(WEEKDAY(Games[[#This Row],[SeasonStart]],2)-2,7)))/7)+1)</f>
        <v>13</v>
      </c>
      <c r="S350">
        <f>IF(Games[[#This Row],[Team]]="","",COUNTIFS(Games[Team],Games[[#This Row],[Team]],Games[Season],Games[[#This Row],[Season]],Games[Week],"&lt;="&amp;Games[[#This Row],[Week]]))</f>
        <v>12</v>
      </c>
      <c r="T350">
        <f>IF(Games[[#This Row],[Team]]="","",_xlfn.MAXIFS(Games[Week],Games[Team],Games[[#This Row],[Team]],Games[Season],Games[[#This Row],[Season]],Games[Week],"&lt;"&amp;Games[[#This Row],[Week]]))</f>
        <v>12</v>
      </c>
      <c r="U350">
        <f>IF(Games[[#This Row],[Team]]="","",_xlfn.MAXIFS(Games[Week],Games[Team],Games[[#This Row],[Opponent]],Games[Season],Games[[#This Row],[Season]],Games[Week],"&lt;"&amp;Games[[#This Row],[Week]]))</f>
        <v>12</v>
      </c>
      <c r="V35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5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5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5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1614.0367650702899</v>
      </c>
      <c r="Z35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1576.7161667728737</v>
      </c>
      <c r="AA35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0.4502574163267466</v>
      </c>
      <c r="AB350">
        <f>IF(Games[[#This Row],[Team]]="","",Games[[#This Row],[PointsFor]]-Games[[#This Row],[PointsAgainst]])</f>
        <v>3</v>
      </c>
      <c r="AC350">
        <f>IF(Games[[#This Row],[Team]]="","",IF(Games[[#This Row],[MOV]]&gt;0,1,IF(Games[[#This Row],[MOV]]=0,0.5,0)))</f>
        <v>1</v>
      </c>
      <c r="AD350">
        <f>IF(Games[[#This Row],[Team]]="","",--(OR(AND(Games[[#This Row],[ExpectedWin]]&gt;=0.5,Games[[#This Row],[Result]]=1),AND(Games[[#This Row],[ExpectedWin]]&lt;0.5,Games[[#This Row],[Result]]=0))))</f>
        <v>0</v>
      </c>
      <c r="AE350">
        <f>IF(Games[[#This Row],[Team]]="","",-(Games[[#This Row],[Result]]*LN(Games[[#This Row],[ExpectedWin]])+(1-Games[[#This Row],[Result]])*LN(1-Games[[#This Row],[ExpectedWin]])))</f>
        <v>0.79793582348649805</v>
      </c>
      <c r="AF350">
        <f>IF(Games[[#This Row],[Team]]="","",IF(Games[[#This Row],[Season]]&gt;=2021,17,16))</f>
        <v>16</v>
      </c>
      <c r="AG350">
        <f>IF(Games[[#This Row],[Team]]="","",KMax-(KMax-KFloor)*MIN(Games[[#This Row],[GamesPlayed]],Games[[#This Row],[SeasonLen]])/Games[[#This Row],[SeasonLen]])</f>
        <v>38.650000000000006</v>
      </c>
      <c r="AH350">
        <f>IF(Games[[#This Row],[Team]]="","",((ABS(Games[[#This Row],[MOV]])+3)^0.8)/(7.5+0.006*ABS(Games[[#This Row],[PreGmRate]]-Games[[#This Row],[OppPreGmRate]]))*IF(Games[[#This Row],[OT]]=1,0.7,1))</f>
        <v>0.3799977905947311</v>
      </c>
      <c r="AI35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0">
        <f>IF(Games[[#This Row],[Team]]="","",Games[[#This Row],[K]]*IF(Games[[#This Row],[DivG]]=1,DivMult,1)*IF(Games[[#This Row],[ConfG]]=1,ConfMult,1)*Games[[#This Row],[POMult]])</f>
        <v>39.423000000000009</v>
      </c>
      <c r="AK350">
        <f>IF(Games[[#This Row],[Team]]="","",(Games[[#This Row],[Keff]]*Games[[#This Row],[MOVMult]])*(Games[[#This Row],[Result]]-Games[[#This Row],[ExpectedWin]]))</f>
        <v>8.2355028295974222</v>
      </c>
      <c r="AL350">
        <f>IF(Games[[#This Row],[Team]]="","",Games[[#This Row],[PreGmRate]]+Games[[#This Row],[RatingChange]])</f>
        <v>1622.2722678998873</v>
      </c>
      <c r="AM350">
        <f>IF(Games[[#This Row],[Team]]="","",IF(Games[[#This Row],[Type]]="R",IF(Games[[#This Row],[Result]]&gt;0.5,1,0),0))</f>
        <v>1</v>
      </c>
      <c r="AN350">
        <f>IF(Games[[#This Row],[Team]]="","",IF(Games[[#This Row],[Type]]="R",IF(Games[[#This Row],[Result]]&lt;0.5,1,0),0))</f>
        <v>0</v>
      </c>
      <c r="AO350">
        <f>IF(Games[[#This Row],[Team]]="","",IF(Games[[#This Row],[Type]]="R",IF(Games[[#This Row],[Result]]=0.5,1,0),0))</f>
        <v>0</v>
      </c>
    </row>
    <row r="351" spans="1:41" x14ac:dyDescent="0.35">
      <c r="A351" s="8">
        <v>35393</v>
      </c>
      <c r="B351">
        <v>1996</v>
      </c>
      <c r="C351" t="s">
        <v>197</v>
      </c>
      <c r="D351" t="s">
        <v>199</v>
      </c>
      <c r="E351" t="s">
        <v>154</v>
      </c>
      <c r="F351" t="s">
        <v>148</v>
      </c>
      <c r="G351" t="s">
        <v>200</v>
      </c>
      <c r="H351">
        <v>16</v>
      </c>
      <c r="I351">
        <v>19</v>
      </c>
      <c r="J351">
        <v>1</v>
      </c>
      <c r="K35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5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5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5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51">
        <f>IF(Games[[#This Row],[Team]]="","",IF(Games[[#This Row],[Conf]]=Games[[#This Row],[OppConf]],1,0))</f>
        <v>1</v>
      </c>
      <c r="P351">
        <f>IF(Games[[#This Row],[Team]]="","",IF(AND(Games[[#This Row],[Conf]]=Games[[#This Row],[OppConf]],Games[[#This Row],[Div]]=Games[[#This Row],[OppDiv]]),1,0))</f>
        <v>0</v>
      </c>
      <c r="Q351">
        <f>IF(Games[[#This Row],[Team]]="","",_xlfn.MINIFS(Games[Date],Games[Season],Games[[#This Row],[Season]]))</f>
        <v>35309</v>
      </c>
      <c r="R351">
        <f>IF(Games[[#This Row],[Team]]="","",INT((Games[[#This Row],[Date]]-(Games[[#This Row],[SeasonStart]]-MOD(WEEKDAY(Games[[#This Row],[SeasonStart]],2)-2,7)))/7)+1)</f>
        <v>13</v>
      </c>
      <c r="S351">
        <f>IF(Games[[#This Row],[Team]]="","",COUNTIFS(Games[Team],Games[[#This Row],[Team]],Games[Season],Games[[#This Row],[Season]],Games[Week],"&lt;="&amp;Games[[#This Row],[Week]]))</f>
        <v>12</v>
      </c>
      <c r="T351">
        <f>IF(Games[[#This Row],[Team]]="","",_xlfn.MAXIFS(Games[Week],Games[Team],Games[[#This Row],[Team]],Games[Season],Games[[#This Row],[Season]],Games[Week],"&lt;"&amp;Games[[#This Row],[Week]]))</f>
        <v>12</v>
      </c>
      <c r="U351">
        <f>IF(Games[[#This Row],[Team]]="","",_xlfn.MAXIFS(Games[Week],Games[Team],Games[[#This Row],[Opponent]],Games[Season],Games[[#This Row],[Season]],Games[Week],"&lt;"&amp;Games[[#This Row],[Week]]))</f>
        <v>12</v>
      </c>
      <c r="V35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5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5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5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1576.7161667728737</v>
      </c>
      <c r="Z35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1614.0367650702899</v>
      </c>
      <c r="AA35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0.54974258367325346</v>
      </c>
      <c r="AB351">
        <f>IF(Games[[#This Row],[Team]]="","",Games[[#This Row],[PointsFor]]-Games[[#This Row],[PointsAgainst]])</f>
        <v>-3</v>
      </c>
      <c r="AC351">
        <f>IF(Games[[#This Row],[Team]]="","",IF(Games[[#This Row],[MOV]]&gt;0,1,IF(Games[[#This Row],[MOV]]=0,0.5,0)))</f>
        <v>0</v>
      </c>
      <c r="AD351">
        <f>IF(Games[[#This Row],[Team]]="","",--(OR(AND(Games[[#This Row],[ExpectedWin]]&gt;=0.5,Games[[#This Row],[Result]]=1),AND(Games[[#This Row],[ExpectedWin]]&lt;0.5,Games[[#This Row],[Result]]=0))))</f>
        <v>0</v>
      </c>
      <c r="AE351">
        <f>IF(Games[[#This Row],[Team]]="","",-(Games[[#This Row],[Result]]*LN(Games[[#This Row],[ExpectedWin]])+(1-Games[[#This Row],[Result]])*LN(1-Games[[#This Row],[ExpectedWin]])))</f>
        <v>0.79793582348649816</v>
      </c>
      <c r="AF351">
        <f>IF(Games[[#This Row],[Team]]="","",IF(Games[[#This Row],[Season]]&gt;=2021,17,16))</f>
        <v>16</v>
      </c>
      <c r="AG351">
        <f>IF(Games[[#This Row],[Team]]="","",KMax-(KMax-KFloor)*MIN(Games[[#This Row],[GamesPlayed]],Games[[#This Row],[SeasonLen]])/Games[[#This Row],[SeasonLen]])</f>
        <v>38.650000000000006</v>
      </c>
      <c r="AH351">
        <f>IF(Games[[#This Row],[Team]]="","",((ABS(Games[[#This Row],[MOV]])+3)^0.8)/(7.5+0.006*ABS(Games[[#This Row],[PreGmRate]]-Games[[#This Row],[OppPreGmRate]]))*IF(Games[[#This Row],[OT]]=1,0.7,1))</f>
        <v>0.3799977905947311</v>
      </c>
      <c r="AI35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1">
        <f>IF(Games[[#This Row],[Team]]="","",Games[[#This Row],[K]]*IF(Games[[#This Row],[DivG]]=1,DivMult,1)*IF(Games[[#This Row],[ConfG]]=1,ConfMult,1)*Games[[#This Row],[POMult]])</f>
        <v>39.423000000000009</v>
      </c>
      <c r="AK351">
        <f>IF(Games[[#This Row],[Team]]="","",(Games[[#This Row],[Keff]]*Games[[#This Row],[MOVMult]])*(Games[[#This Row],[Result]]-Games[[#This Row],[ExpectedWin]]))</f>
        <v>-8.2355028295974222</v>
      </c>
      <c r="AL351">
        <f>IF(Games[[#This Row],[Team]]="","",Games[[#This Row],[PreGmRate]]+Games[[#This Row],[RatingChange]])</f>
        <v>1568.4806639432763</v>
      </c>
      <c r="AM351">
        <f>IF(Games[[#This Row],[Team]]="","",IF(Games[[#This Row],[Type]]="R",IF(Games[[#This Row],[Result]]&gt;0.5,1,0),0))</f>
        <v>0</v>
      </c>
      <c r="AN351">
        <f>IF(Games[[#This Row],[Team]]="","",IF(Games[[#This Row],[Type]]="R",IF(Games[[#This Row],[Result]]&lt;0.5,1,0),0))</f>
        <v>1</v>
      </c>
      <c r="AO351">
        <f>IF(Games[[#This Row],[Team]]="","",IF(Games[[#This Row],[Type]]="R",IF(Games[[#This Row],[Result]]=0.5,1,0),0))</f>
        <v>0</v>
      </c>
    </row>
    <row r="352" spans="1:41" x14ac:dyDescent="0.35">
      <c r="A352" s="8">
        <v>35393</v>
      </c>
      <c r="B352">
        <v>1996</v>
      </c>
      <c r="C352" t="s">
        <v>197</v>
      </c>
      <c r="D352" t="s">
        <v>199</v>
      </c>
      <c r="E352" t="s">
        <v>93</v>
      </c>
      <c r="F352" t="s">
        <v>141</v>
      </c>
      <c r="G352" t="s">
        <v>200</v>
      </c>
      <c r="H352">
        <v>36</v>
      </c>
      <c r="I352">
        <v>30</v>
      </c>
      <c r="J352">
        <v>0</v>
      </c>
      <c r="K35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5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5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5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52">
        <f>IF(Games[[#This Row],[Team]]="","",IF(Games[[#This Row],[Conf]]=Games[[#This Row],[OppConf]],1,0))</f>
        <v>1</v>
      </c>
      <c r="P352">
        <f>IF(Games[[#This Row],[Team]]="","",IF(AND(Games[[#This Row],[Conf]]=Games[[#This Row],[OppConf]],Games[[#This Row],[Div]]=Games[[#This Row],[OppDiv]]),1,0))</f>
        <v>1</v>
      </c>
      <c r="Q352">
        <f>IF(Games[[#This Row],[Team]]="","",_xlfn.MINIFS(Games[Date],Games[Season],Games[[#This Row],[Season]]))</f>
        <v>35309</v>
      </c>
      <c r="R352">
        <f>IF(Games[[#This Row],[Team]]="","",INT((Games[[#This Row],[Date]]-(Games[[#This Row],[SeasonStart]]-MOD(WEEKDAY(Games[[#This Row],[SeasonStart]],2)-2,7)))/7)+1)</f>
        <v>13</v>
      </c>
      <c r="S352">
        <f>IF(Games[[#This Row],[Team]]="","",COUNTIFS(Games[Team],Games[[#This Row],[Team]],Games[Season],Games[[#This Row],[Season]],Games[Week],"&lt;="&amp;Games[[#This Row],[Week]]))</f>
        <v>12</v>
      </c>
      <c r="T352">
        <f>IF(Games[[#This Row],[Team]]="","",_xlfn.MAXIFS(Games[Week],Games[Team],Games[[#This Row],[Team]],Games[Season],Games[[#This Row],[Season]],Games[Week],"&lt;"&amp;Games[[#This Row],[Week]]))</f>
        <v>12</v>
      </c>
      <c r="U352">
        <f>IF(Games[[#This Row],[Team]]="","",_xlfn.MAXIFS(Games[Week],Games[Team],Games[[#This Row],[Opponent]],Games[Season],Games[[#This Row],[Season]],Games[Week],"&lt;"&amp;Games[[#This Row],[Week]]))</f>
        <v>12</v>
      </c>
      <c r="V35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5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5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5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1424.8359831233527</v>
      </c>
      <c r="Z35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1561.2782188997644</v>
      </c>
      <c r="AA35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0.40830923429982935</v>
      </c>
      <c r="AB352">
        <f>IF(Games[[#This Row],[Team]]="","",Games[[#This Row],[PointsFor]]-Games[[#This Row],[PointsAgainst]])</f>
        <v>6</v>
      </c>
      <c r="AC352">
        <f>IF(Games[[#This Row],[Team]]="","",IF(Games[[#This Row],[MOV]]&gt;0,1,IF(Games[[#This Row],[MOV]]=0,0.5,0)))</f>
        <v>1</v>
      </c>
      <c r="AD352">
        <f>IF(Games[[#This Row],[Team]]="","",--(OR(AND(Games[[#This Row],[ExpectedWin]]&gt;=0.5,Games[[#This Row],[Result]]=1),AND(Games[[#This Row],[ExpectedWin]]&lt;0.5,Games[[#This Row],[Result]]=0))))</f>
        <v>0</v>
      </c>
      <c r="AE352">
        <f>IF(Games[[#This Row],[Team]]="","",-(Games[[#This Row],[Result]]*LN(Games[[#This Row],[ExpectedWin]])+(1-Games[[#This Row],[Result]])*LN(1-Games[[#This Row],[ExpectedWin]])))</f>
        <v>0.89573046445428672</v>
      </c>
      <c r="AF352">
        <f>IF(Games[[#This Row],[Team]]="","",IF(Games[[#This Row],[Season]]&gt;=2021,17,16))</f>
        <v>16</v>
      </c>
      <c r="AG352">
        <f>IF(Games[[#This Row],[Team]]="","",KMax-(KMax-KFloor)*MIN(Games[[#This Row],[GamesPlayed]],Games[[#This Row],[SeasonLen]])/Games[[#This Row],[SeasonLen]])</f>
        <v>38.650000000000006</v>
      </c>
      <c r="AH352">
        <f>IF(Games[[#This Row],[Team]]="","",((ABS(Games[[#This Row],[MOV]])+3)^0.8)/(7.5+0.006*ABS(Games[[#This Row],[PreGmRate]]-Games[[#This Row],[OppPreGmRate]]))*IF(Games[[#This Row],[OT]]=1,0.7,1))</f>
        <v>0.69717367050967527</v>
      </c>
      <c r="AI35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2">
        <f>IF(Games[[#This Row],[Team]]="","",Games[[#This Row],[K]]*IF(Games[[#This Row],[DivG]]=1,DivMult,1)*IF(Games[[#This Row],[ConfG]]=1,ConfMult,1)*Games[[#This Row],[POMult]])</f>
        <v>43.365300000000012</v>
      </c>
      <c r="AK352">
        <f>IF(Games[[#This Row],[Team]]="","",(Games[[#This Row],[Keff]]*Games[[#This Row],[MOVMult]])*(Games[[#This Row],[Result]]-Games[[#This Row],[ExpectedWin]]))</f>
        <v>17.888672935720621</v>
      </c>
      <c r="AL352">
        <f>IF(Games[[#This Row],[Team]]="","",Games[[#This Row],[PreGmRate]]+Games[[#This Row],[RatingChange]])</f>
        <v>1442.7246560590734</v>
      </c>
      <c r="AM352">
        <f>IF(Games[[#This Row],[Team]]="","",IF(Games[[#This Row],[Type]]="R",IF(Games[[#This Row],[Result]]&gt;0.5,1,0),0))</f>
        <v>1</v>
      </c>
      <c r="AN352">
        <f>IF(Games[[#This Row],[Team]]="","",IF(Games[[#This Row],[Type]]="R",IF(Games[[#This Row],[Result]]&lt;0.5,1,0),0))</f>
        <v>0</v>
      </c>
      <c r="AO352">
        <f>IF(Games[[#This Row],[Team]]="","",IF(Games[[#This Row],[Type]]="R",IF(Games[[#This Row],[Result]]=0.5,1,0),0))</f>
        <v>0</v>
      </c>
    </row>
    <row r="353" spans="1:41" x14ac:dyDescent="0.35">
      <c r="A353" s="8">
        <v>35393</v>
      </c>
      <c r="B353">
        <v>1996</v>
      </c>
      <c r="C353" t="s">
        <v>197</v>
      </c>
      <c r="D353" t="s">
        <v>199</v>
      </c>
      <c r="E353" t="s">
        <v>141</v>
      </c>
      <c r="F353" t="s">
        <v>93</v>
      </c>
      <c r="G353" t="s">
        <v>201</v>
      </c>
      <c r="H353">
        <v>30</v>
      </c>
      <c r="I353">
        <v>36</v>
      </c>
      <c r="J353">
        <v>0</v>
      </c>
      <c r="K35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5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5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5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53">
        <f>IF(Games[[#This Row],[Team]]="","",IF(Games[[#This Row],[Conf]]=Games[[#This Row],[OppConf]],1,0))</f>
        <v>1</v>
      </c>
      <c r="P353">
        <f>IF(Games[[#This Row],[Team]]="","",IF(AND(Games[[#This Row],[Conf]]=Games[[#This Row],[OppConf]],Games[[#This Row],[Div]]=Games[[#This Row],[OppDiv]]),1,0))</f>
        <v>1</v>
      </c>
      <c r="Q353">
        <f>IF(Games[[#This Row],[Team]]="","",_xlfn.MINIFS(Games[Date],Games[Season],Games[[#This Row],[Season]]))</f>
        <v>35309</v>
      </c>
      <c r="R353">
        <f>IF(Games[[#This Row],[Team]]="","",INT((Games[[#This Row],[Date]]-(Games[[#This Row],[SeasonStart]]-MOD(WEEKDAY(Games[[#This Row],[SeasonStart]],2)-2,7)))/7)+1)</f>
        <v>13</v>
      </c>
      <c r="S353">
        <f>IF(Games[[#This Row],[Team]]="","",COUNTIFS(Games[Team],Games[[#This Row],[Team]],Games[Season],Games[[#This Row],[Season]],Games[Week],"&lt;="&amp;Games[[#This Row],[Week]]))</f>
        <v>12</v>
      </c>
      <c r="T353">
        <f>IF(Games[[#This Row],[Team]]="","",_xlfn.MAXIFS(Games[Week],Games[Team],Games[[#This Row],[Team]],Games[Season],Games[[#This Row],[Season]],Games[Week],"&lt;"&amp;Games[[#This Row],[Week]]))</f>
        <v>12</v>
      </c>
      <c r="U353">
        <f>IF(Games[[#This Row],[Team]]="","",_xlfn.MAXIFS(Games[Week],Games[Team],Games[[#This Row],[Opponent]],Games[Season],Games[[#This Row],[Season]],Games[Week],"&lt;"&amp;Games[[#This Row],[Week]]))</f>
        <v>12</v>
      </c>
      <c r="V35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5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5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5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1561.2782188997644</v>
      </c>
      <c r="Z35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1424.8359831233527</v>
      </c>
      <c r="AA35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0.59169076570017065</v>
      </c>
      <c r="AB353">
        <f>IF(Games[[#This Row],[Team]]="","",Games[[#This Row],[PointsFor]]-Games[[#This Row],[PointsAgainst]])</f>
        <v>-6</v>
      </c>
      <c r="AC353">
        <f>IF(Games[[#This Row],[Team]]="","",IF(Games[[#This Row],[MOV]]&gt;0,1,IF(Games[[#This Row],[MOV]]=0,0.5,0)))</f>
        <v>0</v>
      </c>
      <c r="AD353">
        <f>IF(Games[[#This Row],[Team]]="","",--(OR(AND(Games[[#This Row],[ExpectedWin]]&gt;=0.5,Games[[#This Row],[Result]]=1),AND(Games[[#This Row],[ExpectedWin]]&lt;0.5,Games[[#This Row],[Result]]=0))))</f>
        <v>0</v>
      </c>
      <c r="AE353">
        <f>IF(Games[[#This Row],[Team]]="","",-(Games[[#This Row],[Result]]*LN(Games[[#This Row],[ExpectedWin]])+(1-Games[[#This Row],[Result]])*LN(1-Games[[#This Row],[ExpectedWin]])))</f>
        <v>0.89573046445428672</v>
      </c>
      <c r="AF353">
        <f>IF(Games[[#This Row],[Team]]="","",IF(Games[[#This Row],[Season]]&gt;=2021,17,16))</f>
        <v>16</v>
      </c>
      <c r="AG353">
        <f>IF(Games[[#This Row],[Team]]="","",KMax-(KMax-KFloor)*MIN(Games[[#This Row],[GamesPlayed]],Games[[#This Row],[SeasonLen]])/Games[[#This Row],[SeasonLen]])</f>
        <v>38.650000000000006</v>
      </c>
      <c r="AH353">
        <f>IF(Games[[#This Row],[Team]]="","",((ABS(Games[[#This Row],[MOV]])+3)^0.8)/(7.5+0.006*ABS(Games[[#This Row],[PreGmRate]]-Games[[#This Row],[OppPreGmRate]]))*IF(Games[[#This Row],[OT]]=1,0.7,1))</f>
        <v>0.69717367050967527</v>
      </c>
      <c r="AI35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3">
        <f>IF(Games[[#This Row],[Team]]="","",Games[[#This Row],[K]]*IF(Games[[#This Row],[DivG]]=1,DivMult,1)*IF(Games[[#This Row],[ConfG]]=1,ConfMult,1)*Games[[#This Row],[POMult]])</f>
        <v>43.365300000000012</v>
      </c>
      <c r="AK353">
        <f>IF(Games[[#This Row],[Team]]="","",(Games[[#This Row],[Keff]]*Games[[#This Row],[MOVMult]])*(Games[[#This Row],[Result]]-Games[[#This Row],[ExpectedWin]]))</f>
        <v>-17.888672935720621</v>
      </c>
      <c r="AL353">
        <f>IF(Games[[#This Row],[Team]]="","",Games[[#This Row],[PreGmRate]]+Games[[#This Row],[RatingChange]])</f>
        <v>1543.3895459640437</v>
      </c>
      <c r="AM353">
        <f>IF(Games[[#This Row],[Team]]="","",IF(Games[[#This Row],[Type]]="R",IF(Games[[#This Row],[Result]]&gt;0.5,1,0),0))</f>
        <v>0</v>
      </c>
      <c r="AN353">
        <f>IF(Games[[#This Row],[Team]]="","",IF(Games[[#This Row],[Type]]="R",IF(Games[[#This Row],[Result]]&lt;0.5,1,0),0))</f>
        <v>1</v>
      </c>
      <c r="AO353">
        <f>IF(Games[[#This Row],[Team]]="","",IF(Games[[#This Row],[Type]]="R",IF(Games[[#This Row],[Result]]=0.5,1,0),0))</f>
        <v>0</v>
      </c>
    </row>
    <row r="354" spans="1:41" x14ac:dyDescent="0.35">
      <c r="A354" s="8">
        <v>35393</v>
      </c>
      <c r="B354">
        <v>1996</v>
      </c>
      <c r="C354" t="s">
        <v>197</v>
      </c>
      <c r="D354" t="s">
        <v>199</v>
      </c>
      <c r="E354" t="s">
        <v>136</v>
      </c>
      <c r="F354" t="s">
        <v>114</v>
      </c>
      <c r="G354" t="s">
        <v>200</v>
      </c>
      <c r="H354">
        <v>20</v>
      </c>
      <c r="I354">
        <v>6</v>
      </c>
      <c r="J354">
        <v>0</v>
      </c>
      <c r="K35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5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5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5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54">
        <f>IF(Games[[#This Row],[Team]]="","",IF(Games[[#This Row],[Conf]]=Games[[#This Row],[OppConf]],1,0))</f>
        <v>1</v>
      </c>
      <c r="P354">
        <f>IF(Games[[#This Row],[Team]]="","",IF(AND(Games[[#This Row],[Conf]]=Games[[#This Row],[OppConf]],Games[[#This Row],[Div]]=Games[[#This Row],[OppDiv]]),1,0))</f>
        <v>1</v>
      </c>
      <c r="Q354">
        <f>IF(Games[[#This Row],[Team]]="","",_xlfn.MINIFS(Games[Date],Games[Season],Games[[#This Row],[Season]]))</f>
        <v>35309</v>
      </c>
      <c r="R354">
        <f>IF(Games[[#This Row],[Team]]="","",INT((Games[[#This Row],[Date]]-(Games[[#This Row],[SeasonStart]]-MOD(WEEKDAY(Games[[#This Row],[SeasonStart]],2)-2,7)))/7)+1)</f>
        <v>13</v>
      </c>
      <c r="S354">
        <f>IF(Games[[#This Row],[Team]]="","",COUNTIFS(Games[Team],Games[[#This Row],[Team]],Games[Season],Games[[#This Row],[Season]],Games[Week],"&lt;="&amp;Games[[#This Row],[Week]]))</f>
        <v>12</v>
      </c>
      <c r="T354">
        <f>IF(Games[[#This Row],[Team]]="","",_xlfn.MAXIFS(Games[Week],Games[Team],Games[[#This Row],[Team]],Games[Season],Games[[#This Row],[Season]],Games[Week],"&lt;"&amp;Games[[#This Row],[Week]]))</f>
        <v>12</v>
      </c>
      <c r="U354">
        <f>IF(Games[[#This Row],[Team]]="","",_xlfn.MAXIFS(Games[Week],Games[Team],Games[[#This Row],[Opponent]],Games[Season],Games[[#This Row],[Season]],Games[Week],"&lt;"&amp;Games[[#This Row],[Week]]))</f>
        <v>12</v>
      </c>
      <c r="V35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5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35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35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1454.7836609703829</v>
      </c>
      <c r="Z35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1588.5515884764393</v>
      </c>
      <c r="AA35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0.42042572504731579</v>
      </c>
      <c r="AB354">
        <f>IF(Games[[#This Row],[Team]]="","",Games[[#This Row],[PointsFor]]-Games[[#This Row],[PointsAgainst]])</f>
        <v>14</v>
      </c>
      <c r="AC354">
        <f>IF(Games[[#This Row],[Team]]="","",IF(Games[[#This Row],[MOV]]&gt;0,1,IF(Games[[#This Row],[MOV]]=0,0.5,0)))</f>
        <v>1</v>
      </c>
      <c r="AD354">
        <f>IF(Games[[#This Row],[Team]]="","",--(OR(AND(Games[[#This Row],[ExpectedWin]]&gt;=0.5,Games[[#This Row],[Result]]=1),AND(Games[[#This Row],[ExpectedWin]]&lt;0.5,Games[[#This Row],[Result]]=0))))</f>
        <v>0</v>
      </c>
      <c r="AE354">
        <f>IF(Games[[#This Row],[Team]]="","",-(Games[[#This Row],[Result]]*LN(Games[[#This Row],[ExpectedWin]])+(1-Games[[#This Row],[Result]])*LN(1-Games[[#This Row],[ExpectedWin]])))</f>
        <v>0.86648745001676608</v>
      </c>
      <c r="AF354">
        <f>IF(Games[[#This Row],[Team]]="","",IF(Games[[#This Row],[Season]]&gt;=2021,17,16))</f>
        <v>16</v>
      </c>
      <c r="AG354">
        <f>IF(Games[[#This Row],[Team]]="","",KMax-(KMax-KFloor)*MIN(Games[[#This Row],[GamesPlayed]],Games[[#This Row],[SeasonLen]])/Games[[#This Row],[SeasonLen]])</f>
        <v>38.650000000000006</v>
      </c>
      <c r="AH354">
        <f>IF(Games[[#This Row],[Team]]="","",((ABS(Games[[#This Row],[MOV]])+3)^0.8)/(7.5+0.006*ABS(Games[[#This Row],[PreGmRate]]-Games[[#This Row],[OppPreGmRate]]))*IF(Games[[#This Row],[OT]]=1,0.7,1))</f>
        <v>1.1618354572169456</v>
      </c>
      <c r="AI35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4">
        <f>IF(Games[[#This Row],[Team]]="","",Games[[#This Row],[K]]*IF(Games[[#This Row],[DivG]]=1,DivMult,1)*IF(Games[[#This Row],[ConfG]]=1,ConfMult,1)*Games[[#This Row],[POMult]])</f>
        <v>43.365300000000012</v>
      </c>
      <c r="AK354">
        <f>IF(Games[[#This Row],[Team]]="","",(Games[[#This Row],[Keff]]*Games[[#This Row],[MOVMult]])*(Games[[#This Row],[Result]]-Games[[#This Row],[ExpectedWin]]))</f>
        <v>29.20088957750534</v>
      </c>
      <c r="AL354">
        <f>IF(Games[[#This Row],[Team]]="","",Games[[#This Row],[PreGmRate]]+Games[[#This Row],[RatingChange]])</f>
        <v>1483.9845505478884</v>
      </c>
      <c r="AM354">
        <f>IF(Games[[#This Row],[Team]]="","",IF(Games[[#This Row],[Type]]="R",IF(Games[[#This Row],[Result]]&gt;0.5,1,0),0))</f>
        <v>1</v>
      </c>
      <c r="AN354">
        <f>IF(Games[[#This Row],[Team]]="","",IF(Games[[#This Row],[Type]]="R",IF(Games[[#This Row],[Result]]&lt;0.5,1,0),0))</f>
        <v>0</v>
      </c>
      <c r="AO354">
        <f>IF(Games[[#This Row],[Team]]="","",IF(Games[[#This Row],[Type]]="R",IF(Games[[#This Row],[Result]]=0.5,1,0),0))</f>
        <v>0</v>
      </c>
    </row>
    <row r="355" spans="1:41" x14ac:dyDescent="0.35">
      <c r="A355" s="8">
        <v>35393</v>
      </c>
      <c r="B355">
        <v>1996</v>
      </c>
      <c r="C355" t="s">
        <v>197</v>
      </c>
      <c r="D355" t="s">
        <v>199</v>
      </c>
      <c r="E355" t="s">
        <v>114</v>
      </c>
      <c r="F355" t="s">
        <v>136</v>
      </c>
      <c r="G355" t="s">
        <v>201</v>
      </c>
      <c r="H355">
        <v>6</v>
      </c>
      <c r="I355">
        <v>20</v>
      </c>
      <c r="J355">
        <v>0</v>
      </c>
      <c r="K35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5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5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5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55">
        <f>IF(Games[[#This Row],[Team]]="","",IF(Games[[#This Row],[Conf]]=Games[[#This Row],[OppConf]],1,0))</f>
        <v>1</v>
      </c>
      <c r="P355">
        <f>IF(Games[[#This Row],[Team]]="","",IF(AND(Games[[#This Row],[Conf]]=Games[[#This Row],[OppConf]],Games[[#This Row],[Div]]=Games[[#This Row],[OppDiv]]),1,0))</f>
        <v>1</v>
      </c>
      <c r="Q355">
        <f>IF(Games[[#This Row],[Team]]="","",_xlfn.MINIFS(Games[Date],Games[Season],Games[[#This Row],[Season]]))</f>
        <v>35309</v>
      </c>
      <c r="R355">
        <f>IF(Games[[#This Row],[Team]]="","",INT((Games[[#This Row],[Date]]-(Games[[#This Row],[SeasonStart]]-MOD(WEEKDAY(Games[[#This Row],[SeasonStart]],2)-2,7)))/7)+1)</f>
        <v>13</v>
      </c>
      <c r="S355">
        <f>IF(Games[[#This Row],[Team]]="","",COUNTIFS(Games[Team],Games[[#This Row],[Team]],Games[Season],Games[[#This Row],[Season]],Games[Week],"&lt;="&amp;Games[[#This Row],[Week]]))</f>
        <v>12</v>
      </c>
      <c r="T355">
        <f>IF(Games[[#This Row],[Team]]="","",_xlfn.MAXIFS(Games[Week],Games[Team],Games[[#This Row],[Team]],Games[Season],Games[[#This Row],[Season]],Games[Week],"&lt;"&amp;Games[[#This Row],[Week]]))</f>
        <v>12</v>
      </c>
      <c r="U355">
        <f>IF(Games[[#This Row],[Team]]="","",_xlfn.MAXIFS(Games[Week],Games[Team],Games[[#This Row],[Opponent]],Games[Season],Games[[#This Row],[Season]],Games[Week],"&lt;"&amp;Games[[#This Row],[Week]]))</f>
        <v>12</v>
      </c>
      <c r="V35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35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5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35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1588.5515884764393</v>
      </c>
      <c r="Z35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1454.7836609703829</v>
      </c>
      <c r="AA35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0.5795742749526841</v>
      </c>
      <c r="AB355">
        <f>IF(Games[[#This Row],[Team]]="","",Games[[#This Row],[PointsFor]]-Games[[#This Row],[PointsAgainst]])</f>
        <v>-14</v>
      </c>
      <c r="AC355">
        <f>IF(Games[[#This Row],[Team]]="","",IF(Games[[#This Row],[MOV]]&gt;0,1,IF(Games[[#This Row],[MOV]]=0,0.5,0)))</f>
        <v>0</v>
      </c>
      <c r="AD355">
        <f>IF(Games[[#This Row],[Team]]="","",--(OR(AND(Games[[#This Row],[ExpectedWin]]&gt;=0.5,Games[[#This Row],[Result]]=1),AND(Games[[#This Row],[ExpectedWin]]&lt;0.5,Games[[#This Row],[Result]]=0))))</f>
        <v>0</v>
      </c>
      <c r="AE355">
        <f>IF(Games[[#This Row],[Team]]="","",-(Games[[#This Row],[Result]]*LN(Games[[#This Row],[ExpectedWin]])+(1-Games[[#This Row],[Result]])*LN(1-Games[[#This Row],[ExpectedWin]])))</f>
        <v>0.86648745001676586</v>
      </c>
      <c r="AF355">
        <f>IF(Games[[#This Row],[Team]]="","",IF(Games[[#This Row],[Season]]&gt;=2021,17,16))</f>
        <v>16</v>
      </c>
      <c r="AG355">
        <f>IF(Games[[#This Row],[Team]]="","",KMax-(KMax-KFloor)*MIN(Games[[#This Row],[GamesPlayed]],Games[[#This Row],[SeasonLen]])/Games[[#This Row],[SeasonLen]])</f>
        <v>38.650000000000006</v>
      </c>
      <c r="AH355">
        <f>IF(Games[[#This Row],[Team]]="","",((ABS(Games[[#This Row],[MOV]])+3)^0.8)/(7.5+0.006*ABS(Games[[#This Row],[PreGmRate]]-Games[[#This Row],[OppPreGmRate]]))*IF(Games[[#This Row],[OT]]=1,0.7,1))</f>
        <v>1.1618354572169456</v>
      </c>
      <c r="AI35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5">
        <f>IF(Games[[#This Row],[Team]]="","",Games[[#This Row],[K]]*IF(Games[[#This Row],[DivG]]=1,DivMult,1)*IF(Games[[#This Row],[ConfG]]=1,ConfMult,1)*Games[[#This Row],[POMult]])</f>
        <v>43.365300000000012</v>
      </c>
      <c r="AK355">
        <f>IF(Games[[#This Row],[Team]]="","",(Games[[#This Row],[Keff]]*Games[[#This Row],[MOVMult]])*(Games[[#This Row],[Result]]-Games[[#This Row],[ExpectedWin]]))</f>
        <v>-29.200889577505333</v>
      </c>
      <c r="AL355">
        <f>IF(Games[[#This Row],[Team]]="","",Games[[#This Row],[PreGmRate]]+Games[[#This Row],[RatingChange]])</f>
        <v>1559.3506988989341</v>
      </c>
      <c r="AM355">
        <f>IF(Games[[#This Row],[Team]]="","",IF(Games[[#This Row],[Type]]="R",IF(Games[[#This Row],[Result]]&gt;0.5,1,0),0))</f>
        <v>0</v>
      </c>
      <c r="AN355">
        <f>IF(Games[[#This Row],[Team]]="","",IF(Games[[#This Row],[Type]]="R",IF(Games[[#This Row],[Result]]&lt;0.5,1,0),0))</f>
        <v>1</v>
      </c>
      <c r="AO355">
        <f>IF(Games[[#This Row],[Team]]="","",IF(Games[[#This Row],[Type]]="R",IF(Games[[#This Row],[Result]]=0.5,1,0),0))</f>
        <v>0</v>
      </c>
    </row>
    <row r="356" spans="1:41" x14ac:dyDescent="0.35">
      <c r="A356" s="8">
        <v>35393</v>
      </c>
      <c r="B356">
        <v>1996</v>
      </c>
      <c r="C356" t="s">
        <v>197</v>
      </c>
      <c r="D356" t="s">
        <v>199</v>
      </c>
      <c r="E356" t="s">
        <v>140</v>
      </c>
      <c r="F356" t="s">
        <v>146</v>
      </c>
      <c r="G356" t="s">
        <v>201</v>
      </c>
      <c r="H356">
        <v>27</v>
      </c>
      <c r="I356">
        <v>21</v>
      </c>
      <c r="J356">
        <v>0</v>
      </c>
      <c r="K35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5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5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5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56">
        <f>IF(Games[[#This Row],[Team]]="","",IF(Games[[#This Row],[Conf]]=Games[[#This Row],[OppConf]],1,0))</f>
        <v>1</v>
      </c>
      <c r="P356">
        <f>IF(Games[[#This Row],[Team]]="","",IF(AND(Games[[#This Row],[Conf]]=Games[[#This Row],[OppConf]],Games[[#This Row],[Div]]=Games[[#This Row],[OppDiv]]),1,0))</f>
        <v>1</v>
      </c>
      <c r="Q356">
        <f>IF(Games[[#This Row],[Team]]="","",_xlfn.MINIFS(Games[Date],Games[Season],Games[[#This Row],[Season]]))</f>
        <v>35309</v>
      </c>
      <c r="R356">
        <f>IF(Games[[#This Row],[Team]]="","",INT((Games[[#This Row],[Date]]-(Games[[#This Row],[SeasonStart]]-MOD(WEEKDAY(Games[[#This Row],[SeasonStart]],2)-2,7)))/7)+1)</f>
        <v>13</v>
      </c>
      <c r="S356">
        <f>IF(Games[[#This Row],[Team]]="","",COUNTIFS(Games[Team],Games[[#This Row],[Team]],Games[Season],Games[[#This Row],[Season]],Games[Week],"&lt;="&amp;Games[[#This Row],[Week]]))</f>
        <v>12</v>
      </c>
      <c r="T356">
        <f>IF(Games[[#This Row],[Team]]="","",_xlfn.MAXIFS(Games[Week],Games[Team],Games[[#This Row],[Team]],Games[Season],Games[[#This Row],[Season]],Games[Week],"&lt;"&amp;Games[[#This Row],[Week]]))</f>
        <v>12</v>
      </c>
      <c r="U356">
        <f>IF(Games[[#This Row],[Team]]="","",_xlfn.MAXIFS(Games[Week],Games[Team],Games[[#This Row],[Opponent]],Games[Season],Games[[#This Row],[Season]],Games[Week],"&lt;"&amp;Games[[#This Row],[Week]]))</f>
        <v>12</v>
      </c>
      <c r="V35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5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5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5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1521.751102857856</v>
      </c>
      <c r="Z35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1483.6662452771141</v>
      </c>
      <c r="AA35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0.45134662483365923</v>
      </c>
      <c r="AB356">
        <f>IF(Games[[#This Row],[Team]]="","",Games[[#This Row],[PointsFor]]-Games[[#This Row],[PointsAgainst]])</f>
        <v>6</v>
      </c>
      <c r="AC356">
        <f>IF(Games[[#This Row],[Team]]="","",IF(Games[[#This Row],[MOV]]&gt;0,1,IF(Games[[#This Row],[MOV]]=0,0.5,0)))</f>
        <v>1</v>
      </c>
      <c r="AD356">
        <f>IF(Games[[#This Row],[Team]]="","",--(OR(AND(Games[[#This Row],[ExpectedWin]]&gt;=0.5,Games[[#This Row],[Result]]=1),AND(Games[[#This Row],[ExpectedWin]]&lt;0.5,Games[[#This Row],[Result]]=0))))</f>
        <v>0</v>
      </c>
      <c r="AE356">
        <f>IF(Games[[#This Row],[Team]]="","",-(Games[[#This Row],[Result]]*LN(Games[[#This Row],[ExpectedWin]])+(1-Games[[#This Row],[Result]])*LN(1-Games[[#This Row],[ExpectedWin]])))</f>
        <v>0.79551966520177164</v>
      </c>
      <c r="AF356">
        <f>IF(Games[[#This Row],[Team]]="","",IF(Games[[#This Row],[Season]]&gt;=2021,17,16))</f>
        <v>16</v>
      </c>
      <c r="AG356">
        <f>IF(Games[[#This Row],[Team]]="","",KMax-(KMax-KFloor)*MIN(Games[[#This Row],[GamesPlayed]],Games[[#This Row],[SeasonLen]])/Games[[#This Row],[SeasonLen]])</f>
        <v>38.650000000000006</v>
      </c>
      <c r="AH356">
        <f>IF(Games[[#This Row],[Team]]="","",((ABS(Games[[#This Row],[MOV]])+3)^0.8)/(7.5+0.006*ABS(Games[[#This Row],[PreGmRate]]-Games[[#This Row],[OppPreGmRate]]))*IF(Games[[#This Row],[OT]]=1,0.7,1))</f>
        <v>0.75040942898848739</v>
      </c>
      <c r="AI35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6">
        <f>IF(Games[[#This Row],[Team]]="","",Games[[#This Row],[K]]*IF(Games[[#This Row],[DivG]]=1,DivMult,1)*IF(Games[[#This Row],[ConfG]]=1,ConfMult,1)*Games[[#This Row],[POMult]])</f>
        <v>43.365300000000012</v>
      </c>
      <c r="AK356">
        <f>IF(Games[[#This Row],[Team]]="","",(Games[[#This Row],[Keff]]*Games[[#This Row],[MOVMult]])*(Games[[#This Row],[Result]]-Games[[#This Row],[ExpectedWin]]))</f>
        <v>17.854130004240023</v>
      </c>
      <c r="AL356">
        <f>IF(Games[[#This Row],[Team]]="","",Games[[#This Row],[PreGmRate]]+Games[[#This Row],[RatingChange]])</f>
        <v>1539.605232862096</v>
      </c>
      <c r="AM356">
        <f>IF(Games[[#This Row],[Team]]="","",IF(Games[[#This Row],[Type]]="R",IF(Games[[#This Row],[Result]]&gt;0.5,1,0),0))</f>
        <v>1</v>
      </c>
      <c r="AN356">
        <f>IF(Games[[#This Row],[Team]]="","",IF(Games[[#This Row],[Type]]="R",IF(Games[[#This Row],[Result]]&lt;0.5,1,0),0))</f>
        <v>0</v>
      </c>
      <c r="AO356">
        <f>IF(Games[[#This Row],[Team]]="","",IF(Games[[#This Row],[Type]]="R",IF(Games[[#This Row],[Result]]=0.5,1,0),0))</f>
        <v>0</v>
      </c>
    </row>
    <row r="357" spans="1:41" x14ac:dyDescent="0.35">
      <c r="A357" s="8">
        <v>35393</v>
      </c>
      <c r="B357">
        <v>1996</v>
      </c>
      <c r="C357" t="s">
        <v>197</v>
      </c>
      <c r="D357" t="s">
        <v>199</v>
      </c>
      <c r="E357" t="s">
        <v>146</v>
      </c>
      <c r="F357" t="s">
        <v>140</v>
      </c>
      <c r="G357" t="s">
        <v>200</v>
      </c>
      <c r="H357">
        <v>21</v>
      </c>
      <c r="I357">
        <v>27</v>
      </c>
      <c r="J357">
        <v>0</v>
      </c>
      <c r="K35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5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5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5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57">
        <f>IF(Games[[#This Row],[Team]]="","",IF(Games[[#This Row],[Conf]]=Games[[#This Row],[OppConf]],1,0))</f>
        <v>1</v>
      </c>
      <c r="P357">
        <f>IF(Games[[#This Row],[Team]]="","",IF(AND(Games[[#This Row],[Conf]]=Games[[#This Row],[OppConf]],Games[[#This Row],[Div]]=Games[[#This Row],[OppDiv]]),1,0))</f>
        <v>1</v>
      </c>
      <c r="Q357">
        <f>IF(Games[[#This Row],[Team]]="","",_xlfn.MINIFS(Games[Date],Games[Season],Games[[#This Row],[Season]]))</f>
        <v>35309</v>
      </c>
      <c r="R357">
        <f>IF(Games[[#This Row],[Team]]="","",INT((Games[[#This Row],[Date]]-(Games[[#This Row],[SeasonStart]]-MOD(WEEKDAY(Games[[#This Row],[SeasonStart]],2)-2,7)))/7)+1)</f>
        <v>13</v>
      </c>
      <c r="S357">
        <f>IF(Games[[#This Row],[Team]]="","",COUNTIFS(Games[Team],Games[[#This Row],[Team]],Games[Season],Games[[#This Row],[Season]],Games[Week],"&lt;="&amp;Games[[#This Row],[Week]]))</f>
        <v>12</v>
      </c>
      <c r="T357">
        <f>IF(Games[[#This Row],[Team]]="","",_xlfn.MAXIFS(Games[Week],Games[Team],Games[[#This Row],[Team]],Games[Season],Games[[#This Row],[Season]],Games[Week],"&lt;"&amp;Games[[#This Row],[Week]]))</f>
        <v>12</v>
      </c>
      <c r="U357">
        <f>IF(Games[[#This Row],[Team]]="","",_xlfn.MAXIFS(Games[Week],Games[Team],Games[[#This Row],[Opponent]],Games[Season],Games[[#This Row],[Season]],Games[Week],"&lt;"&amp;Games[[#This Row],[Week]]))</f>
        <v>12</v>
      </c>
      <c r="V35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5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5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5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1483.6662452771141</v>
      </c>
      <c r="Z35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1521.751102857856</v>
      </c>
      <c r="AA35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0.54865337516634083</v>
      </c>
      <c r="AB357">
        <f>IF(Games[[#This Row],[Team]]="","",Games[[#This Row],[PointsFor]]-Games[[#This Row],[PointsAgainst]])</f>
        <v>-6</v>
      </c>
      <c r="AC357">
        <f>IF(Games[[#This Row],[Team]]="","",IF(Games[[#This Row],[MOV]]&gt;0,1,IF(Games[[#This Row],[MOV]]=0,0.5,0)))</f>
        <v>0</v>
      </c>
      <c r="AD357">
        <f>IF(Games[[#This Row],[Team]]="","",--(OR(AND(Games[[#This Row],[ExpectedWin]]&gt;=0.5,Games[[#This Row],[Result]]=1),AND(Games[[#This Row],[ExpectedWin]]&lt;0.5,Games[[#This Row],[Result]]=0))))</f>
        <v>0</v>
      </c>
      <c r="AE357">
        <f>IF(Games[[#This Row],[Team]]="","",-(Games[[#This Row],[Result]]*LN(Games[[#This Row],[ExpectedWin]])+(1-Games[[#This Row],[Result]])*LN(1-Games[[#This Row],[ExpectedWin]])))</f>
        <v>0.79551966520177175</v>
      </c>
      <c r="AF357">
        <f>IF(Games[[#This Row],[Team]]="","",IF(Games[[#This Row],[Season]]&gt;=2021,17,16))</f>
        <v>16</v>
      </c>
      <c r="AG357">
        <f>IF(Games[[#This Row],[Team]]="","",KMax-(KMax-KFloor)*MIN(Games[[#This Row],[GamesPlayed]],Games[[#This Row],[SeasonLen]])/Games[[#This Row],[SeasonLen]])</f>
        <v>38.650000000000006</v>
      </c>
      <c r="AH357">
        <f>IF(Games[[#This Row],[Team]]="","",((ABS(Games[[#This Row],[MOV]])+3)^0.8)/(7.5+0.006*ABS(Games[[#This Row],[PreGmRate]]-Games[[#This Row],[OppPreGmRate]]))*IF(Games[[#This Row],[OT]]=1,0.7,1))</f>
        <v>0.75040942898848739</v>
      </c>
      <c r="AI35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7">
        <f>IF(Games[[#This Row],[Team]]="","",Games[[#This Row],[K]]*IF(Games[[#This Row],[DivG]]=1,DivMult,1)*IF(Games[[#This Row],[ConfG]]=1,ConfMult,1)*Games[[#This Row],[POMult]])</f>
        <v>43.365300000000012</v>
      </c>
      <c r="AK357">
        <f>IF(Games[[#This Row],[Team]]="","",(Games[[#This Row],[Keff]]*Games[[#This Row],[MOVMult]])*(Games[[#This Row],[Result]]-Games[[#This Row],[ExpectedWin]]))</f>
        <v>-17.854130004240027</v>
      </c>
      <c r="AL357">
        <f>IF(Games[[#This Row],[Team]]="","",Games[[#This Row],[PreGmRate]]+Games[[#This Row],[RatingChange]])</f>
        <v>1465.8121152728741</v>
      </c>
      <c r="AM357">
        <f>IF(Games[[#This Row],[Team]]="","",IF(Games[[#This Row],[Type]]="R",IF(Games[[#This Row],[Result]]&gt;0.5,1,0),0))</f>
        <v>0</v>
      </c>
      <c r="AN357">
        <f>IF(Games[[#This Row],[Team]]="","",IF(Games[[#This Row],[Type]]="R",IF(Games[[#This Row],[Result]]&lt;0.5,1,0),0))</f>
        <v>1</v>
      </c>
      <c r="AO357">
        <f>IF(Games[[#This Row],[Team]]="","",IF(Games[[#This Row],[Type]]="R",IF(Games[[#This Row],[Result]]=0.5,1,0),0))</f>
        <v>0</v>
      </c>
    </row>
    <row r="358" spans="1:41" x14ac:dyDescent="0.35">
      <c r="A358" s="8">
        <v>35393</v>
      </c>
      <c r="B358">
        <v>1996</v>
      </c>
      <c r="C358" t="s">
        <v>197</v>
      </c>
      <c r="D358" t="s">
        <v>199</v>
      </c>
      <c r="E358" t="s">
        <v>120</v>
      </c>
      <c r="F358" t="s">
        <v>150</v>
      </c>
      <c r="G358" t="s">
        <v>201</v>
      </c>
      <c r="H358">
        <v>24</v>
      </c>
      <c r="I358">
        <v>9</v>
      </c>
      <c r="J358">
        <v>0</v>
      </c>
      <c r="K35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5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5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5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58">
        <f>IF(Games[[#This Row],[Team]]="","",IF(Games[[#This Row],[Conf]]=Games[[#This Row],[OppConf]],1,0))</f>
        <v>1</v>
      </c>
      <c r="P358">
        <f>IF(Games[[#This Row],[Team]]="","",IF(AND(Games[[#This Row],[Conf]]=Games[[#This Row],[OppConf]],Games[[#This Row],[Div]]=Games[[#This Row],[OppDiv]]),1,0))</f>
        <v>0</v>
      </c>
      <c r="Q358">
        <f>IF(Games[[#This Row],[Team]]="","",_xlfn.MINIFS(Games[Date],Games[Season],Games[[#This Row],[Season]]))</f>
        <v>35309</v>
      </c>
      <c r="R358">
        <f>IF(Games[[#This Row],[Team]]="","",INT((Games[[#This Row],[Date]]-(Games[[#This Row],[SeasonStart]]-MOD(WEEKDAY(Games[[#This Row],[SeasonStart]],2)-2,7)))/7)+1)</f>
        <v>13</v>
      </c>
      <c r="S358">
        <f>IF(Games[[#This Row],[Team]]="","",COUNTIFS(Games[Team],Games[[#This Row],[Team]],Games[Season],Games[[#This Row],[Season]],Games[Week],"&lt;="&amp;Games[[#This Row],[Week]]))</f>
        <v>12</v>
      </c>
      <c r="T358">
        <f>IF(Games[[#This Row],[Team]]="","",_xlfn.MAXIFS(Games[Week],Games[Team],Games[[#This Row],[Team]],Games[Season],Games[[#This Row],[Season]],Games[Week],"&lt;"&amp;Games[[#This Row],[Week]]))</f>
        <v>12</v>
      </c>
      <c r="U358">
        <f>IF(Games[[#This Row],[Team]]="","",_xlfn.MAXIFS(Games[Week],Games[Team],Games[[#This Row],[Opponent]],Games[Season],Games[[#This Row],[Season]],Games[Week],"&lt;"&amp;Games[[#This Row],[Week]]))</f>
        <v>12</v>
      </c>
      <c r="V35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35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5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35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1634.9538093819863</v>
      </c>
      <c r="Z35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1413.8477891229993</v>
      </c>
      <c r="AA35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0.69503908751730792</v>
      </c>
      <c r="AB358">
        <f>IF(Games[[#This Row],[Team]]="","",Games[[#This Row],[PointsFor]]-Games[[#This Row],[PointsAgainst]])</f>
        <v>15</v>
      </c>
      <c r="AC358">
        <f>IF(Games[[#This Row],[Team]]="","",IF(Games[[#This Row],[MOV]]&gt;0,1,IF(Games[[#This Row],[MOV]]=0,0.5,0)))</f>
        <v>1</v>
      </c>
      <c r="AD358">
        <f>IF(Games[[#This Row],[Team]]="","",--(OR(AND(Games[[#This Row],[ExpectedWin]]&gt;=0.5,Games[[#This Row],[Result]]=1),AND(Games[[#This Row],[ExpectedWin]]&lt;0.5,Games[[#This Row],[Result]]=0))))</f>
        <v>1</v>
      </c>
      <c r="AE358">
        <f>IF(Games[[#This Row],[Team]]="","",-(Games[[#This Row],[Result]]*LN(Games[[#This Row],[ExpectedWin]])+(1-Games[[#This Row],[Result]])*LN(1-Games[[#This Row],[ExpectedWin]])))</f>
        <v>0.36378719396671477</v>
      </c>
      <c r="AF358">
        <f>IF(Games[[#This Row],[Team]]="","",IF(Games[[#This Row],[Season]]&gt;=2021,17,16))</f>
        <v>16</v>
      </c>
      <c r="AG358">
        <f>IF(Games[[#This Row],[Team]]="","",KMax-(KMax-KFloor)*MIN(Games[[#This Row],[GamesPlayed]],Games[[#This Row],[SeasonLen]])/Games[[#This Row],[SeasonLen]])</f>
        <v>38.650000000000006</v>
      </c>
      <c r="AH358">
        <f>IF(Games[[#This Row],[Team]]="","",((ABS(Games[[#This Row],[MOV]])+3)^0.8)/(7.5+0.006*ABS(Games[[#This Row],[PreGmRate]]-Games[[#This Row],[OppPreGmRate]]))*IF(Games[[#This Row],[OT]]=1,0.7,1))</f>
        <v>1.1439914560835123</v>
      </c>
      <c r="AI35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8">
        <f>IF(Games[[#This Row],[Team]]="","",Games[[#This Row],[K]]*IF(Games[[#This Row],[DivG]]=1,DivMult,1)*IF(Games[[#This Row],[ConfG]]=1,ConfMult,1)*Games[[#This Row],[POMult]])</f>
        <v>39.423000000000009</v>
      </c>
      <c r="AK358">
        <f>IF(Games[[#This Row],[Team]]="","",(Games[[#This Row],[Keff]]*Games[[#This Row],[MOVMult]])*(Games[[#This Row],[Result]]-Games[[#This Row],[ExpectedWin]]))</f>
        <v>13.753607597394835</v>
      </c>
      <c r="AL358">
        <f>IF(Games[[#This Row],[Team]]="","",Games[[#This Row],[PreGmRate]]+Games[[#This Row],[RatingChange]])</f>
        <v>1648.7074169793812</v>
      </c>
      <c r="AM358">
        <f>IF(Games[[#This Row],[Team]]="","",IF(Games[[#This Row],[Type]]="R",IF(Games[[#This Row],[Result]]&gt;0.5,1,0),0))</f>
        <v>1</v>
      </c>
      <c r="AN358">
        <f>IF(Games[[#This Row],[Team]]="","",IF(Games[[#This Row],[Type]]="R",IF(Games[[#This Row],[Result]]&lt;0.5,1,0),0))</f>
        <v>0</v>
      </c>
      <c r="AO358">
        <f>IF(Games[[#This Row],[Team]]="","",IF(Games[[#This Row],[Type]]="R",IF(Games[[#This Row],[Result]]=0.5,1,0),0))</f>
        <v>0</v>
      </c>
    </row>
    <row r="359" spans="1:41" x14ac:dyDescent="0.35">
      <c r="A359" s="8">
        <v>35393</v>
      </c>
      <c r="B359">
        <v>1996</v>
      </c>
      <c r="C359" t="s">
        <v>197</v>
      </c>
      <c r="D359" t="s">
        <v>199</v>
      </c>
      <c r="E359" t="s">
        <v>150</v>
      </c>
      <c r="F359" t="s">
        <v>120</v>
      </c>
      <c r="G359" t="s">
        <v>200</v>
      </c>
      <c r="H359">
        <v>9</v>
      </c>
      <c r="I359">
        <v>24</v>
      </c>
      <c r="J359">
        <v>0</v>
      </c>
      <c r="K35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5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5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5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59">
        <f>IF(Games[[#This Row],[Team]]="","",IF(Games[[#This Row],[Conf]]=Games[[#This Row],[OppConf]],1,0))</f>
        <v>1</v>
      </c>
      <c r="P359">
        <f>IF(Games[[#This Row],[Team]]="","",IF(AND(Games[[#This Row],[Conf]]=Games[[#This Row],[OppConf]],Games[[#This Row],[Div]]=Games[[#This Row],[OppDiv]]),1,0))</f>
        <v>0</v>
      </c>
      <c r="Q359">
        <f>IF(Games[[#This Row],[Team]]="","",_xlfn.MINIFS(Games[Date],Games[Season],Games[[#This Row],[Season]]))</f>
        <v>35309</v>
      </c>
      <c r="R359">
        <f>IF(Games[[#This Row],[Team]]="","",INT((Games[[#This Row],[Date]]-(Games[[#This Row],[SeasonStart]]-MOD(WEEKDAY(Games[[#This Row],[SeasonStart]],2)-2,7)))/7)+1)</f>
        <v>13</v>
      </c>
      <c r="S359">
        <f>IF(Games[[#This Row],[Team]]="","",COUNTIFS(Games[Team],Games[[#This Row],[Team]],Games[Season],Games[[#This Row],[Season]],Games[Week],"&lt;="&amp;Games[[#This Row],[Week]]))</f>
        <v>12</v>
      </c>
      <c r="T359">
        <f>IF(Games[[#This Row],[Team]]="","",_xlfn.MAXIFS(Games[Week],Games[Team],Games[[#This Row],[Team]],Games[Season],Games[[#This Row],[Season]],Games[Week],"&lt;"&amp;Games[[#This Row],[Week]]))</f>
        <v>12</v>
      </c>
      <c r="U359">
        <f>IF(Games[[#This Row],[Team]]="","",_xlfn.MAXIFS(Games[Week],Games[Team],Games[[#This Row],[Opponent]],Games[Season],Games[[#This Row],[Season]],Games[Week],"&lt;"&amp;Games[[#This Row],[Week]]))</f>
        <v>12</v>
      </c>
      <c r="V35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5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35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35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1413.8477891229993</v>
      </c>
      <c r="Z35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1634.9538093819863</v>
      </c>
      <c r="AA35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0.30496091248269208</v>
      </c>
      <c r="AB359">
        <f>IF(Games[[#This Row],[Team]]="","",Games[[#This Row],[PointsFor]]-Games[[#This Row],[PointsAgainst]])</f>
        <v>-15</v>
      </c>
      <c r="AC359">
        <f>IF(Games[[#This Row],[Team]]="","",IF(Games[[#This Row],[MOV]]&gt;0,1,IF(Games[[#This Row],[MOV]]=0,0.5,0)))</f>
        <v>0</v>
      </c>
      <c r="AD359">
        <f>IF(Games[[#This Row],[Team]]="","",--(OR(AND(Games[[#This Row],[ExpectedWin]]&gt;=0.5,Games[[#This Row],[Result]]=1),AND(Games[[#This Row],[ExpectedWin]]&lt;0.5,Games[[#This Row],[Result]]=0))))</f>
        <v>1</v>
      </c>
      <c r="AE359">
        <f>IF(Games[[#This Row],[Team]]="","",-(Games[[#This Row],[Result]]*LN(Games[[#This Row],[ExpectedWin]])+(1-Games[[#This Row],[Result]])*LN(1-Games[[#This Row],[ExpectedWin]])))</f>
        <v>0.36378719396671477</v>
      </c>
      <c r="AF359">
        <f>IF(Games[[#This Row],[Team]]="","",IF(Games[[#This Row],[Season]]&gt;=2021,17,16))</f>
        <v>16</v>
      </c>
      <c r="AG359">
        <f>IF(Games[[#This Row],[Team]]="","",KMax-(KMax-KFloor)*MIN(Games[[#This Row],[GamesPlayed]],Games[[#This Row],[SeasonLen]])/Games[[#This Row],[SeasonLen]])</f>
        <v>38.650000000000006</v>
      </c>
      <c r="AH359">
        <f>IF(Games[[#This Row],[Team]]="","",((ABS(Games[[#This Row],[MOV]])+3)^0.8)/(7.5+0.006*ABS(Games[[#This Row],[PreGmRate]]-Games[[#This Row],[OppPreGmRate]]))*IF(Games[[#This Row],[OT]]=1,0.7,1))</f>
        <v>1.1439914560835123</v>
      </c>
      <c r="AI35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9">
        <f>IF(Games[[#This Row],[Team]]="","",Games[[#This Row],[K]]*IF(Games[[#This Row],[DivG]]=1,DivMult,1)*IF(Games[[#This Row],[ConfG]]=1,ConfMult,1)*Games[[#This Row],[POMult]])</f>
        <v>39.423000000000009</v>
      </c>
      <c r="AK359">
        <f>IF(Games[[#This Row],[Team]]="","",(Games[[#This Row],[Keff]]*Games[[#This Row],[MOVMult]])*(Games[[#This Row],[Result]]-Games[[#This Row],[ExpectedWin]]))</f>
        <v>-13.753607597394835</v>
      </c>
      <c r="AL359">
        <f>IF(Games[[#This Row],[Team]]="","",Games[[#This Row],[PreGmRate]]+Games[[#This Row],[RatingChange]])</f>
        <v>1400.0941815256044</v>
      </c>
      <c r="AM359">
        <f>IF(Games[[#This Row],[Team]]="","",IF(Games[[#This Row],[Type]]="R",IF(Games[[#This Row],[Result]]&gt;0.5,1,0),0))</f>
        <v>0</v>
      </c>
      <c r="AN359">
        <f>IF(Games[[#This Row],[Team]]="","",IF(Games[[#This Row],[Type]]="R",IF(Games[[#This Row],[Result]]&lt;0.5,1,0),0))</f>
        <v>1</v>
      </c>
      <c r="AO359">
        <f>IF(Games[[#This Row],[Team]]="","",IF(Games[[#This Row],[Type]]="R",IF(Games[[#This Row],[Result]]=0.5,1,0),0))</f>
        <v>0</v>
      </c>
    </row>
    <row r="360" spans="1:41" x14ac:dyDescent="0.35">
      <c r="A360" s="8">
        <v>35394</v>
      </c>
      <c r="B360">
        <v>1996</v>
      </c>
      <c r="C360" t="s">
        <v>197</v>
      </c>
      <c r="D360" t="s">
        <v>199</v>
      </c>
      <c r="E360" t="s">
        <v>143</v>
      </c>
      <c r="F360" t="s">
        <v>128</v>
      </c>
      <c r="G360" t="s">
        <v>201</v>
      </c>
      <c r="H360">
        <v>24</v>
      </c>
      <c r="I360">
        <v>17</v>
      </c>
      <c r="J360">
        <v>0</v>
      </c>
      <c r="K36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6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6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6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60">
        <f>IF(Games[[#This Row],[Team]]="","",IF(Games[[#This Row],[Conf]]=Games[[#This Row],[OppConf]],1,0))</f>
        <v>1</v>
      </c>
      <c r="P360">
        <f>IF(Games[[#This Row],[Team]]="","",IF(AND(Games[[#This Row],[Conf]]=Games[[#This Row],[OppConf]],Games[[#This Row],[Div]]=Games[[#This Row],[OppDiv]]),1,0))</f>
        <v>0</v>
      </c>
      <c r="Q360">
        <f>IF(Games[[#This Row],[Team]]="","",_xlfn.MINIFS(Games[Date],Games[Season],Games[[#This Row],[Season]]))</f>
        <v>35309</v>
      </c>
      <c r="R360">
        <f>IF(Games[[#This Row],[Team]]="","",INT((Games[[#This Row],[Date]]-(Games[[#This Row],[SeasonStart]]-MOD(WEEKDAY(Games[[#This Row],[SeasonStart]],2)-2,7)))/7)+1)</f>
        <v>13</v>
      </c>
      <c r="S360">
        <f>IF(Games[[#This Row],[Team]]="","",COUNTIFS(Games[Team],Games[[#This Row],[Team]],Games[Season],Games[[#This Row],[Season]],Games[Week],"&lt;="&amp;Games[[#This Row],[Week]]))</f>
        <v>12</v>
      </c>
      <c r="T360">
        <f>IF(Games[[#This Row],[Team]]="","",_xlfn.MAXIFS(Games[Week],Games[Team],Games[[#This Row],[Team]],Games[Season],Games[[#This Row],[Season]],Games[Week],"&lt;"&amp;Games[[#This Row],[Week]]))</f>
        <v>12</v>
      </c>
      <c r="U360">
        <f>IF(Games[[#This Row],[Team]]="","",_xlfn.MAXIFS(Games[Week],Games[Team],Games[[#This Row],[Opponent]],Games[Season],Games[[#This Row],[Season]],Games[Week],"&lt;"&amp;Games[[#This Row],[Week]]))</f>
        <v>12</v>
      </c>
      <c r="V36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36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36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1592.5674131143764</v>
      </c>
      <c r="Z36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1543.7663119089125</v>
      </c>
      <c r="AA36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0.46666362929736277</v>
      </c>
      <c r="AB360">
        <f>IF(Games[[#This Row],[Team]]="","",Games[[#This Row],[PointsFor]]-Games[[#This Row],[PointsAgainst]])</f>
        <v>7</v>
      </c>
      <c r="AC360">
        <f>IF(Games[[#This Row],[Team]]="","",IF(Games[[#This Row],[MOV]]&gt;0,1,IF(Games[[#This Row],[MOV]]=0,0.5,0)))</f>
        <v>1</v>
      </c>
      <c r="AD360">
        <f>IF(Games[[#This Row],[Team]]="","",--(OR(AND(Games[[#This Row],[ExpectedWin]]&gt;=0.5,Games[[#This Row],[Result]]=1),AND(Games[[#This Row],[ExpectedWin]]&lt;0.5,Games[[#This Row],[Result]]=0))))</f>
        <v>0</v>
      </c>
      <c r="AE360">
        <f>IF(Games[[#This Row],[Team]]="","",-(Games[[#This Row],[Result]]*LN(Games[[#This Row],[ExpectedWin]])+(1-Games[[#This Row],[Result]])*LN(1-Games[[#This Row],[ExpectedWin]])))</f>
        <v>0.76214656071658649</v>
      </c>
      <c r="AF360">
        <f>IF(Games[[#This Row],[Team]]="","",IF(Games[[#This Row],[Season]]&gt;=2021,17,16))</f>
        <v>16</v>
      </c>
      <c r="AG360">
        <f>IF(Games[[#This Row],[Team]]="","",KMax-(KMax-KFloor)*MIN(Games[[#This Row],[GamesPlayed]],Games[[#This Row],[SeasonLen]])/Games[[#This Row],[SeasonLen]])</f>
        <v>38.650000000000006</v>
      </c>
      <c r="AH360">
        <f>IF(Games[[#This Row],[Team]]="","",((ABS(Games[[#This Row],[MOV]])+3)^0.8)/(7.5+0.006*ABS(Games[[#This Row],[PreGmRate]]-Games[[#This Row],[OppPreGmRate]]))*IF(Games[[#This Row],[OT]]=1,0.7,1))</f>
        <v>0.80966637089977223</v>
      </c>
      <c r="AI36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0">
        <f>IF(Games[[#This Row],[Team]]="","",Games[[#This Row],[K]]*IF(Games[[#This Row],[DivG]]=1,DivMult,1)*IF(Games[[#This Row],[ConfG]]=1,ConfMult,1)*Games[[#This Row],[POMult]])</f>
        <v>39.423000000000009</v>
      </c>
      <c r="AK360">
        <f>IF(Games[[#This Row],[Team]]="","",(Games[[#This Row],[Keff]]*Games[[#This Row],[MOVMult]])*(Games[[#This Row],[Result]]-Games[[#This Row],[ExpectedWin]]))</f>
        <v>17.023818199230927</v>
      </c>
      <c r="AL360">
        <f>IF(Games[[#This Row],[Team]]="","",Games[[#This Row],[PreGmRate]]+Games[[#This Row],[RatingChange]])</f>
        <v>1609.5912313136073</v>
      </c>
      <c r="AM360">
        <f>IF(Games[[#This Row],[Team]]="","",IF(Games[[#This Row],[Type]]="R",IF(Games[[#This Row],[Result]]&gt;0.5,1,0),0))</f>
        <v>1</v>
      </c>
      <c r="AN360">
        <f>IF(Games[[#This Row],[Team]]="","",IF(Games[[#This Row],[Type]]="R",IF(Games[[#This Row],[Result]]&lt;0.5,1,0),0))</f>
        <v>0</v>
      </c>
      <c r="AO360">
        <f>IF(Games[[#This Row],[Team]]="","",IF(Games[[#This Row],[Type]]="R",IF(Games[[#This Row],[Result]]=0.5,1,0),0))</f>
        <v>0</v>
      </c>
    </row>
    <row r="361" spans="1:41" x14ac:dyDescent="0.35">
      <c r="A361" s="8">
        <v>35394</v>
      </c>
      <c r="B361">
        <v>1996</v>
      </c>
      <c r="C361" t="s">
        <v>197</v>
      </c>
      <c r="D361" t="s">
        <v>199</v>
      </c>
      <c r="E361" t="s">
        <v>128</v>
      </c>
      <c r="F361" t="s">
        <v>143</v>
      </c>
      <c r="G361" t="s">
        <v>200</v>
      </c>
      <c r="H361">
        <v>17</v>
      </c>
      <c r="I361">
        <v>24</v>
      </c>
      <c r="J361">
        <v>0</v>
      </c>
      <c r="K36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6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6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6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61">
        <f>IF(Games[[#This Row],[Team]]="","",IF(Games[[#This Row],[Conf]]=Games[[#This Row],[OppConf]],1,0))</f>
        <v>1</v>
      </c>
      <c r="P361">
        <f>IF(Games[[#This Row],[Team]]="","",IF(AND(Games[[#This Row],[Conf]]=Games[[#This Row],[OppConf]],Games[[#This Row],[Div]]=Games[[#This Row],[OppDiv]]),1,0))</f>
        <v>0</v>
      </c>
      <c r="Q361">
        <f>IF(Games[[#This Row],[Team]]="","",_xlfn.MINIFS(Games[Date],Games[Season],Games[[#This Row],[Season]]))</f>
        <v>35309</v>
      </c>
      <c r="R361">
        <f>IF(Games[[#This Row],[Team]]="","",INT((Games[[#This Row],[Date]]-(Games[[#This Row],[SeasonStart]]-MOD(WEEKDAY(Games[[#This Row],[SeasonStart]],2)-2,7)))/7)+1)</f>
        <v>13</v>
      </c>
      <c r="S361">
        <f>IF(Games[[#This Row],[Team]]="","",COUNTIFS(Games[Team],Games[[#This Row],[Team]],Games[Season],Games[[#This Row],[Season]],Games[Week],"&lt;="&amp;Games[[#This Row],[Week]]))</f>
        <v>12</v>
      </c>
      <c r="T361">
        <f>IF(Games[[#This Row],[Team]]="","",_xlfn.MAXIFS(Games[Week],Games[Team],Games[[#This Row],[Team]],Games[Season],Games[[#This Row],[Season]],Games[Week],"&lt;"&amp;Games[[#This Row],[Week]]))</f>
        <v>12</v>
      </c>
      <c r="U361">
        <f>IF(Games[[#This Row],[Team]]="","",_xlfn.MAXIFS(Games[Week],Games[Team],Games[[#This Row],[Opponent]],Games[Season],Games[[#This Row],[Season]],Games[Week],"&lt;"&amp;Games[[#This Row],[Week]]))</f>
        <v>12</v>
      </c>
      <c r="V36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36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36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1543.7663119089125</v>
      </c>
      <c r="Z36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1592.5674131143764</v>
      </c>
      <c r="AA36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0.53333637070263729</v>
      </c>
      <c r="AB361">
        <f>IF(Games[[#This Row],[Team]]="","",Games[[#This Row],[PointsFor]]-Games[[#This Row],[PointsAgainst]])</f>
        <v>-7</v>
      </c>
      <c r="AC361">
        <f>IF(Games[[#This Row],[Team]]="","",IF(Games[[#This Row],[MOV]]&gt;0,1,IF(Games[[#This Row],[MOV]]=0,0.5,0)))</f>
        <v>0</v>
      </c>
      <c r="AD361">
        <f>IF(Games[[#This Row],[Team]]="","",--(OR(AND(Games[[#This Row],[ExpectedWin]]&gt;=0.5,Games[[#This Row],[Result]]=1),AND(Games[[#This Row],[ExpectedWin]]&lt;0.5,Games[[#This Row],[Result]]=0))))</f>
        <v>0</v>
      </c>
      <c r="AE361">
        <f>IF(Games[[#This Row],[Team]]="","",-(Games[[#This Row],[Result]]*LN(Games[[#This Row],[ExpectedWin]])+(1-Games[[#This Row],[Result]])*LN(1-Games[[#This Row],[ExpectedWin]])))</f>
        <v>0.7621465607165866</v>
      </c>
      <c r="AF361">
        <f>IF(Games[[#This Row],[Team]]="","",IF(Games[[#This Row],[Season]]&gt;=2021,17,16))</f>
        <v>16</v>
      </c>
      <c r="AG361">
        <f>IF(Games[[#This Row],[Team]]="","",KMax-(KMax-KFloor)*MIN(Games[[#This Row],[GamesPlayed]],Games[[#This Row],[SeasonLen]])/Games[[#This Row],[SeasonLen]])</f>
        <v>38.650000000000006</v>
      </c>
      <c r="AH361">
        <f>IF(Games[[#This Row],[Team]]="","",((ABS(Games[[#This Row],[MOV]])+3)^0.8)/(7.5+0.006*ABS(Games[[#This Row],[PreGmRate]]-Games[[#This Row],[OppPreGmRate]]))*IF(Games[[#This Row],[OT]]=1,0.7,1))</f>
        <v>0.80966637089977223</v>
      </c>
      <c r="AI36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1">
        <f>IF(Games[[#This Row],[Team]]="","",Games[[#This Row],[K]]*IF(Games[[#This Row],[DivG]]=1,DivMult,1)*IF(Games[[#This Row],[ConfG]]=1,ConfMult,1)*Games[[#This Row],[POMult]])</f>
        <v>39.423000000000009</v>
      </c>
      <c r="AK361">
        <f>IF(Games[[#This Row],[Team]]="","",(Games[[#This Row],[Keff]]*Games[[#This Row],[MOVMult]])*(Games[[#This Row],[Result]]-Games[[#This Row],[ExpectedWin]]))</f>
        <v>-17.023818199230927</v>
      </c>
      <c r="AL361">
        <f>IF(Games[[#This Row],[Team]]="","",Games[[#This Row],[PreGmRate]]+Games[[#This Row],[RatingChange]])</f>
        <v>1526.7424937096816</v>
      </c>
      <c r="AM361">
        <f>IF(Games[[#This Row],[Team]]="","",IF(Games[[#This Row],[Type]]="R",IF(Games[[#This Row],[Result]]&gt;0.5,1,0),0))</f>
        <v>0</v>
      </c>
      <c r="AN361">
        <f>IF(Games[[#This Row],[Team]]="","",IF(Games[[#This Row],[Type]]="R",IF(Games[[#This Row],[Result]]&lt;0.5,1,0),0))</f>
        <v>1</v>
      </c>
      <c r="AO361">
        <f>IF(Games[[#This Row],[Team]]="","",IF(Games[[#This Row],[Type]]="R",IF(Games[[#This Row],[Result]]=0.5,1,0),0))</f>
        <v>0</v>
      </c>
    </row>
    <row r="362" spans="1:41" x14ac:dyDescent="0.35">
      <c r="A362" s="8">
        <v>35397</v>
      </c>
      <c r="B362">
        <v>1996</v>
      </c>
      <c r="C362" t="s">
        <v>197</v>
      </c>
      <c r="D362" t="s">
        <v>199</v>
      </c>
      <c r="E362" t="s">
        <v>126</v>
      </c>
      <c r="F362" t="s">
        <v>118</v>
      </c>
      <c r="G362" t="s">
        <v>201</v>
      </c>
      <c r="H362">
        <v>28</v>
      </c>
      <c r="I362">
        <v>24</v>
      </c>
      <c r="J362">
        <v>0</v>
      </c>
      <c r="K36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6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6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6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62">
        <f>IF(Games[[#This Row],[Team]]="","",IF(Games[[#This Row],[Conf]]=Games[[#This Row],[OppConf]],1,0))</f>
        <v>0</v>
      </c>
      <c r="P362">
        <f>IF(Games[[#This Row],[Team]]="","",IF(AND(Games[[#This Row],[Conf]]=Games[[#This Row],[OppConf]],Games[[#This Row],[Div]]=Games[[#This Row],[OppDiv]]),1,0))</f>
        <v>0</v>
      </c>
      <c r="Q362">
        <f>IF(Games[[#This Row],[Team]]="","",_xlfn.MINIFS(Games[Date],Games[Season],Games[[#This Row],[Season]]))</f>
        <v>35309</v>
      </c>
      <c r="R362">
        <f>IF(Games[[#This Row],[Team]]="","",INT((Games[[#This Row],[Date]]-(Games[[#This Row],[SeasonStart]]-MOD(WEEKDAY(Games[[#This Row],[SeasonStart]],2)-2,7)))/7)+1)</f>
        <v>14</v>
      </c>
      <c r="S362">
        <f>IF(Games[[#This Row],[Team]]="","",COUNTIFS(Games[Team],Games[[#This Row],[Team]],Games[Season],Games[[#This Row],[Season]],Games[Week],"&lt;="&amp;Games[[#This Row],[Week]]))</f>
        <v>13</v>
      </c>
      <c r="T362">
        <f>IF(Games[[#This Row],[Team]]="","",_xlfn.MAXIFS(Games[Week],Games[Team],Games[[#This Row],[Team]],Games[Season],Games[[#This Row],[Season]],Games[Week],"&lt;"&amp;Games[[#This Row],[Week]]))</f>
        <v>13</v>
      </c>
      <c r="U362">
        <f>IF(Games[[#This Row],[Team]]="","",_xlfn.MAXIFS(Games[Week],Games[Team],Games[[#This Row],[Opponent]],Games[Season],Games[[#This Row],[Season]],Games[Week],"&lt;"&amp;Games[[#This Row],[Week]]))</f>
        <v>13</v>
      </c>
      <c r="V36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4</v>
      </c>
      <c r="W36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4</v>
      </c>
      <c r="X36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1542.6176675279844</v>
      </c>
      <c r="Z36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1435.5944258380109</v>
      </c>
      <c r="AA36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0.55023246336438947</v>
      </c>
      <c r="AB362">
        <f>IF(Games[[#This Row],[Team]]="","",Games[[#This Row],[PointsFor]]-Games[[#This Row],[PointsAgainst]])</f>
        <v>4</v>
      </c>
      <c r="AC362">
        <f>IF(Games[[#This Row],[Team]]="","",IF(Games[[#This Row],[MOV]]&gt;0,1,IF(Games[[#This Row],[MOV]]=0,0.5,0)))</f>
        <v>1</v>
      </c>
      <c r="AD362">
        <f>IF(Games[[#This Row],[Team]]="","",--(OR(AND(Games[[#This Row],[ExpectedWin]]&gt;=0.5,Games[[#This Row],[Result]]=1),AND(Games[[#This Row],[ExpectedWin]]&lt;0.5,Games[[#This Row],[Result]]=0))))</f>
        <v>1</v>
      </c>
      <c r="AE362">
        <f>IF(Games[[#This Row],[Team]]="","",-(Games[[#This Row],[Result]]*LN(Games[[#This Row],[ExpectedWin]])+(1-Games[[#This Row],[Result]])*LN(1-Games[[#This Row],[ExpectedWin]])))</f>
        <v>0.59741442938895162</v>
      </c>
      <c r="AF362">
        <f>IF(Games[[#This Row],[Team]]="","",IF(Games[[#This Row],[Season]]&gt;=2021,17,16))</f>
        <v>16</v>
      </c>
      <c r="AG362">
        <f>IF(Games[[#This Row],[Team]]="","",KMax-(KMax-KFloor)*MIN(Games[[#This Row],[GamesPlayed]],Games[[#This Row],[SeasonLen]])/Games[[#This Row],[SeasonLen]])</f>
        <v>38.037500000000001</v>
      </c>
      <c r="AH362">
        <f>IF(Games[[#This Row],[Team]]="","",((ABS(Games[[#This Row],[MOV]])+3)^0.8)/(7.5+0.006*ABS(Games[[#This Row],[PreGmRate]]-Games[[#This Row],[OppPreGmRate]]))*IF(Games[[#This Row],[OT]]=1,0.7,1))</f>
        <v>0.58255897271839296</v>
      </c>
      <c r="AI36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2">
        <f>IF(Games[[#This Row],[Team]]="","",Games[[#This Row],[K]]*IF(Games[[#This Row],[DivG]]=1,DivMult,1)*IF(Games[[#This Row],[ConfG]]=1,ConfMult,1)*Games[[#This Row],[POMult]])</f>
        <v>38.037500000000001</v>
      </c>
      <c r="AK362">
        <f>IF(Games[[#This Row],[Team]]="","",(Games[[#This Row],[Keff]]*Games[[#This Row],[MOVMult]])*(Games[[#This Row],[Result]]-Games[[#This Row],[ExpectedWin]]))</f>
        <v>9.9664379402508114</v>
      </c>
      <c r="AL362">
        <f>IF(Games[[#This Row],[Team]]="","",Games[[#This Row],[PreGmRate]]+Games[[#This Row],[RatingChange]])</f>
        <v>1552.5841054682353</v>
      </c>
      <c r="AM362">
        <f>IF(Games[[#This Row],[Team]]="","",IF(Games[[#This Row],[Type]]="R",IF(Games[[#This Row],[Result]]&gt;0.5,1,0),0))</f>
        <v>1</v>
      </c>
      <c r="AN362">
        <f>IF(Games[[#This Row],[Team]]="","",IF(Games[[#This Row],[Type]]="R",IF(Games[[#This Row],[Result]]&lt;0.5,1,0),0))</f>
        <v>0</v>
      </c>
      <c r="AO362">
        <f>IF(Games[[#This Row],[Team]]="","",IF(Games[[#This Row],[Type]]="R",IF(Games[[#This Row],[Result]]=0.5,1,0),0))</f>
        <v>0</v>
      </c>
    </row>
    <row r="363" spans="1:41" x14ac:dyDescent="0.35">
      <c r="A363" s="8">
        <v>35397</v>
      </c>
      <c r="B363">
        <v>1996</v>
      </c>
      <c r="C363" t="s">
        <v>197</v>
      </c>
      <c r="D363" t="s">
        <v>199</v>
      </c>
      <c r="E363" t="s">
        <v>118</v>
      </c>
      <c r="F363" t="s">
        <v>126</v>
      </c>
      <c r="G363" t="s">
        <v>200</v>
      </c>
      <c r="H363">
        <v>24</v>
      </c>
      <c r="I363">
        <v>28</v>
      </c>
      <c r="J363">
        <v>0</v>
      </c>
      <c r="K36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6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6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6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63">
        <f>IF(Games[[#This Row],[Team]]="","",IF(Games[[#This Row],[Conf]]=Games[[#This Row],[OppConf]],1,0))</f>
        <v>0</v>
      </c>
      <c r="P363">
        <f>IF(Games[[#This Row],[Team]]="","",IF(AND(Games[[#This Row],[Conf]]=Games[[#This Row],[OppConf]],Games[[#This Row],[Div]]=Games[[#This Row],[OppDiv]]),1,0))</f>
        <v>0</v>
      </c>
      <c r="Q363">
        <f>IF(Games[[#This Row],[Team]]="","",_xlfn.MINIFS(Games[Date],Games[Season],Games[[#This Row],[Season]]))</f>
        <v>35309</v>
      </c>
      <c r="R363">
        <f>IF(Games[[#This Row],[Team]]="","",INT((Games[[#This Row],[Date]]-(Games[[#This Row],[SeasonStart]]-MOD(WEEKDAY(Games[[#This Row],[SeasonStart]],2)-2,7)))/7)+1)</f>
        <v>14</v>
      </c>
      <c r="S363">
        <f>IF(Games[[#This Row],[Team]]="","",COUNTIFS(Games[Team],Games[[#This Row],[Team]],Games[Season],Games[[#This Row],[Season]],Games[Week],"&lt;="&amp;Games[[#This Row],[Week]]))</f>
        <v>13</v>
      </c>
      <c r="T363">
        <f>IF(Games[[#This Row],[Team]]="","",_xlfn.MAXIFS(Games[Week],Games[Team],Games[[#This Row],[Team]],Games[Season],Games[[#This Row],[Season]],Games[Week],"&lt;"&amp;Games[[#This Row],[Week]]))</f>
        <v>13</v>
      </c>
      <c r="U363">
        <f>IF(Games[[#This Row],[Team]]="","",_xlfn.MAXIFS(Games[Week],Games[Team],Games[[#This Row],[Opponent]],Games[Season],Games[[#This Row],[Season]],Games[Week],"&lt;"&amp;Games[[#This Row],[Week]]))</f>
        <v>13</v>
      </c>
      <c r="V36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4</v>
      </c>
      <c r="W36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4</v>
      </c>
      <c r="X36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1435.5944258380109</v>
      </c>
      <c r="Z36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1542.6176675279844</v>
      </c>
      <c r="AA36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0.44976753663561042</v>
      </c>
      <c r="AB363">
        <f>IF(Games[[#This Row],[Team]]="","",Games[[#This Row],[PointsFor]]-Games[[#This Row],[PointsAgainst]])</f>
        <v>-4</v>
      </c>
      <c r="AC363">
        <f>IF(Games[[#This Row],[Team]]="","",IF(Games[[#This Row],[MOV]]&gt;0,1,IF(Games[[#This Row],[MOV]]=0,0.5,0)))</f>
        <v>0</v>
      </c>
      <c r="AD363">
        <f>IF(Games[[#This Row],[Team]]="","",--(OR(AND(Games[[#This Row],[ExpectedWin]]&gt;=0.5,Games[[#This Row],[Result]]=1),AND(Games[[#This Row],[ExpectedWin]]&lt;0.5,Games[[#This Row],[Result]]=0))))</f>
        <v>1</v>
      </c>
      <c r="AE363">
        <f>IF(Games[[#This Row],[Team]]="","",-(Games[[#This Row],[Result]]*LN(Games[[#This Row],[ExpectedWin]])+(1-Games[[#This Row],[Result]])*LN(1-Games[[#This Row],[ExpectedWin]])))</f>
        <v>0.5974144293889514</v>
      </c>
      <c r="AF363">
        <f>IF(Games[[#This Row],[Team]]="","",IF(Games[[#This Row],[Season]]&gt;=2021,17,16))</f>
        <v>16</v>
      </c>
      <c r="AG363">
        <f>IF(Games[[#This Row],[Team]]="","",KMax-(KMax-KFloor)*MIN(Games[[#This Row],[GamesPlayed]],Games[[#This Row],[SeasonLen]])/Games[[#This Row],[SeasonLen]])</f>
        <v>38.037500000000001</v>
      </c>
      <c r="AH363">
        <f>IF(Games[[#This Row],[Team]]="","",((ABS(Games[[#This Row],[MOV]])+3)^0.8)/(7.5+0.006*ABS(Games[[#This Row],[PreGmRate]]-Games[[#This Row],[OppPreGmRate]]))*IF(Games[[#This Row],[OT]]=1,0.7,1))</f>
        <v>0.58255897271839296</v>
      </c>
      <c r="AI36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3">
        <f>IF(Games[[#This Row],[Team]]="","",Games[[#This Row],[K]]*IF(Games[[#This Row],[DivG]]=1,DivMult,1)*IF(Games[[#This Row],[ConfG]]=1,ConfMult,1)*Games[[#This Row],[POMult]])</f>
        <v>38.037500000000001</v>
      </c>
      <c r="AK363">
        <f>IF(Games[[#This Row],[Team]]="","",(Games[[#This Row],[Keff]]*Games[[#This Row],[MOVMult]])*(Games[[#This Row],[Result]]-Games[[#This Row],[ExpectedWin]]))</f>
        <v>-9.9664379402508079</v>
      </c>
      <c r="AL363">
        <f>IF(Games[[#This Row],[Team]]="","",Games[[#This Row],[PreGmRate]]+Games[[#This Row],[RatingChange]])</f>
        <v>1425.62798789776</v>
      </c>
      <c r="AM363">
        <f>IF(Games[[#This Row],[Team]]="","",IF(Games[[#This Row],[Type]]="R",IF(Games[[#This Row],[Result]]&gt;0.5,1,0),0))</f>
        <v>0</v>
      </c>
      <c r="AN363">
        <f>IF(Games[[#This Row],[Team]]="","",IF(Games[[#This Row],[Type]]="R",IF(Games[[#This Row],[Result]]&lt;0.5,1,0),0))</f>
        <v>1</v>
      </c>
      <c r="AO363">
        <f>IF(Games[[#This Row],[Team]]="","",IF(Games[[#This Row],[Type]]="R",IF(Games[[#This Row],[Result]]=0.5,1,0),0))</f>
        <v>0</v>
      </c>
    </row>
    <row r="364" spans="1:41" x14ac:dyDescent="0.35">
      <c r="A364" s="8">
        <v>35397</v>
      </c>
      <c r="B364">
        <v>1996</v>
      </c>
      <c r="C364" t="s">
        <v>197</v>
      </c>
      <c r="D364" t="s">
        <v>199</v>
      </c>
      <c r="E364" t="s">
        <v>114</v>
      </c>
      <c r="F364" t="s">
        <v>154</v>
      </c>
      <c r="G364" t="s">
        <v>200</v>
      </c>
      <c r="H364">
        <v>21</v>
      </c>
      <c r="I364">
        <v>10</v>
      </c>
      <c r="J364">
        <v>0</v>
      </c>
      <c r="K36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6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6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6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64">
        <f>IF(Games[[#This Row],[Team]]="","",IF(Games[[#This Row],[Conf]]=Games[[#This Row],[OppConf]],1,0))</f>
        <v>1</v>
      </c>
      <c r="P364">
        <f>IF(Games[[#This Row],[Team]]="","",IF(AND(Games[[#This Row],[Conf]]=Games[[#This Row],[OppConf]],Games[[#This Row],[Div]]=Games[[#This Row],[OppDiv]]),1,0))</f>
        <v>1</v>
      </c>
      <c r="Q364">
        <f>IF(Games[[#This Row],[Team]]="","",_xlfn.MINIFS(Games[Date],Games[Season],Games[[#This Row],[Season]]))</f>
        <v>35309</v>
      </c>
      <c r="R364">
        <f>IF(Games[[#This Row],[Team]]="","",INT((Games[[#This Row],[Date]]-(Games[[#This Row],[SeasonStart]]-MOD(WEEKDAY(Games[[#This Row],[SeasonStart]],2)-2,7)))/7)+1)</f>
        <v>14</v>
      </c>
      <c r="S364">
        <f>IF(Games[[#This Row],[Team]]="","",COUNTIFS(Games[Team],Games[[#This Row],[Team]],Games[Season],Games[[#This Row],[Season]],Games[Week],"&lt;="&amp;Games[[#This Row],[Week]]))</f>
        <v>13</v>
      </c>
      <c r="T364">
        <f>IF(Games[[#This Row],[Team]]="","",_xlfn.MAXIFS(Games[Week],Games[Team],Games[[#This Row],[Team]],Games[Season],Games[[#This Row],[Season]],Games[Week],"&lt;"&amp;Games[[#This Row],[Week]]))</f>
        <v>13</v>
      </c>
      <c r="U364">
        <f>IF(Games[[#This Row],[Team]]="","",_xlfn.MAXIFS(Games[Week],Games[Team],Games[[#This Row],[Opponent]],Games[Season],Games[[#This Row],[Season]],Games[Week],"&lt;"&amp;Games[[#This Row],[Week]]))</f>
        <v>13</v>
      </c>
      <c r="V36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4</v>
      </c>
      <c r="W36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4</v>
      </c>
      <c r="X36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1559.3506988989341</v>
      </c>
      <c r="Z36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1568.4806639432763</v>
      </c>
      <c r="AA36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0.58950247364777575</v>
      </c>
      <c r="AB364">
        <f>IF(Games[[#This Row],[Team]]="","",Games[[#This Row],[PointsFor]]-Games[[#This Row],[PointsAgainst]])</f>
        <v>11</v>
      </c>
      <c r="AC364">
        <f>IF(Games[[#This Row],[Team]]="","",IF(Games[[#This Row],[MOV]]&gt;0,1,IF(Games[[#This Row],[MOV]]=0,0.5,0)))</f>
        <v>1</v>
      </c>
      <c r="AD364">
        <f>IF(Games[[#This Row],[Team]]="","",--(OR(AND(Games[[#This Row],[ExpectedWin]]&gt;=0.5,Games[[#This Row],[Result]]=1),AND(Games[[#This Row],[ExpectedWin]]&lt;0.5,Games[[#This Row],[Result]]=0))))</f>
        <v>1</v>
      </c>
      <c r="AE364">
        <f>IF(Games[[#This Row],[Team]]="","",-(Games[[#This Row],[Result]]*LN(Games[[#This Row],[ExpectedWin]])+(1-Games[[#This Row],[Result]])*LN(1-Games[[#This Row],[ExpectedWin]])))</f>
        <v>0.52847636283408239</v>
      </c>
      <c r="AF364">
        <f>IF(Games[[#This Row],[Team]]="","",IF(Games[[#This Row],[Season]]&gt;=2021,17,16))</f>
        <v>16</v>
      </c>
      <c r="AG364">
        <f>IF(Games[[#This Row],[Team]]="","",KMax-(KMax-KFloor)*MIN(Games[[#This Row],[GamesPlayed]],Games[[#This Row],[SeasonLen]])/Games[[#This Row],[SeasonLen]])</f>
        <v>38.037500000000001</v>
      </c>
      <c r="AH364">
        <f>IF(Games[[#This Row],[Team]]="","",((ABS(Games[[#This Row],[MOV]])+3)^0.8)/(7.5+0.006*ABS(Games[[#This Row],[PreGmRate]]-Games[[#This Row],[OppPreGmRate]]))*IF(Games[[#This Row],[OT]]=1,0.7,1))</f>
        <v>1.0931521635653951</v>
      </c>
      <c r="AI36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4">
        <f>IF(Games[[#This Row],[Team]]="","",Games[[#This Row],[K]]*IF(Games[[#This Row],[DivG]]=1,DivMult,1)*IF(Games[[#This Row],[ConfG]]=1,ConfMult,1)*Games[[#This Row],[POMult]])</f>
        <v>42.678075</v>
      </c>
      <c r="AK364">
        <f>IF(Games[[#This Row],[Team]]="","",(Games[[#This Row],[Keff]]*Games[[#This Row],[MOVMult]])*(Games[[#This Row],[Result]]-Games[[#This Row],[ExpectedWin]]))</f>
        <v>19.151199719816432</v>
      </c>
      <c r="AL364">
        <f>IF(Games[[#This Row],[Team]]="","",Games[[#This Row],[PreGmRate]]+Games[[#This Row],[RatingChange]])</f>
        <v>1578.5018986187506</v>
      </c>
      <c r="AM364">
        <f>IF(Games[[#This Row],[Team]]="","",IF(Games[[#This Row],[Type]]="R",IF(Games[[#This Row],[Result]]&gt;0.5,1,0),0))</f>
        <v>1</v>
      </c>
      <c r="AN364">
        <f>IF(Games[[#This Row],[Team]]="","",IF(Games[[#This Row],[Type]]="R",IF(Games[[#This Row],[Result]]&lt;0.5,1,0),0))</f>
        <v>0</v>
      </c>
      <c r="AO364">
        <f>IF(Games[[#This Row],[Team]]="","",IF(Games[[#This Row],[Type]]="R",IF(Games[[#This Row],[Result]]=0.5,1,0),0))</f>
        <v>0</v>
      </c>
    </row>
    <row r="365" spans="1:41" x14ac:dyDescent="0.35">
      <c r="A365" s="8">
        <v>35397</v>
      </c>
      <c r="B365">
        <v>1996</v>
      </c>
      <c r="C365" t="s">
        <v>197</v>
      </c>
      <c r="D365" t="s">
        <v>199</v>
      </c>
      <c r="E365" t="s">
        <v>154</v>
      </c>
      <c r="F365" t="s">
        <v>114</v>
      </c>
      <c r="G365" t="s">
        <v>201</v>
      </c>
      <c r="H365">
        <v>10</v>
      </c>
      <c r="I365">
        <v>21</v>
      </c>
      <c r="J365">
        <v>0</v>
      </c>
      <c r="K36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6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6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6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65">
        <f>IF(Games[[#This Row],[Team]]="","",IF(Games[[#This Row],[Conf]]=Games[[#This Row],[OppConf]],1,0))</f>
        <v>1</v>
      </c>
      <c r="P365">
        <f>IF(Games[[#This Row],[Team]]="","",IF(AND(Games[[#This Row],[Conf]]=Games[[#This Row],[OppConf]],Games[[#This Row],[Div]]=Games[[#This Row],[OppDiv]]),1,0))</f>
        <v>1</v>
      </c>
      <c r="Q365">
        <f>IF(Games[[#This Row],[Team]]="","",_xlfn.MINIFS(Games[Date],Games[Season],Games[[#This Row],[Season]]))</f>
        <v>35309</v>
      </c>
      <c r="R365">
        <f>IF(Games[[#This Row],[Team]]="","",INT((Games[[#This Row],[Date]]-(Games[[#This Row],[SeasonStart]]-MOD(WEEKDAY(Games[[#This Row],[SeasonStart]],2)-2,7)))/7)+1)</f>
        <v>14</v>
      </c>
      <c r="S365">
        <f>IF(Games[[#This Row],[Team]]="","",COUNTIFS(Games[Team],Games[[#This Row],[Team]],Games[Season],Games[[#This Row],[Season]],Games[Week],"&lt;="&amp;Games[[#This Row],[Week]]))</f>
        <v>13</v>
      </c>
      <c r="T365">
        <f>IF(Games[[#This Row],[Team]]="","",_xlfn.MAXIFS(Games[Week],Games[Team],Games[[#This Row],[Team]],Games[Season],Games[[#This Row],[Season]],Games[Week],"&lt;"&amp;Games[[#This Row],[Week]]))</f>
        <v>13</v>
      </c>
      <c r="U365">
        <f>IF(Games[[#This Row],[Team]]="","",_xlfn.MAXIFS(Games[Week],Games[Team],Games[[#This Row],[Opponent]],Games[Season],Games[[#This Row],[Season]],Games[Week],"&lt;"&amp;Games[[#This Row],[Week]]))</f>
        <v>13</v>
      </c>
      <c r="V36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4</v>
      </c>
      <c r="W36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4</v>
      </c>
      <c r="X36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1568.4806639432763</v>
      </c>
      <c r="Z36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1559.3506988989341</v>
      </c>
      <c r="AA36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0.41049752635222425</v>
      </c>
      <c r="AB365">
        <f>IF(Games[[#This Row],[Team]]="","",Games[[#This Row],[PointsFor]]-Games[[#This Row],[PointsAgainst]])</f>
        <v>-11</v>
      </c>
      <c r="AC365">
        <f>IF(Games[[#This Row],[Team]]="","",IF(Games[[#This Row],[MOV]]&gt;0,1,IF(Games[[#This Row],[MOV]]=0,0.5,0)))</f>
        <v>0</v>
      </c>
      <c r="AD365">
        <f>IF(Games[[#This Row],[Team]]="","",--(OR(AND(Games[[#This Row],[ExpectedWin]]&gt;=0.5,Games[[#This Row],[Result]]=1),AND(Games[[#This Row],[ExpectedWin]]&lt;0.5,Games[[#This Row],[Result]]=0))))</f>
        <v>1</v>
      </c>
      <c r="AE365">
        <f>IF(Games[[#This Row],[Team]]="","",-(Games[[#This Row],[Result]]*LN(Games[[#This Row],[ExpectedWin]])+(1-Games[[#This Row],[Result]])*LN(1-Games[[#This Row],[ExpectedWin]])))</f>
        <v>0.52847636283408239</v>
      </c>
      <c r="AF365">
        <f>IF(Games[[#This Row],[Team]]="","",IF(Games[[#This Row],[Season]]&gt;=2021,17,16))</f>
        <v>16</v>
      </c>
      <c r="AG365">
        <f>IF(Games[[#This Row],[Team]]="","",KMax-(KMax-KFloor)*MIN(Games[[#This Row],[GamesPlayed]],Games[[#This Row],[SeasonLen]])/Games[[#This Row],[SeasonLen]])</f>
        <v>38.037500000000001</v>
      </c>
      <c r="AH365">
        <f>IF(Games[[#This Row],[Team]]="","",((ABS(Games[[#This Row],[MOV]])+3)^0.8)/(7.5+0.006*ABS(Games[[#This Row],[PreGmRate]]-Games[[#This Row],[OppPreGmRate]]))*IF(Games[[#This Row],[OT]]=1,0.7,1))</f>
        <v>1.0931521635653951</v>
      </c>
      <c r="AI36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5">
        <f>IF(Games[[#This Row],[Team]]="","",Games[[#This Row],[K]]*IF(Games[[#This Row],[DivG]]=1,DivMult,1)*IF(Games[[#This Row],[ConfG]]=1,ConfMult,1)*Games[[#This Row],[POMult]])</f>
        <v>42.678075</v>
      </c>
      <c r="AK365">
        <f>IF(Games[[#This Row],[Team]]="","",(Games[[#This Row],[Keff]]*Games[[#This Row],[MOVMult]])*(Games[[#This Row],[Result]]-Games[[#This Row],[ExpectedWin]]))</f>
        <v>-19.151199719816432</v>
      </c>
      <c r="AL365">
        <f>IF(Games[[#This Row],[Team]]="","",Games[[#This Row],[PreGmRate]]+Games[[#This Row],[RatingChange]])</f>
        <v>1549.3294642234598</v>
      </c>
      <c r="AM365">
        <f>IF(Games[[#This Row],[Team]]="","",IF(Games[[#This Row],[Type]]="R",IF(Games[[#This Row],[Result]]&gt;0.5,1,0),0))</f>
        <v>0</v>
      </c>
      <c r="AN365">
        <f>IF(Games[[#This Row],[Team]]="","",IF(Games[[#This Row],[Type]]="R",IF(Games[[#This Row],[Result]]&lt;0.5,1,0),0))</f>
        <v>1</v>
      </c>
      <c r="AO365">
        <f>IF(Games[[#This Row],[Team]]="","",IF(Games[[#This Row],[Type]]="R",IF(Games[[#This Row],[Result]]=0.5,1,0),0))</f>
        <v>0</v>
      </c>
    </row>
    <row r="366" spans="1:41" x14ac:dyDescent="0.35">
      <c r="A366" s="8">
        <v>35400</v>
      </c>
      <c r="B366">
        <v>1996</v>
      </c>
      <c r="C366" t="s">
        <v>197</v>
      </c>
      <c r="D366" t="s">
        <v>199</v>
      </c>
      <c r="E366" t="s">
        <v>122</v>
      </c>
      <c r="F366" t="s">
        <v>106</v>
      </c>
      <c r="G366" t="s">
        <v>200</v>
      </c>
      <c r="H366">
        <v>13</v>
      </c>
      <c r="I366">
        <v>10</v>
      </c>
      <c r="J366">
        <v>1</v>
      </c>
      <c r="K36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6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6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6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66">
        <f>IF(Games[[#This Row],[Team]]="","",IF(Games[[#This Row],[Conf]]=Games[[#This Row],[OppConf]],1,0))</f>
        <v>1</v>
      </c>
      <c r="P366">
        <f>IF(Games[[#This Row],[Team]]="","",IF(AND(Games[[#This Row],[Conf]]=Games[[#This Row],[OppConf]],Games[[#This Row],[Div]]=Games[[#This Row],[OppDiv]]),1,0))</f>
        <v>1</v>
      </c>
      <c r="Q366">
        <f>IF(Games[[#This Row],[Team]]="","",_xlfn.MINIFS(Games[Date],Games[Season],Games[[#This Row],[Season]]))</f>
        <v>35309</v>
      </c>
      <c r="R366">
        <f>IF(Games[[#This Row],[Team]]="","",INT((Games[[#This Row],[Date]]-(Games[[#This Row],[SeasonStart]]-MOD(WEEKDAY(Games[[#This Row],[SeasonStart]],2)-2,7)))/7)+1)</f>
        <v>14</v>
      </c>
      <c r="S366">
        <f>IF(Games[[#This Row],[Team]]="","",COUNTIFS(Games[Team],Games[[#This Row],[Team]],Games[Season],Games[[#This Row],[Season]],Games[Week],"&lt;="&amp;Games[[#This Row],[Week]]))</f>
        <v>13</v>
      </c>
      <c r="T366">
        <f>IF(Games[[#This Row],[Team]]="","",_xlfn.MAXIFS(Games[Week],Games[Team],Games[[#This Row],[Team]],Games[Season],Games[[#This Row],[Season]],Games[Week],"&lt;"&amp;Games[[#This Row],[Week]]))</f>
        <v>13</v>
      </c>
      <c r="U366">
        <f>IF(Games[[#This Row],[Team]]="","",_xlfn.MAXIFS(Games[Week],Games[Team],Games[[#This Row],[Opponent]],Games[Season],Games[[#This Row],[Season]],Games[Week],"&lt;"&amp;Games[[#This Row],[Week]]))</f>
        <v>13</v>
      </c>
      <c r="V36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6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6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1447.2229478485465</v>
      </c>
      <c r="Z36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1574.5831383183961</v>
      </c>
      <c r="AA36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0.42099775024931457</v>
      </c>
      <c r="AB366">
        <f>IF(Games[[#This Row],[Team]]="","",Games[[#This Row],[PointsFor]]-Games[[#This Row],[PointsAgainst]])</f>
        <v>3</v>
      </c>
      <c r="AC366">
        <f>IF(Games[[#This Row],[Team]]="","",IF(Games[[#This Row],[MOV]]&gt;0,1,IF(Games[[#This Row],[MOV]]=0,0.5,0)))</f>
        <v>1</v>
      </c>
      <c r="AD366">
        <f>IF(Games[[#This Row],[Team]]="","",--(OR(AND(Games[[#This Row],[ExpectedWin]]&gt;=0.5,Games[[#This Row],[Result]]=1),AND(Games[[#This Row],[ExpectedWin]]&lt;0.5,Games[[#This Row],[Result]]=0))))</f>
        <v>0</v>
      </c>
      <c r="AE366">
        <f>IF(Games[[#This Row],[Team]]="","",-(Games[[#This Row],[Result]]*LN(Games[[#This Row],[ExpectedWin]])+(1-Games[[#This Row],[Result]])*LN(1-Games[[#This Row],[ExpectedWin]])))</f>
        <v>0.86512778913989008</v>
      </c>
      <c r="AF366">
        <f>IF(Games[[#This Row],[Team]]="","",IF(Games[[#This Row],[Season]]&gt;=2021,17,16))</f>
        <v>16</v>
      </c>
      <c r="AG366">
        <f>IF(Games[[#This Row],[Team]]="","",KMax-(KMax-KFloor)*MIN(Games[[#This Row],[GamesPlayed]],Games[[#This Row],[SeasonLen]])/Games[[#This Row],[SeasonLen]])</f>
        <v>38.037500000000001</v>
      </c>
      <c r="AH366">
        <f>IF(Games[[#This Row],[Team]]="","",((ABS(Games[[#This Row],[MOV]])+3)^0.8)/(7.5+0.006*ABS(Games[[#This Row],[PreGmRate]]-Games[[#This Row],[OppPreGmRate]]))*IF(Games[[#This Row],[OT]]=1,0.7,1))</f>
        <v>0.35515690559724622</v>
      </c>
      <c r="AI36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6">
        <f>IF(Games[[#This Row],[Team]]="","",Games[[#This Row],[K]]*IF(Games[[#This Row],[DivG]]=1,DivMult,1)*IF(Games[[#This Row],[ConfG]]=1,ConfMult,1)*Games[[#This Row],[POMult]])</f>
        <v>42.678075</v>
      </c>
      <c r="AK366">
        <f>IF(Games[[#This Row],[Team]]="","",(Games[[#This Row],[Keff]]*Games[[#This Row],[MOVMult]])*(Games[[#This Row],[Result]]-Games[[#This Row],[ExpectedWin]]))</f>
        <v>8.7761762585779337</v>
      </c>
      <c r="AL366">
        <f>IF(Games[[#This Row],[Team]]="","",Games[[#This Row],[PreGmRate]]+Games[[#This Row],[RatingChange]])</f>
        <v>1455.9991241071243</v>
      </c>
      <c r="AM366">
        <f>IF(Games[[#This Row],[Team]]="","",IF(Games[[#This Row],[Type]]="R",IF(Games[[#This Row],[Result]]&gt;0.5,1,0),0))</f>
        <v>1</v>
      </c>
      <c r="AN366">
        <f>IF(Games[[#This Row],[Team]]="","",IF(Games[[#This Row],[Type]]="R",IF(Games[[#This Row],[Result]]&lt;0.5,1,0),0))</f>
        <v>0</v>
      </c>
      <c r="AO366">
        <f>IF(Games[[#This Row],[Team]]="","",IF(Games[[#This Row],[Type]]="R",IF(Games[[#This Row],[Result]]=0.5,1,0),0))</f>
        <v>0</v>
      </c>
    </row>
    <row r="367" spans="1:41" x14ac:dyDescent="0.35">
      <c r="A367" s="8">
        <v>35400</v>
      </c>
      <c r="B367">
        <v>1996</v>
      </c>
      <c r="C367" t="s">
        <v>197</v>
      </c>
      <c r="D367" t="s">
        <v>199</v>
      </c>
      <c r="E367" t="s">
        <v>106</v>
      </c>
      <c r="F367" t="s">
        <v>122</v>
      </c>
      <c r="G367" t="s">
        <v>201</v>
      </c>
      <c r="H367">
        <v>10</v>
      </c>
      <c r="I367">
        <v>13</v>
      </c>
      <c r="J367">
        <v>1</v>
      </c>
      <c r="K36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6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6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6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67">
        <f>IF(Games[[#This Row],[Team]]="","",IF(Games[[#This Row],[Conf]]=Games[[#This Row],[OppConf]],1,0))</f>
        <v>1</v>
      </c>
      <c r="P367">
        <f>IF(Games[[#This Row],[Team]]="","",IF(AND(Games[[#This Row],[Conf]]=Games[[#This Row],[OppConf]],Games[[#This Row],[Div]]=Games[[#This Row],[OppDiv]]),1,0))</f>
        <v>1</v>
      </c>
      <c r="Q367">
        <f>IF(Games[[#This Row],[Team]]="","",_xlfn.MINIFS(Games[Date],Games[Season],Games[[#This Row],[Season]]))</f>
        <v>35309</v>
      </c>
      <c r="R367">
        <f>IF(Games[[#This Row],[Team]]="","",INT((Games[[#This Row],[Date]]-(Games[[#This Row],[SeasonStart]]-MOD(WEEKDAY(Games[[#This Row],[SeasonStart]],2)-2,7)))/7)+1)</f>
        <v>14</v>
      </c>
      <c r="S367">
        <f>IF(Games[[#This Row],[Team]]="","",COUNTIFS(Games[Team],Games[[#This Row],[Team]],Games[Season],Games[[#This Row],[Season]],Games[Week],"&lt;="&amp;Games[[#This Row],[Week]]))</f>
        <v>13</v>
      </c>
      <c r="T367">
        <f>IF(Games[[#This Row],[Team]]="","",_xlfn.MAXIFS(Games[Week],Games[Team],Games[[#This Row],[Team]],Games[Season],Games[[#This Row],[Season]],Games[Week],"&lt;"&amp;Games[[#This Row],[Week]]))</f>
        <v>13</v>
      </c>
      <c r="U367">
        <f>IF(Games[[#This Row],[Team]]="","",_xlfn.MAXIFS(Games[Week],Games[Team],Games[[#This Row],[Opponent]],Games[Season],Games[[#This Row],[Season]],Games[Week],"&lt;"&amp;Games[[#This Row],[Week]]))</f>
        <v>13</v>
      </c>
      <c r="V36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6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6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1574.5831383183961</v>
      </c>
      <c r="Z36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1447.2229478485465</v>
      </c>
      <c r="AA36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0.57900224975068548</v>
      </c>
      <c r="AB367">
        <f>IF(Games[[#This Row],[Team]]="","",Games[[#This Row],[PointsFor]]-Games[[#This Row],[PointsAgainst]])</f>
        <v>-3</v>
      </c>
      <c r="AC367">
        <f>IF(Games[[#This Row],[Team]]="","",IF(Games[[#This Row],[MOV]]&gt;0,1,IF(Games[[#This Row],[MOV]]=0,0.5,0)))</f>
        <v>0</v>
      </c>
      <c r="AD367">
        <f>IF(Games[[#This Row],[Team]]="","",--(OR(AND(Games[[#This Row],[ExpectedWin]]&gt;=0.5,Games[[#This Row],[Result]]=1),AND(Games[[#This Row],[ExpectedWin]]&lt;0.5,Games[[#This Row],[Result]]=0))))</f>
        <v>0</v>
      </c>
      <c r="AE367">
        <f>IF(Games[[#This Row],[Team]]="","",-(Games[[#This Row],[Result]]*LN(Games[[#This Row],[ExpectedWin]])+(1-Games[[#This Row],[Result]])*LN(1-Games[[#This Row],[ExpectedWin]])))</f>
        <v>0.86512778913989019</v>
      </c>
      <c r="AF367">
        <f>IF(Games[[#This Row],[Team]]="","",IF(Games[[#This Row],[Season]]&gt;=2021,17,16))</f>
        <v>16</v>
      </c>
      <c r="AG367">
        <f>IF(Games[[#This Row],[Team]]="","",KMax-(KMax-KFloor)*MIN(Games[[#This Row],[GamesPlayed]],Games[[#This Row],[SeasonLen]])/Games[[#This Row],[SeasonLen]])</f>
        <v>38.037500000000001</v>
      </c>
      <c r="AH367">
        <f>IF(Games[[#This Row],[Team]]="","",((ABS(Games[[#This Row],[MOV]])+3)^0.8)/(7.5+0.006*ABS(Games[[#This Row],[PreGmRate]]-Games[[#This Row],[OppPreGmRate]]))*IF(Games[[#This Row],[OT]]=1,0.7,1))</f>
        <v>0.35515690559724622</v>
      </c>
      <c r="AI36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7">
        <f>IF(Games[[#This Row],[Team]]="","",Games[[#This Row],[K]]*IF(Games[[#This Row],[DivG]]=1,DivMult,1)*IF(Games[[#This Row],[ConfG]]=1,ConfMult,1)*Games[[#This Row],[POMult]])</f>
        <v>42.678075</v>
      </c>
      <c r="AK367">
        <f>IF(Games[[#This Row],[Team]]="","",(Games[[#This Row],[Keff]]*Games[[#This Row],[MOVMult]])*(Games[[#This Row],[Result]]-Games[[#This Row],[ExpectedWin]]))</f>
        <v>-8.7761762585779337</v>
      </c>
      <c r="AL367">
        <f>IF(Games[[#This Row],[Team]]="","",Games[[#This Row],[PreGmRate]]+Games[[#This Row],[RatingChange]])</f>
        <v>1565.8069620598183</v>
      </c>
      <c r="AM367">
        <f>IF(Games[[#This Row],[Team]]="","",IF(Games[[#This Row],[Type]]="R",IF(Games[[#This Row],[Result]]&gt;0.5,1,0),0))</f>
        <v>0</v>
      </c>
      <c r="AN367">
        <f>IF(Games[[#This Row],[Team]]="","",IF(Games[[#This Row],[Type]]="R",IF(Games[[#This Row],[Result]]&lt;0.5,1,0),0))</f>
        <v>1</v>
      </c>
      <c r="AO367">
        <f>IF(Games[[#This Row],[Team]]="","",IF(Games[[#This Row],[Type]]="R",IF(Games[[#This Row],[Result]]=0.5,1,0),0))</f>
        <v>0</v>
      </c>
    </row>
    <row r="368" spans="1:41" x14ac:dyDescent="0.35">
      <c r="A368" s="8">
        <v>35400</v>
      </c>
      <c r="B368">
        <v>1996</v>
      </c>
      <c r="C368" t="s">
        <v>197</v>
      </c>
      <c r="D368" t="s">
        <v>199</v>
      </c>
      <c r="E368" t="s">
        <v>108</v>
      </c>
      <c r="F368" t="s">
        <v>151</v>
      </c>
      <c r="G368" t="s">
        <v>200</v>
      </c>
      <c r="H368">
        <v>24</v>
      </c>
      <c r="I368">
        <v>0</v>
      </c>
      <c r="J368">
        <v>0</v>
      </c>
      <c r="K36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6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6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6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68">
        <f>IF(Games[[#This Row],[Team]]="","",IF(Games[[#This Row],[Conf]]=Games[[#This Row],[OppConf]],1,0))</f>
        <v>1</v>
      </c>
      <c r="P368">
        <f>IF(Games[[#This Row],[Team]]="","",IF(AND(Games[[#This Row],[Conf]]=Games[[#This Row],[OppConf]],Games[[#This Row],[Div]]=Games[[#This Row],[OppDiv]]),1,0))</f>
        <v>0</v>
      </c>
      <c r="Q368">
        <f>IF(Games[[#This Row],[Team]]="","",_xlfn.MINIFS(Games[Date],Games[Season],Games[[#This Row],[Season]]))</f>
        <v>35309</v>
      </c>
      <c r="R368">
        <f>IF(Games[[#This Row],[Team]]="","",INT((Games[[#This Row],[Date]]-(Games[[#This Row],[SeasonStart]]-MOD(WEEKDAY(Games[[#This Row],[SeasonStart]],2)-2,7)))/7)+1)</f>
        <v>14</v>
      </c>
      <c r="S368">
        <f>IF(Games[[#This Row],[Team]]="","",COUNTIFS(Games[Team],Games[[#This Row],[Team]],Games[Season],Games[[#This Row],[Season]],Games[Week],"&lt;="&amp;Games[[#This Row],[Week]]))</f>
        <v>13</v>
      </c>
      <c r="T368">
        <f>IF(Games[[#This Row],[Team]]="","",_xlfn.MAXIFS(Games[Week],Games[Team],Games[[#This Row],[Team]],Games[Season],Games[[#This Row],[Season]],Games[Week],"&lt;"&amp;Games[[#This Row],[Week]]))</f>
        <v>13</v>
      </c>
      <c r="U368">
        <f>IF(Games[[#This Row],[Team]]="","",_xlfn.MAXIFS(Games[Week],Games[Team],Games[[#This Row],[Opponent]],Games[Season],Games[[#This Row],[Season]],Games[Week],"&lt;"&amp;Games[[#This Row],[Week]]))</f>
        <v>13</v>
      </c>
      <c r="V36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6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6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1616.4452969442075</v>
      </c>
      <c r="Z36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1406.1161304167683</v>
      </c>
      <c r="AA36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0.83551340647607142</v>
      </c>
      <c r="AB368">
        <f>IF(Games[[#This Row],[Team]]="","",Games[[#This Row],[PointsFor]]-Games[[#This Row],[PointsAgainst]])</f>
        <v>24</v>
      </c>
      <c r="AC368">
        <f>IF(Games[[#This Row],[Team]]="","",IF(Games[[#This Row],[MOV]]&gt;0,1,IF(Games[[#This Row],[MOV]]=0,0.5,0)))</f>
        <v>1</v>
      </c>
      <c r="AD368">
        <f>IF(Games[[#This Row],[Team]]="","",--(OR(AND(Games[[#This Row],[ExpectedWin]]&gt;=0.5,Games[[#This Row],[Result]]=1),AND(Games[[#This Row],[ExpectedWin]]&lt;0.5,Games[[#This Row],[Result]]=0))))</f>
        <v>1</v>
      </c>
      <c r="AE368">
        <f>IF(Games[[#This Row],[Team]]="","",-(Games[[#This Row],[Result]]*LN(Games[[#This Row],[ExpectedWin]])+(1-Games[[#This Row],[Result]])*LN(1-Games[[#This Row],[ExpectedWin]])))</f>
        <v>0.1797088850238735</v>
      </c>
      <c r="AF368">
        <f>IF(Games[[#This Row],[Team]]="","",IF(Games[[#This Row],[Season]]&gt;=2021,17,16))</f>
        <v>16</v>
      </c>
      <c r="AG368">
        <f>IF(Games[[#This Row],[Team]]="","",KMax-(KMax-KFloor)*MIN(Games[[#This Row],[GamesPlayed]],Games[[#This Row],[SeasonLen]])/Games[[#This Row],[SeasonLen]])</f>
        <v>38.037500000000001</v>
      </c>
      <c r="AH368">
        <f>IF(Games[[#This Row],[Team]]="","",((ABS(Games[[#This Row],[MOV]])+3)^0.8)/(7.5+0.006*ABS(Games[[#This Row],[PreGmRate]]-Games[[#This Row],[OppPreGmRate]]))*IF(Games[[#This Row],[OT]]=1,0.7,1))</f>
        <v>1.5940025127405419</v>
      </c>
      <c r="AI36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8">
        <f>IF(Games[[#This Row],[Team]]="","",Games[[#This Row],[K]]*IF(Games[[#This Row],[DivG]]=1,DivMult,1)*IF(Games[[#This Row],[ConfG]]=1,ConfMult,1)*Games[[#This Row],[POMult]])</f>
        <v>38.798250000000003</v>
      </c>
      <c r="AK368">
        <f>IF(Games[[#This Row],[Team]]="","",(Games[[#This Row],[Keff]]*Games[[#This Row],[MOVMult]])*(Games[[#This Row],[Result]]-Games[[#This Row],[ExpectedWin]]))</f>
        <v>10.172592447427913</v>
      </c>
      <c r="AL368">
        <f>IF(Games[[#This Row],[Team]]="","",Games[[#This Row],[PreGmRate]]+Games[[#This Row],[RatingChange]])</f>
        <v>1626.6178893916353</v>
      </c>
      <c r="AM368">
        <f>IF(Games[[#This Row],[Team]]="","",IF(Games[[#This Row],[Type]]="R",IF(Games[[#This Row],[Result]]&gt;0.5,1,0),0))</f>
        <v>1</v>
      </c>
      <c r="AN368">
        <f>IF(Games[[#This Row],[Team]]="","",IF(Games[[#This Row],[Type]]="R",IF(Games[[#This Row],[Result]]&lt;0.5,1,0),0))</f>
        <v>0</v>
      </c>
      <c r="AO368">
        <f>IF(Games[[#This Row],[Team]]="","",IF(Games[[#This Row],[Type]]="R",IF(Games[[#This Row],[Result]]=0.5,1,0),0))</f>
        <v>0</v>
      </c>
    </row>
    <row r="369" spans="1:41" x14ac:dyDescent="0.35">
      <c r="A369" s="8">
        <v>35400</v>
      </c>
      <c r="B369">
        <v>1996</v>
      </c>
      <c r="C369" t="s">
        <v>197</v>
      </c>
      <c r="D369" t="s">
        <v>199</v>
      </c>
      <c r="E369" t="s">
        <v>151</v>
      </c>
      <c r="F369" t="s">
        <v>108</v>
      </c>
      <c r="G369" t="s">
        <v>201</v>
      </c>
      <c r="H369">
        <v>0</v>
      </c>
      <c r="I369">
        <v>24</v>
      </c>
      <c r="J369">
        <v>0</v>
      </c>
      <c r="K36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6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6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6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69">
        <f>IF(Games[[#This Row],[Team]]="","",IF(Games[[#This Row],[Conf]]=Games[[#This Row],[OppConf]],1,0))</f>
        <v>1</v>
      </c>
      <c r="P369">
        <f>IF(Games[[#This Row],[Team]]="","",IF(AND(Games[[#This Row],[Conf]]=Games[[#This Row],[OppConf]],Games[[#This Row],[Div]]=Games[[#This Row],[OppDiv]]),1,0))</f>
        <v>0</v>
      </c>
      <c r="Q369">
        <f>IF(Games[[#This Row],[Team]]="","",_xlfn.MINIFS(Games[Date],Games[Season],Games[[#This Row],[Season]]))</f>
        <v>35309</v>
      </c>
      <c r="R369">
        <f>IF(Games[[#This Row],[Team]]="","",INT((Games[[#This Row],[Date]]-(Games[[#This Row],[SeasonStart]]-MOD(WEEKDAY(Games[[#This Row],[SeasonStart]],2)-2,7)))/7)+1)</f>
        <v>14</v>
      </c>
      <c r="S369">
        <f>IF(Games[[#This Row],[Team]]="","",COUNTIFS(Games[Team],Games[[#This Row],[Team]],Games[Season],Games[[#This Row],[Season]],Games[Week],"&lt;="&amp;Games[[#This Row],[Week]]))</f>
        <v>13</v>
      </c>
      <c r="T369">
        <f>IF(Games[[#This Row],[Team]]="","",_xlfn.MAXIFS(Games[Week],Games[Team],Games[[#This Row],[Team]],Games[Season],Games[[#This Row],[Season]],Games[Week],"&lt;"&amp;Games[[#This Row],[Week]]))</f>
        <v>13</v>
      </c>
      <c r="U369">
        <f>IF(Games[[#This Row],[Team]]="","",_xlfn.MAXIFS(Games[Week],Games[Team],Games[[#This Row],[Opponent]],Games[Season],Games[[#This Row],[Season]],Games[Week],"&lt;"&amp;Games[[#This Row],[Week]]))</f>
        <v>13</v>
      </c>
      <c r="V36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6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6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1406.1161304167683</v>
      </c>
      <c r="Z36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1616.4452969442075</v>
      </c>
      <c r="AA36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0.16448659352392858</v>
      </c>
      <c r="AB369">
        <f>IF(Games[[#This Row],[Team]]="","",Games[[#This Row],[PointsFor]]-Games[[#This Row],[PointsAgainst]])</f>
        <v>-24</v>
      </c>
      <c r="AC369">
        <f>IF(Games[[#This Row],[Team]]="","",IF(Games[[#This Row],[MOV]]&gt;0,1,IF(Games[[#This Row],[MOV]]=0,0.5,0)))</f>
        <v>0</v>
      </c>
      <c r="AD369">
        <f>IF(Games[[#This Row],[Team]]="","",--(OR(AND(Games[[#This Row],[ExpectedWin]]&gt;=0.5,Games[[#This Row],[Result]]=1),AND(Games[[#This Row],[ExpectedWin]]&lt;0.5,Games[[#This Row],[Result]]=0))))</f>
        <v>1</v>
      </c>
      <c r="AE369">
        <f>IF(Games[[#This Row],[Team]]="","",-(Games[[#This Row],[Result]]*LN(Games[[#This Row],[ExpectedWin]])+(1-Games[[#This Row],[Result]])*LN(1-Games[[#This Row],[ExpectedWin]])))</f>
        <v>0.1797088850238735</v>
      </c>
      <c r="AF369">
        <f>IF(Games[[#This Row],[Team]]="","",IF(Games[[#This Row],[Season]]&gt;=2021,17,16))</f>
        <v>16</v>
      </c>
      <c r="AG369">
        <f>IF(Games[[#This Row],[Team]]="","",KMax-(KMax-KFloor)*MIN(Games[[#This Row],[GamesPlayed]],Games[[#This Row],[SeasonLen]])/Games[[#This Row],[SeasonLen]])</f>
        <v>38.037500000000001</v>
      </c>
      <c r="AH369">
        <f>IF(Games[[#This Row],[Team]]="","",((ABS(Games[[#This Row],[MOV]])+3)^0.8)/(7.5+0.006*ABS(Games[[#This Row],[PreGmRate]]-Games[[#This Row],[OppPreGmRate]]))*IF(Games[[#This Row],[OT]]=1,0.7,1))</f>
        <v>1.5940025127405419</v>
      </c>
      <c r="AI36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9">
        <f>IF(Games[[#This Row],[Team]]="","",Games[[#This Row],[K]]*IF(Games[[#This Row],[DivG]]=1,DivMult,1)*IF(Games[[#This Row],[ConfG]]=1,ConfMult,1)*Games[[#This Row],[POMult]])</f>
        <v>38.798250000000003</v>
      </c>
      <c r="AK369">
        <f>IF(Games[[#This Row],[Team]]="","",(Games[[#This Row],[Keff]]*Games[[#This Row],[MOVMult]])*(Games[[#This Row],[Result]]-Games[[#This Row],[ExpectedWin]]))</f>
        <v>-10.172592447427913</v>
      </c>
      <c r="AL369">
        <f>IF(Games[[#This Row],[Team]]="","",Games[[#This Row],[PreGmRate]]+Games[[#This Row],[RatingChange]])</f>
        <v>1395.9435379693405</v>
      </c>
      <c r="AM369">
        <f>IF(Games[[#This Row],[Team]]="","",IF(Games[[#This Row],[Type]]="R",IF(Games[[#This Row],[Result]]&gt;0.5,1,0),0))</f>
        <v>0</v>
      </c>
      <c r="AN369">
        <f>IF(Games[[#This Row],[Team]]="","",IF(Games[[#This Row],[Type]]="R",IF(Games[[#This Row],[Result]]&lt;0.5,1,0),0))</f>
        <v>1</v>
      </c>
      <c r="AO369">
        <f>IF(Games[[#This Row],[Team]]="","",IF(Games[[#This Row],[Type]]="R",IF(Games[[#This Row],[Result]]=0.5,1,0),0))</f>
        <v>0</v>
      </c>
    </row>
    <row r="370" spans="1:41" x14ac:dyDescent="0.35">
      <c r="A370" s="8">
        <v>35400</v>
      </c>
      <c r="B370">
        <v>1996</v>
      </c>
      <c r="C370" t="s">
        <v>197</v>
      </c>
      <c r="D370" t="s">
        <v>199</v>
      </c>
      <c r="E370" t="s">
        <v>120</v>
      </c>
      <c r="F370" t="s">
        <v>110</v>
      </c>
      <c r="G370" t="s">
        <v>200</v>
      </c>
      <c r="H370">
        <v>28</v>
      </c>
      <c r="I370">
        <v>17</v>
      </c>
      <c r="J370">
        <v>0</v>
      </c>
      <c r="K37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7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7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7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70">
        <f>IF(Games[[#This Row],[Team]]="","",IF(Games[[#This Row],[Conf]]=Games[[#This Row],[OppConf]],1,0))</f>
        <v>1</v>
      </c>
      <c r="P370">
        <f>IF(Games[[#This Row],[Team]]="","",IF(AND(Games[[#This Row],[Conf]]=Games[[#This Row],[OppConf]],Games[[#This Row],[Div]]=Games[[#This Row],[OppDiv]]),1,0))</f>
        <v>1</v>
      </c>
      <c r="Q370">
        <f>IF(Games[[#This Row],[Team]]="","",_xlfn.MINIFS(Games[Date],Games[Season],Games[[#This Row],[Season]]))</f>
        <v>35309</v>
      </c>
      <c r="R370">
        <f>IF(Games[[#This Row],[Team]]="","",INT((Games[[#This Row],[Date]]-(Games[[#This Row],[SeasonStart]]-MOD(WEEKDAY(Games[[#This Row],[SeasonStart]],2)-2,7)))/7)+1)</f>
        <v>14</v>
      </c>
      <c r="S370">
        <f>IF(Games[[#This Row],[Team]]="","",COUNTIFS(Games[Team],Games[[#This Row],[Team]],Games[Season],Games[[#This Row],[Season]],Games[Week],"&lt;="&amp;Games[[#This Row],[Week]]))</f>
        <v>13</v>
      </c>
      <c r="T370">
        <f>IF(Games[[#This Row],[Team]]="","",_xlfn.MAXIFS(Games[Week],Games[Team],Games[[#This Row],[Team]],Games[Season],Games[[#This Row],[Season]],Games[Week],"&lt;"&amp;Games[[#This Row],[Week]]))</f>
        <v>13</v>
      </c>
      <c r="U370">
        <f>IF(Games[[#This Row],[Team]]="","",_xlfn.MAXIFS(Games[Week],Games[Team],Games[[#This Row],[Opponent]],Games[Season],Games[[#This Row],[Season]],Games[Week],"&lt;"&amp;Games[[#This Row],[Week]]))</f>
        <v>13</v>
      </c>
      <c r="V37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7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7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1648.7074169793812</v>
      </c>
      <c r="Z37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1461.4203192829061</v>
      </c>
      <c r="AA37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0.81646467846758353</v>
      </c>
      <c r="AB370">
        <f>IF(Games[[#This Row],[Team]]="","",Games[[#This Row],[PointsFor]]-Games[[#This Row],[PointsAgainst]])</f>
        <v>11</v>
      </c>
      <c r="AC370">
        <f>IF(Games[[#This Row],[Team]]="","",IF(Games[[#This Row],[MOV]]&gt;0,1,IF(Games[[#This Row],[MOV]]=0,0.5,0)))</f>
        <v>1</v>
      </c>
      <c r="AD370">
        <f>IF(Games[[#This Row],[Team]]="","",--(OR(AND(Games[[#This Row],[ExpectedWin]]&gt;=0.5,Games[[#This Row],[Result]]=1),AND(Games[[#This Row],[ExpectedWin]]&lt;0.5,Games[[#This Row],[Result]]=0))))</f>
        <v>1</v>
      </c>
      <c r="AE370">
        <f>IF(Games[[#This Row],[Team]]="","",-(Games[[#This Row],[Result]]*LN(Games[[#This Row],[ExpectedWin]])+(1-Games[[#This Row],[Result]])*LN(1-Games[[#This Row],[ExpectedWin]])))</f>
        <v>0.20277162719187161</v>
      </c>
      <c r="AF370">
        <f>IF(Games[[#This Row],[Team]]="","",IF(Games[[#This Row],[Season]]&gt;=2021,17,16))</f>
        <v>16</v>
      </c>
      <c r="AG370">
        <f>IF(Games[[#This Row],[Team]]="","",KMax-(KMax-KFloor)*MIN(Games[[#This Row],[GamesPlayed]],Games[[#This Row],[SeasonLen]])/Games[[#This Row],[SeasonLen]])</f>
        <v>38.037500000000001</v>
      </c>
      <c r="AH370">
        <f>IF(Games[[#This Row],[Team]]="","",((ABS(Games[[#This Row],[MOV]])+3)^0.8)/(7.5+0.006*ABS(Games[[#This Row],[PreGmRate]]-Games[[#This Row],[OppPreGmRate]]))*IF(Games[[#This Row],[OT]]=1,0.7,1))</f>
        <v>0.95765184819666027</v>
      </c>
      <c r="AI37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0">
        <f>IF(Games[[#This Row],[Team]]="","",Games[[#This Row],[K]]*IF(Games[[#This Row],[DivG]]=1,DivMult,1)*IF(Games[[#This Row],[ConfG]]=1,ConfMult,1)*Games[[#This Row],[POMult]])</f>
        <v>42.678075</v>
      </c>
      <c r="AK370">
        <f>IF(Games[[#This Row],[Team]]="","",(Games[[#This Row],[Keff]]*Games[[#This Row],[MOVMult]])*(Games[[#This Row],[Result]]-Games[[#This Row],[ExpectedWin]]))</f>
        <v>7.5012239302009149</v>
      </c>
      <c r="AL370">
        <f>IF(Games[[#This Row],[Team]]="","",Games[[#This Row],[PreGmRate]]+Games[[#This Row],[RatingChange]])</f>
        <v>1656.2086409095821</v>
      </c>
      <c r="AM370">
        <f>IF(Games[[#This Row],[Team]]="","",IF(Games[[#This Row],[Type]]="R",IF(Games[[#This Row],[Result]]&gt;0.5,1,0),0))</f>
        <v>1</v>
      </c>
      <c r="AN370">
        <f>IF(Games[[#This Row],[Team]]="","",IF(Games[[#This Row],[Type]]="R",IF(Games[[#This Row],[Result]]&lt;0.5,1,0),0))</f>
        <v>0</v>
      </c>
      <c r="AO370">
        <f>IF(Games[[#This Row],[Team]]="","",IF(Games[[#This Row],[Type]]="R",IF(Games[[#This Row],[Result]]=0.5,1,0),0))</f>
        <v>0</v>
      </c>
    </row>
    <row r="371" spans="1:41" x14ac:dyDescent="0.35">
      <c r="A371" s="8">
        <v>35400</v>
      </c>
      <c r="B371">
        <v>1996</v>
      </c>
      <c r="C371" t="s">
        <v>197</v>
      </c>
      <c r="D371" t="s">
        <v>199</v>
      </c>
      <c r="E371" t="s">
        <v>110</v>
      </c>
      <c r="F371" t="s">
        <v>120</v>
      </c>
      <c r="G371" t="s">
        <v>201</v>
      </c>
      <c r="H371">
        <v>17</v>
      </c>
      <c r="I371">
        <v>28</v>
      </c>
      <c r="J371">
        <v>0</v>
      </c>
      <c r="K37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7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7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7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71">
        <f>IF(Games[[#This Row],[Team]]="","",IF(Games[[#This Row],[Conf]]=Games[[#This Row],[OppConf]],1,0))</f>
        <v>1</v>
      </c>
      <c r="P371">
        <f>IF(Games[[#This Row],[Team]]="","",IF(AND(Games[[#This Row],[Conf]]=Games[[#This Row],[OppConf]],Games[[#This Row],[Div]]=Games[[#This Row],[OppDiv]]),1,0))</f>
        <v>1</v>
      </c>
      <c r="Q371">
        <f>IF(Games[[#This Row],[Team]]="","",_xlfn.MINIFS(Games[Date],Games[Season],Games[[#This Row],[Season]]))</f>
        <v>35309</v>
      </c>
      <c r="R371">
        <f>IF(Games[[#This Row],[Team]]="","",INT((Games[[#This Row],[Date]]-(Games[[#This Row],[SeasonStart]]-MOD(WEEKDAY(Games[[#This Row],[SeasonStart]],2)-2,7)))/7)+1)</f>
        <v>14</v>
      </c>
      <c r="S371">
        <f>IF(Games[[#This Row],[Team]]="","",COUNTIFS(Games[Team],Games[[#This Row],[Team]],Games[Season],Games[[#This Row],[Season]],Games[Week],"&lt;="&amp;Games[[#This Row],[Week]]))</f>
        <v>13</v>
      </c>
      <c r="T371">
        <f>IF(Games[[#This Row],[Team]]="","",_xlfn.MAXIFS(Games[Week],Games[Team],Games[[#This Row],[Team]],Games[Season],Games[[#This Row],[Season]],Games[Week],"&lt;"&amp;Games[[#This Row],[Week]]))</f>
        <v>13</v>
      </c>
      <c r="U371">
        <f>IF(Games[[#This Row],[Team]]="","",_xlfn.MAXIFS(Games[Week],Games[Team],Games[[#This Row],[Opponent]],Games[Season],Games[[#This Row],[Season]],Games[Week],"&lt;"&amp;Games[[#This Row],[Week]]))</f>
        <v>13</v>
      </c>
      <c r="V37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7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7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1461.4203192829061</v>
      </c>
      <c r="Z37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1648.7074169793812</v>
      </c>
      <c r="AA37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0.18353532153241656</v>
      </c>
      <c r="AB371">
        <f>IF(Games[[#This Row],[Team]]="","",Games[[#This Row],[PointsFor]]-Games[[#This Row],[PointsAgainst]])</f>
        <v>-11</v>
      </c>
      <c r="AC371">
        <f>IF(Games[[#This Row],[Team]]="","",IF(Games[[#This Row],[MOV]]&gt;0,1,IF(Games[[#This Row],[MOV]]=0,0.5,0)))</f>
        <v>0</v>
      </c>
      <c r="AD371">
        <f>IF(Games[[#This Row],[Team]]="","",--(OR(AND(Games[[#This Row],[ExpectedWin]]&gt;=0.5,Games[[#This Row],[Result]]=1),AND(Games[[#This Row],[ExpectedWin]]&lt;0.5,Games[[#This Row],[Result]]=0))))</f>
        <v>1</v>
      </c>
      <c r="AE371">
        <f>IF(Games[[#This Row],[Team]]="","",-(Games[[#This Row],[Result]]*LN(Games[[#This Row],[ExpectedWin]])+(1-Games[[#This Row],[Result]])*LN(1-Games[[#This Row],[ExpectedWin]])))</f>
        <v>0.20277162719187175</v>
      </c>
      <c r="AF371">
        <f>IF(Games[[#This Row],[Team]]="","",IF(Games[[#This Row],[Season]]&gt;=2021,17,16))</f>
        <v>16</v>
      </c>
      <c r="AG371">
        <f>IF(Games[[#This Row],[Team]]="","",KMax-(KMax-KFloor)*MIN(Games[[#This Row],[GamesPlayed]],Games[[#This Row],[SeasonLen]])/Games[[#This Row],[SeasonLen]])</f>
        <v>38.037500000000001</v>
      </c>
      <c r="AH371">
        <f>IF(Games[[#This Row],[Team]]="","",((ABS(Games[[#This Row],[MOV]])+3)^0.8)/(7.5+0.006*ABS(Games[[#This Row],[PreGmRate]]-Games[[#This Row],[OppPreGmRate]]))*IF(Games[[#This Row],[OT]]=1,0.7,1))</f>
        <v>0.95765184819666027</v>
      </c>
      <c r="AI37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1">
        <f>IF(Games[[#This Row],[Team]]="","",Games[[#This Row],[K]]*IF(Games[[#This Row],[DivG]]=1,DivMult,1)*IF(Games[[#This Row],[ConfG]]=1,ConfMult,1)*Games[[#This Row],[POMult]])</f>
        <v>42.678075</v>
      </c>
      <c r="AK371">
        <f>IF(Games[[#This Row],[Team]]="","",(Games[[#This Row],[Keff]]*Games[[#This Row],[MOVMult]])*(Games[[#This Row],[Result]]-Games[[#This Row],[ExpectedWin]]))</f>
        <v>-7.5012239302009185</v>
      </c>
      <c r="AL371">
        <f>IF(Games[[#This Row],[Team]]="","",Games[[#This Row],[PreGmRate]]+Games[[#This Row],[RatingChange]])</f>
        <v>1453.9190953527052</v>
      </c>
      <c r="AM371">
        <f>IF(Games[[#This Row],[Team]]="","",IF(Games[[#This Row],[Type]]="R",IF(Games[[#This Row],[Result]]&gt;0.5,1,0),0))</f>
        <v>0</v>
      </c>
      <c r="AN371">
        <f>IF(Games[[#This Row],[Team]]="","",IF(Games[[#This Row],[Type]]="R",IF(Games[[#This Row],[Result]]&lt;0.5,1,0),0))</f>
        <v>1</v>
      </c>
      <c r="AO371">
        <f>IF(Games[[#This Row],[Team]]="","",IF(Games[[#This Row],[Type]]="R",IF(Games[[#This Row],[Result]]=0.5,1,0),0))</f>
        <v>0</v>
      </c>
    </row>
    <row r="372" spans="1:41" x14ac:dyDescent="0.35">
      <c r="A372" s="8">
        <v>35400</v>
      </c>
      <c r="B372">
        <v>1996</v>
      </c>
      <c r="C372" t="s">
        <v>197</v>
      </c>
      <c r="D372" t="s">
        <v>199</v>
      </c>
      <c r="E372" t="s">
        <v>124</v>
      </c>
      <c r="F372" t="s">
        <v>112</v>
      </c>
      <c r="G372" t="s">
        <v>200</v>
      </c>
      <c r="H372">
        <v>30</v>
      </c>
      <c r="I372">
        <v>27</v>
      </c>
      <c r="J372">
        <v>0</v>
      </c>
      <c r="K37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7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7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7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72">
        <f>IF(Games[[#This Row],[Team]]="","",IF(Games[[#This Row],[Conf]]=Games[[#This Row],[OppConf]],1,0))</f>
        <v>1</v>
      </c>
      <c r="P372">
        <f>IF(Games[[#This Row],[Team]]="","",IF(AND(Games[[#This Row],[Conf]]=Games[[#This Row],[OppConf]],Games[[#This Row],[Div]]=Games[[#This Row],[OppDiv]]),1,0))</f>
        <v>1</v>
      </c>
      <c r="Q372">
        <f>IF(Games[[#This Row],[Team]]="","",_xlfn.MINIFS(Games[Date],Games[Season],Games[[#This Row],[Season]]))</f>
        <v>35309</v>
      </c>
      <c r="R372">
        <f>IF(Games[[#This Row],[Team]]="","",INT((Games[[#This Row],[Date]]-(Games[[#This Row],[SeasonStart]]-MOD(WEEKDAY(Games[[#This Row],[SeasonStart]],2)-2,7)))/7)+1)</f>
        <v>14</v>
      </c>
      <c r="S372">
        <f>IF(Games[[#This Row],[Team]]="","",COUNTIFS(Games[Team],Games[[#This Row],[Team]],Games[Season],Games[[#This Row],[Season]],Games[Week],"&lt;="&amp;Games[[#This Row],[Week]]))</f>
        <v>13</v>
      </c>
      <c r="T372">
        <f>IF(Games[[#This Row],[Team]]="","",_xlfn.MAXIFS(Games[Week],Games[Team],Games[[#This Row],[Team]],Games[Season],Games[[#This Row],[Season]],Games[Week],"&lt;"&amp;Games[[#This Row],[Week]]))</f>
        <v>13</v>
      </c>
      <c r="U372">
        <f>IF(Games[[#This Row],[Team]]="","",_xlfn.MAXIFS(Games[Week],Games[Team],Games[[#This Row],[Opponent]],Games[Season],Games[[#This Row],[Season]],Games[Week],"&lt;"&amp;Games[[#This Row],[Week]]))</f>
        <v>13</v>
      </c>
      <c r="V37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7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7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1453.1421388975448</v>
      </c>
      <c r="Z37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1490.3306316502337</v>
      </c>
      <c r="AA37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0.54993081007882993</v>
      </c>
      <c r="AB372">
        <f>IF(Games[[#This Row],[Team]]="","",Games[[#This Row],[PointsFor]]-Games[[#This Row],[PointsAgainst]])</f>
        <v>3</v>
      </c>
      <c r="AC372">
        <f>IF(Games[[#This Row],[Team]]="","",IF(Games[[#This Row],[MOV]]&gt;0,1,IF(Games[[#This Row],[MOV]]=0,0.5,0)))</f>
        <v>1</v>
      </c>
      <c r="AD372">
        <f>IF(Games[[#This Row],[Team]]="","",--(OR(AND(Games[[#This Row],[ExpectedWin]]&gt;=0.5,Games[[#This Row],[Result]]=1),AND(Games[[#This Row],[ExpectedWin]]&lt;0.5,Games[[#This Row],[Result]]=0))))</f>
        <v>1</v>
      </c>
      <c r="AE372">
        <f>IF(Games[[#This Row],[Team]]="","",-(Games[[#This Row],[Result]]*LN(Games[[#This Row],[ExpectedWin]])+(1-Games[[#This Row],[Result]])*LN(1-Games[[#This Row],[ExpectedWin]])))</f>
        <v>0.59796280852575889</v>
      </c>
      <c r="AF372">
        <f>IF(Games[[#This Row],[Team]]="","",IF(Games[[#This Row],[Season]]&gt;=2021,17,16))</f>
        <v>16</v>
      </c>
      <c r="AG372">
        <f>IF(Games[[#This Row],[Team]]="","",KMax-(KMax-KFloor)*MIN(Games[[#This Row],[GamesPlayed]],Games[[#This Row],[SeasonLen]])/Games[[#This Row],[SeasonLen]])</f>
        <v>38.037500000000001</v>
      </c>
      <c r="AH372">
        <f>IF(Games[[#This Row],[Team]]="","",((ABS(Games[[#This Row],[MOV]])+3)^0.8)/(7.5+0.006*ABS(Games[[#This Row],[PreGmRate]]-Games[[#This Row],[OppPreGmRate]]))*IF(Games[[#This Row],[OT]]=1,0.7,1))</f>
        <v>0.54290970025463625</v>
      </c>
      <c r="AI37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2">
        <f>IF(Games[[#This Row],[Team]]="","",Games[[#This Row],[K]]*IF(Games[[#This Row],[DivG]]=1,DivMult,1)*IF(Games[[#This Row],[ConfG]]=1,ConfMult,1)*Games[[#This Row],[POMult]])</f>
        <v>42.678075</v>
      </c>
      <c r="AK372">
        <f>IF(Games[[#This Row],[Team]]="","",(Games[[#This Row],[Keff]]*Games[[#This Row],[MOVMult]])*(Games[[#This Row],[Result]]-Games[[#This Row],[ExpectedWin]]))</f>
        <v>10.428256561623447</v>
      </c>
      <c r="AL372">
        <f>IF(Games[[#This Row],[Team]]="","",Games[[#This Row],[PreGmRate]]+Games[[#This Row],[RatingChange]])</f>
        <v>1463.5703954591681</v>
      </c>
      <c r="AM372">
        <f>IF(Games[[#This Row],[Team]]="","",IF(Games[[#This Row],[Type]]="R",IF(Games[[#This Row],[Result]]&gt;0.5,1,0),0))</f>
        <v>1</v>
      </c>
      <c r="AN372">
        <f>IF(Games[[#This Row],[Team]]="","",IF(Games[[#This Row],[Type]]="R",IF(Games[[#This Row],[Result]]&lt;0.5,1,0),0))</f>
        <v>0</v>
      </c>
      <c r="AO372">
        <f>IF(Games[[#This Row],[Team]]="","",IF(Games[[#This Row],[Type]]="R",IF(Games[[#This Row],[Result]]=0.5,1,0),0))</f>
        <v>0</v>
      </c>
    </row>
    <row r="373" spans="1:41" x14ac:dyDescent="0.35">
      <c r="A373" s="8">
        <v>35400</v>
      </c>
      <c r="B373">
        <v>1996</v>
      </c>
      <c r="C373" t="s">
        <v>197</v>
      </c>
      <c r="D373" t="s">
        <v>199</v>
      </c>
      <c r="E373" t="s">
        <v>112</v>
      </c>
      <c r="F373" t="s">
        <v>124</v>
      </c>
      <c r="G373" t="s">
        <v>201</v>
      </c>
      <c r="H373">
        <v>27</v>
      </c>
      <c r="I373">
        <v>30</v>
      </c>
      <c r="J373">
        <v>0</v>
      </c>
      <c r="K37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7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7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7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73">
        <f>IF(Games[[#This Row],[Team]]="","",IF(Games[[#This Row],[Conf]]=Games[[#This Row],[OppConf]],1,0))</f>
        <v>1</v>
      </c>
      <c r="P373">
        <f>IF(Games[[#This Row],[Team]]="","",IF(AND(Games[[#This Row],[Conf]]=Games[[#This Row],[OppConf]],Games[[#This Row],[Div]]=Games[[#This Row],[OppDiv]]),1,0))</f>
        <v>1</v>
      </c>
      <c r="Q373">
        <f>IF(Games[[#This Row],[Team]]="","",_xlfn.MINIFS(Games[Date],Games[Season],Games[[#This Row],[Season]]))</f>
        <v>35309</v>
      </c>
      <c r="R373">
        <f>IF(Games[[#This Row],[Team]]="","",INT((Games[[#This Row],[Date]]-(Games[[#This Row],[SeasonStart]]-MOD(WEEKDAY(Games[[#This Row],[SeasonStart]],2)-2,7)))/7)+1)</f>
        <v>14</v>
      </c>
      <c r="S373">
        <f>IF(Games[[#This Row],[Team]]="","",COUNTIFS(Games[Team],Games[[#This Row],[Team]],Games[Season],Games[[#This Row],[Season]],Games[Week],"&lt;="&amp;Games[[#This Row],[Week]]))</f>
        <v>13</v>
      </c>
      <c r="T373">
        <f>IF(Games[[#This Row],[Team]]="","",_xlfn.MAXIFS(Games[Week],Games[Team],Games[[#This Row],[Team]],Games[Season],Games[[#This Row],[Season]],Games[Week],"&lt;"&amp;Games[[#This Row],[Week]]))</f>
        <v>13</v>
      </c>
      <c r="U373">
        <f>IF(Games[[#This Row],[Team]]="","",_xlfn.MAXIFS(Games[Week],Games[Team],Games[[#This Row],[Opponent]],Games[Season],Games[[#This Row],[Season]],Games[Week],"&lt;"&amp;Games[[#This Row],[Week]]))</f>
        <v>13</v>
      </c>
      <c r="V37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7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7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1490.3306316502337</v>
      </c>
      <c r="Z37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1453.1421388975448</v>
      </c>
      <c r="AA37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0.45006918992117007</v>
      </c>
      <c r="AB373">
        <f>IF(Games[[#This Row],[Team]]="","",Games[[#This Row],[PointsFor]]-Games[[#This Row],[PointsAgainst]])</f>
        <v>-3</v>
      </c>
      <c r="AC373">
        <f>IF(Games[[#This Row],[Team]]="","",IF(Games[[#This Row],[MOV]]&gt;0,1,IF(Games[[#This Row],[MOV]]=0,0.5,0)))</f>
        <v>0</v>
      </c>
      <c r="AD373">
        <f>IF(Games[[#This Row],[Team]]="","",--(OR(AND(Games[[#This Row],[ExpectedWin]]&gt;=0.5,Games[[#This Row],[Result]]=1),AND(Games[[#This Row],[ExpectedWin]]&lt;0.5,Games[[#This Row],[Result]]=0))))</f>
        <v>1</v>
      </c>
      <c r="AE373">
        <f>IF(Games[[#This Row],[Team]]="","",-(Games[[#This Row],[Result]]*LN(Games[[#This Row],[ExpectedWin]])+(1-Games[[#This Row],[Result]])*LN(1-Games[[#This Row],[ExpectedWin]])))</f>
        <v>0.59796280852575889</v>
      </c>
      <c r="AF373">
        <f>IF(Games[[#This Row],[Team]]="","",IF(Games[[#This Row],[Season]]&gt;=2021,17,16))</f>
        <v>16</v>
      </c>
      <c r="AG373">
        <f>IF(Games[[#This Row],[Team]]="","",KMax-(KMax-KFloor)*MIN(Games[[#This Row],[GamesPlayed]],Games[[#This Row],[SeasonLen]])/Games[[#This Row],[SeasonLen]])</f>
        <v>38.037500000000001</v>
      </c>
      <c r="AH373">
        <f>IF(Games[[#This Row],[Team]]="","",((ABS(Games[[#This Row],[MOV]])+3)^0.8)/(7.5+0.006*ABS(Games[[#This Row],[PreGmRate]]-Games[[#This Row],[OppPreGmRate]]))*IF(Games[[#This Row],[OT]]=1,0.7,1))</f>
        <v>0.54290970025463625</v>
      </c>
      <c r="AI37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3">
        <f>IF(Games[[#This Row],[Team]]="","",Games[[#This Row],[K]]*IF(Games[[#This Row],[DivG]]=1,DivMult,1)*IF(Games[[#This Row],[ConfG]]=1,ConfMult,1)*Games[[#This Row],[POMult]])</f>
        <v>42.678075</v>
      </c>
      <c r="AK373">
        <f>IF(Games[[#This Row],[Team]]="","",(Games[[#This Row],[Keff]]*Games[[#This Row],[MOVMult]])*(Games[[#This Row],[Result]]-Games[[#This Row],[ExpectedWin]]))</f>
        <v>-10.428256561623447</v>
      </c>
      <c r="AL373">
        <f>IF(Games[[#This Row],[Team]]="","",Games[[#This Row],[PreGmRate]]+Games[[#This Row],[RatingChange]])</f>
        <v>1479.9023750886104</v>
      </c>
      <c r="AM373">
        <f>IF(Games[[#This Row],[Team]]="","",IF(Games[[#This Row],[Type]]="R",IF(Games[[#This Row],[Result]]&gt;0.5,1,0),0))</f>
        <v>0</v>
      </c>
      <c r="AN373">
        <f>IF(Games[[#This Row],[Team]]="","",IF(Games[[#This Row],[Type]]="R",IF(Games[[#This Row],[Result]]&lt;0.5,1,0),0))</f>
        <v>1</v>
      </c>
      <c r="AO373">
        <f>IF(Games[[#This Row],[Team]]="","",IF(Games[[#This Row],[Type]]="R",IF(Games[[#This Row],[Result]]=0.5,1,0),0))</f>
        <v>0</v>
      </c>
    </row>
    <row r="374" spans="1:41" x14ac:dyDescent="0.35">
      <c r="A374" s="8">
        <v>35400</v>
      </c>
      <c r="B374">
        <v>1996</v>
      </c>
      <c r="C374" t="s">
        <v>197</v>
      </c>
      <c r="D374" t="s">
        <v>199</v>
      </c>
      <c r="E374" t="s">
        <v>130</v>
      </c>
      <c r="F374" t="s">
        <v>93</v>
      </c>
      <c r="G374" t="s">
        <v>200</v>
      </c>
      <c r="H374">
        <v>41</v>
      </c>
      <c r="I374">
        <v>17</v>
      </c>
      <c r="J374">
        <v>0</v>
      </c>
      <c r="K37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7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7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7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74">
        <f>IF(Games[[#This Row],[Team]]="","",IF(Games[[#This Row],[Conf]]=Games[[#This Row],[OppConf]],1,0))</f>
        <v>1</v>
      </c>
      <c r="P374">
        <f>IF(Games[[#This Row],[Team]]="","",IF(AND(Games[[#This Row],[Conf]]=Games[[#This Row],[OppConf]],Games[[#This Row],[Div]]=Games[[#This Row],[OppDiv]]),1,0))</f>
        <v>0</v>
      </c>
      <c r="Q374">
        <f>IF(Games[[#This Row],[Team]]="","",_xlfn.MINIFS(Games[Date],Games[Season],Games[[#This Row],[Season]]))</f>
        <v>35309</v>
      </c>
      <c r="R374">
        <f>IF(Games[[#This Row],[Team]]="","",INT((Games[[#This Row],[Date]]-(Games[[#This Row],[SeasonStart]]-MOD(WEEKDAY(Games[[#This Row],[SeasonStart]],2)-2,7)))/7)+1)</f>
        <v>14</v>
      </c>
      <c r="S374">
        <f>IF(Games[[#This Row],[Team]]="","",COUNTIFS(Games[Team],Games[[#This Row],[Team]],Games[Season],Games[[#This Row],[Season]],Games[Week],"&lt;="&amp;Games[[#This Row],[Week]]))</f>
        <v>13</v>
      </c>
      <c r="T374">
        <f>IF(Games[[#This Row],[Team]]="","",_xlfn.MAXIFS(Games[Week],Games[Team],Games[[#This Row],[Team]],Games[Season],Games[[#This Row],[Season]],Games[Week],"&lt;"&amp;Games[[#This Row],[Week]]))</f>
        <v>13</v>
      </c>
      <c r="U374">
        <f>IF(Games[[#This Row],[Team]]="","",_xlfn.MAXIFS(Games[Week],Games[Team],Games[[#This Row],[Opponent]],Games[Season],Games[[#This Row],[Season]],Games[Week],"&lt;"&amp;Games[[#This Row],[Week]]))</f>
        <v>13</v>
      </c>
      <c r="V37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7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7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1466.8965959539498</v>
      </c>
      <c r="Z37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1442.7246560590734</v>
      </c>
      <c r="AA37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0.63497277588072454</v>
      </c>
      <c r="AB374">
        <f>IF(Games[[#This Row],[Team]]="","",Games[[#This Row],[PointsFor]]-Games[[#This Row],[PointsAgainst]])</f>
        <v>24</v>
      </c>
      <c r="AC374">
        <f>IF(Games[[#This Row],[Team]]="","",IF(Games[[#This Row],[MOV]]&gt;0,1,IF(Games[[#This Row],[MOV]]=0,0.5,0)))</f>
        <v>1</v>
      </c>
      <c r="AD374">
        <f>IF(Games[[#This Row],[Team]]="","",--(OR(AND(Games[[#This Row],[ExpectedWin]]&gt;=0.5,Games[[#This Row],[Result]]=1),AND(Games[[#This Row],[ExpectedWin]]&lt;0.5,Games[[#This Row],[Result]]=0))))</f>
        <v>1</v>
      </c>
      <c r="AE374">
        <f>IF(Games[[#This Row],[Team]]="","",-(Games[[#This Row],[Result]]*LN(Games[[#This Row],[ExpectedWin]])+(1-Games[[#This Row],[Result]])*LN(1-Games[[#This Row],[ExpectedWin]])))</f>
        <v>0.45417315363728306</v>
      </c>
      <c r="AF374">
        <f>IF(Games[[#This Row],[Team]]="","",IF(Games[[#This Row],[Season]]&gt;=2021,17,16))</f>
        <v>16</v>
      </c>
      <c r="AG374">
        <f>IF(Games[[#This Row],[Team]]="","",KMax-(KMax-KFloor)*MIN(Games[[#This Row],[GamesPlayed]],Games[[#This Row],[SeasonLen]])/Games[[#This Row],[SeasonLen]])</f>
        <v>38.037500000000001</v>
      </c>
      <c r="AH374">
        <f>IF(Games[[#This Row],[Team]]="","",((ABS(Games[[#This Row],[MOV]])+3)^0.8)/(7.5+0.006*ABS(Games[[#This Row],[PreGmRate]]-Games[[#This Row],[OppPreGmRate]]))*IF(Games[[#This Row],[OT]]=1,0.7,1))</f>
        <v>1.8268871633329868</v>
      </c>
      <c r="AI37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4">
        <f>IF(Games[[#This Row],[Team]]="","",Games[[#This Row],[K]]*IF(Games[[#This Row],[DivG]]=1,DivMult,1)*IF(Games[[#This Row],[ConfG]]=1,ConfMult,1)*Games[[#This Row],[POMult]])</f>
        <v>38.798250000000003</v>
      </c>
      <c r="AK374">
        <f>IF(Games[[#This Row],[Team]]="","",(Games[[#This Row],[Keff]]*Games[[#This Row],[MOVMult]])*(Games[[#This Row],[Result]]-Games[[#This Row],[ExpectedWin]]))</f>
        <v>25.873138729197894</v>
      </c>
      <c r="AL374">
        <f>IF(Games[[#This Row],[Team]]="","",Games[[#This Row],[PreGmRate]]+Games[[#This Row],[RatingChange]])</f>
        <v>1492.7697346831478</v>
      </c>
      <c r="AM374">
        <f>IF(Games[[#This Row],[Team]]="","",IF(Games[[#This Row],[Type]]="R",IF(Games[[#This Row],[Result]]&gt;0.5,1,0),0))</f>
        <v>1</v>
      </c>
      <c r="AN374">
        <f>IF(Games[[#This Row],[Team]]="","",IF(Games[[#This Row],[Type]]="R",IF(Games[[#This Row],[Result]]&lt;0.5,1,0),0))</f>
        <v>0</v>
      </c>
      <c r="AO374">
        <f>IF(Games[[#This Row],[Team]]="","",IF(Games[[#This Row],[Type]]="R",IF(Games[[#This Row],[Result]]=0.5,1,0),0))</f>
        <v>0</v>
      </c>
    </row>
    <row r="375" spans="1:41" x14ac:dyDescent="0.35">
      <c r="A375" s="8">
        <v>35400</v>
      </c>
      <c r="B375">
        <v>1996</v>
      </c>
      <c r="C375" t="s">
        <v>197</v>
      </c>
      <c r="D375" t="s">
        <v>199</v>
      </c>
      <c r="E375" t="s">
        <v>93</v>
      </c>
      <c r="F375" t="s">
        <v>130</v>
      </c>
      <c r="G375" t="s">
        <v>201</v>
      </c>
      <c r="H375">
        <v>17</v>
      </c>
      <c r="I375">
        <v>41</v>
      </c>
      <c r="J375">
        <v>0</v>
      </c>
      <c r="K37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7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7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7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75">
        <f>IF(Games[[#This Row],[Team]]="","",IF(Games[[#This Row],[Conf]]=Games[[#This Row],[OppConf]],1,0))</f>
        <v>1</v>
      </c>
      <c r="P375">
        <f>IF(Games[[#This Row],[Team]]="","",IF(AND(Games[[#This Row],[Conf]]=Games[[#This Row],[OppConf]],Games[[#This Row],[Div]]=Games[[#This Row],[OppDiv]]),1,0))</f>
        <v>0</v>
      </c>
      <c r="Q375">
        <f>IF(Games[[#This Row],[Team]]="","",_xlfn.MINIFS(Games[Date],Games[Season],Games[[#This Row],[Season]]))</f>
        <v>35309</v>
      </c>
      <c r="R375">
        <f>IF(Games[[#This Row],[Team]]="","",INT((Games[[#This Row],[Date]]-(Games[[#This Row],[SeasonStart]]-MOD(WEEKDAY(Games[[#This Row],[SeasonStart]],2)-2,7)))/7)+1)</f>
        <v>14</v>
      </c>
      <c r="S375">
        <f>IF(Games[[#This Row],[Team]]="","",COUNTIFS(Games[Team],Games[[#This Row],[Team]],Games[Season],Games[[#This Row],[Season]],Games[Week],"&lt;="&amp;Games[[#This Row],[Week]]))</f>
        <v>13</v>
      </c>
      <c r="T375">
        <f>IF(Games[[#This Row],[Team]]="","",_xlfn.MAXIFS(Games[Week],Games[Team],Games[[#This Row],[Team]],Games[Season],Games[[#This Row],[Season]],Games[Week],"&lt;"&amp;Games[[#This Row],[Week]]))</f>
        <v>13</v>
      </c>
      <c r="U375">
        <f>IF(Games[[#This Row],[Team]]="","",_xlfn.MAXIFS(Games[Week],Games[Team],Games[[#This Row],[Opponent]],Games[Season],Games[[#This Row],[Season]],Games[Week],"&lt;"&amp;Games[[#This Row],[Week]]))</f>
        <v>13</v>
      </c>
      <c r="V37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7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7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1442.7246560590734</v>
      </c>
      <c r="Z37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1466.8965959539498</v>
      </c>
      <c r="AA37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0.36502722411927546</v>
      </c>
      <c r="AB375">
        <f>IF(Games[[#This Row],[Team]]="","",Games[[#This Row],[PointsFor]]-Games[[#This Row],[PointsAgainst]])</f>
        <v>-24</v>
      </c>
      <c r="AC375">
        <f>IF(Games[[#This Row],[Team]]="","",IF(Games[[#This Row],[MOV]]&gt;0,1,IF(Games[[#This Row],[MOV]]=0,0.5,0)))</f>
        <v>0</v>
      </c>
      <c r="AD375">
        <f>IF(Games[[#This Row],[Team]]="","",--(OR(AND(Games[[#This Row],[ExpectedWin]]&gt;=0.5,Games[[#This Row],[Result]]=1),AND(Games[[#This Row],[ExpectedWin]]&lt;0.5,Games[[#This Row],[Result]]=0))))</f>
        <v>1</v>
      </c>
      <c r="AE375">
        <f>IF(Games[[#This Row],[Team]]="","",-(Games[[#This Row],[Result]]*LN(Games[[#This Row],[ExpectedWin]])+(1-Games[[#This Row],[Result]])*LN(1-Games[[#This Row],[ExpectedWin]])))</f>
        <v>0.45417315363728306</v>
      </c>
      <c r="AF375">
        <f>IF(Games[[#This Row],[Team]]="","",IF(Games[[#This Row],[Season]]&gt;=2021,17,16))</f>
        <v>16</v>
      </c>
      <c r="AG375">
        <f>IF(Games[[#This Row],[Team]]="","",KMax-(KMax-KFloor)*MIN(Games[[#This Row],[GamesPlayed]],Games[[#This Row],[SeasonLen]])/Games[[#This Row],[SeasonLen]])</f>
        <v>38.037500000000001</v>
      </c>
      <c r="AH375">
        <f>IF(Games[[#This Row],[Team]]="","",((ABS(Games[[#This Row],[MOV]])+3)^0.8)/(7.5+0.006*ABS(Games[[#This Row],[PreGmRate]]-Games[[#This Row],[OppPreGmRate]]))*IF(Games[[#This Row],[OT]]=1,0.7,1))</f>
        <v>1.8268871633329868</v>
      </c>
      <c r="AI37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5">
        <f>IF(Games[[#This Row],[Team]]="","",Games[[#This Row],[K]]*IF(Games[[#This Row],[DivG]]=1,DivMult,1)*IF(Games[[#This Row],[ConfG]]=1,ConfMult,1)*Games[[#This Row],[POMult]])</f>
        <v>38.798250000000003</v>
      </c>
      <c r="AK375">
        <f>IF(Games[[#This Row],[Team]]="","",(Games[[#This Row],[Keff]]*Games[[#This Row],[MOVMult]])*(Games[[#This Row],[Result]]-Games[[#This Row],[ExpectedWin]]))</f>
        <v>-25.873138729197894</v>
      </c>
      <c r="AL375">
        <f>IF(Games[[#This Row],[Team]]="","",Games[[#This Row],[PreGmRate]]+Games[[#This Row],[RatingChange]])</f>
        <v>1416.8515173298754</v>
      </c>
      <c r="AM375">
        <f>IF(Games[[#This Row],[Team]]="","",IF(Games[[#This Row],[Type]]="R",IF(Games[[#This Row],[Result]]&gt;0.5,1,0),0))</f>
        <v>0</v>
      </c>
      <c r="AN375">
        <f>IF(Games[[#This Row],[Team]]="","",IF(Games[[#This Row],[Type]]="R",IF(Games[[#This Row],[Result]]&lt;0.5,1,0),0))</f>
        <v>1</v>
      </c>
      <c r="AO375">
        <f>IF(Games[[#This Row],[Team]]="","",IF(Games[[#This Row],[Type]]="R",IF(Games[[#This Row],[Result]]=0.5,1,0),0))</f>
        <v>0</v>
      </c>
    </row>
    <row r="376" spans="1:41" x14ac:dyDescent="0.35">
      <c r="A376" s="8">
        <v>35400</v>
      </c>
      <c r="B376">
        <v>1996</v>
      </c>
      <c r="C376" t="s">
        <v>197</v>
      </c>
      <c r="D376" t="s">
        <v>199</v>
      </c>
      <c r="E376" t="s">
        <v>141</v>
      </c>
      <c r="F376" t="s">
        <v>136</v>
      </c>
      <c r="G376" t="s">
        <v>200</v>
      </c>
      <c r="H376">
        <v>24</v>
      </c>
      <c r="I376">
        <v>0</v>
      </c>
      <c r="J376">
        <v>0</v>
      </c>
      <c r="K37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7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7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7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76">
        <f>IF(Games[[#This Row],[Team]]="","",IF(Games[[#This Row],[Conf]]=Games[[#This Row],[OppConf]],1,0))</f>
        <v>1</v>
      </c>
      <c r="P376">
        <f>IF(Games[[#This Row],[Team]]="","",IF(AND(Games[[#This Row],[Conf]]=Games[[#This Row],[OppConf]],Games[[#This Row],[Div]]=Games[[#This Row],[OppDiv]]),1,0))</f>
        <v>1</v>
      </c>
      <c r="Q376">
        <f>IF(Games[[#This Row],[Team]]="","",_xlfn.MINIFS(Games[Date],Games[Season],Games[[#This Row],[Season]]))</f>
        <v>35309</v>
      </c>
      <c r="R376">
        <f>IF(Games[[#This Row],[Team]]="","",INT((Games[[#This Row],[Date]]-(Games[[#This Row],[SeasonStart]]-MOD(WEEKDAY(Games[[#This Row],[SeasonStart]],2)-2,7)))/7)+1)</f>
        <v>14</v>
      </c>
      <c r="S376">
        <f>IF(Games[[#This Row],[Team]]="","",COUNTIFS(Games[Team],Games[[#This Row],[Team]],Games[Season],Games[[#This Row],[Season]],Games[Week],"&lt;="&amp;Games[[#This Row],[Week]]))</f>
        <v>13</v>
      </c>
      <c r="T376">
        <f>IF(Games[[#This Row],[Team]]="","",_xlfn.MAXIFS(Games[Week],Games[Team],Games[[#This Row],[Team]],Games[Season],Games[[#This Row],[Season]],Games[Week],"&lt;"&amp;Games[[#This Row],[Week]]))</f>
        <v>13</v>
      </c>
      <c r="U376">
        <f>IF(Games[[#This Row],[Team]]="","",_xlfn.MAXIFS(Games[Week],Games[Team],Games[[#This Row],[Opponent]],Games[Season],Games[[#This Row],[Season]],Games[Week],"&lt;"&amp;Games[[#This Row],[Week]]))</f>
        <v>13</v>
      </c>
      <c r="V37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7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7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1543.3895459640437</v>
      </c>
      <c r="Z37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1483.9845505478884</v>
      </c>
      <c r="AA37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0.68057770313171639</v>
      </c>
      <c r="AB376">
        <f>IF(Games[[#This Row],[Team]]="","",Games[[#This Row],[PointsFor]]-Games[[#This Row],[PointsAgainst]])</f>
        <v>24</v>
      </c>
      <c r="AC376">
        <f>IF(Games[[#This Row],[Team]]="","",IF(Games[[#This Row],[MOV]]&gt;0,1,IF(Games[[#This Row],[MOV]]=0,0.5,0)))</f>
        <v>1</v>
      </c>
      <c r="AD376">
        <f>IF(Games[[#This Row],[Team]]="","",--(OR(AND(Games[[#This Row],[ExpectedWin]]&gt;=0.5,Games[[#This Row],[Result]]=1),AND(Games[[#This Row],[ExpectedWin]]&lt;0.5,Games[[#This Row],[Result]]=0))))</f>
        <v>1</v>
      </c>
      <c r="AE376">
        <f>IF(Games[[#This Row],[Team]]="","",-(Games[[#This Row],[Result]]*LN(Games[[#This Row],[ExpectedWin]])+(1-Games[[#This Row],[Result]])*LN(1-Games[[#This Row],[ExpectedWin]])))</f>
        <v>0.38481327805773696</v>
      </c>
      <c r="AF376">
        <f>IF(Games[[#This Row],[Team]]="","",IF(Games[[#This Row],[Season]]&gt;=2021,17,16))</f>
        <v>16</v>
      </c>
      <c r="AG376">
        <f>IF(Games[[#This Row],[Team]]="","",KMax-(KMax-KFloor)*MIN(Games[[#This Row],[GamesPlayed]],Games[[#This Row],[SeasonLen]])/Games[[#This Row],[SeasonLen]])</f>
        <v>38.037500000000001</v>
      </c>
      <c r="AH376">
        <f>IF(Games[[#This Row],[Team]]="","",((ABS(Games[[#This Row],[MOV]])+3)^0.8)/(7.5+0.006*ABS(Games[[#This Row],[PreGmRate]]-Games[[#This Row],[OppPreGmRate]]))*IF(Games[[#This Row],[OT]]=1,0.7,1))</f>
        <v>1.777729861289576</v>
      </c>
      <c r="AI37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6">
        <f>IF(Games[[#This Row],[Team]]="","",Games[[#This Row],[K]]*IF(Games[[#This Row],[DivG]]=1,DivMult,1)*IF(Games[[#This Row],[ConfG]]=1,ConfMult,1)*Games[[#This Row],[POMult]])</f>
        <v>42.678075</v>
      </c>
      <c r="AK376">
        <f>IF(Games[[#This Row],[Team]]="","",(Games[[#This Row],[Keff]]*Games[[#This Row],[MOVMult]])*(Games[[#This Row],[Result]]-Games[[#This Row],[ExpectedWin]]))</f>
        <v>24.234597884310645</v>
      </c>
      <c r="AL376">
        <f>IF(Games[[#This Row],[Team]]="","",Games[[#This Row],[PreGmRate]]+Games[[#This Row],[RatingChange]])</f>
        <v>1567.6241438483544</v>
      </c>
      <c r="AM376">
        <f>IF(Games[[#This Row],[Team]]="","",IF(Games[[#This Row],[Type]]="R",IF(Games[[#This Row],[Result]]&gt;0.5,1,0),0))</f>
        <v>1</v>
      </c>
      <c r="AN376">
        <f>IF(Games[[#This Row],[Team]]="","",IF(Games[[#This Row],[Type]]="R",IF(Games[[#This Row],[Result]]&lt;0.5,1,0),0))</f>
        <v>0</v>
      </c>
      <c r="AO376">
        <f>IF(Games[[#This Row],[Team]]="","",IF(Games[[#This Row],[Type]]="R",IF(Games[[#This Row],[Result]]=0.5,1,0),0))</f>
        <v>0</v>
      </c>
    </row>
    <row r="377" spans="1:41" x14ac:dyDescent="0.35">
      <c r="A377" s="8">
        <v>35400</v>
      </c>
      <c r="B377">
        <v>1996</v>
      </c>
      <c r="C377" t="s">
        <v>197</v>
      </c>
      <c r="D377" t="s">
        <v>199</v>
      </c>
      <c r="E377" t="s">
        <v>136</v>
      </c>
      <c r="F377" t="s">
        <v>141</v>
      </c>
      <c r="G377" t="s">
        <v>201</v>
      </c>
      <c r="H377">
        <v>0</v>
      </c>
      <c r="I377">
        <v>24</v>
      </c>
      <c r="J377">
        <v>0</v>
      </c>
      <c r="K37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7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7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7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77">
        <f>IF(Games[[#This Row],[Team]]="","",IF(Games[[#This Row],[Conf]]=Games[[#This Row],[OppConf]],1,0))</f>
        <v>1</v>
      </c>
      <c r="P377">
        <f>IF(Games[[#This Row],[Team]]="","",IF(AND(Games[[#This Row],[Conf]]=Games[[#This Row],[OppConf]],Games[[#This Row],[Div]]=Games[[#This Row],[OppDiv]]),1,0))</f>
        <v>1</v>
      </c>
      <c r="Q377">
        <f>IF(Games[[#This Row],[Team]]="","",_xlfn.MINIFS(Games[Date],Games[Season],Games[[#This Row],[Season]]))</f>
        <v>35309</v>
      </c>
      <c r="R377">
        <f>IF(Games[[#This Row],[Team]]="","",INT((Games[[#This Row],[Date]]-(Games[[#This Row],[SeasonStart]]-MOD(WEEKDAY(Games[[#This Row],[SeasonStart]],2)-2,7)))/7)+1)</f>
        <v>14</v>
      </c>
      <c r="S377">
        <f>IF(Games[[#This Row],[Team]]="","",COUNTIFS(Games[Team],Games[[#This Row],[Team]],Games[Season],Games[[#This Row],[Season]],Games[Week],"&lt;="&amp;Games[[#This Row],[Week]]))</f>
        <v>13</v>
      </c>
      <c r="T377">
        <f>IF(Games[[#This Row],[Team]]="","",_xlfn.MAXIFS(Games[Week],Games[Team],Games[[#This Row],[Team]],Games[Season],Games[[#This Row],[Season]],Games[Week],"&lt;"&amp;Games[[#This Row],[Week]]))</f>
        <v>13</v>
      </c>
      <c r="U377">
        <f>IF(Games[[#This Row],[Team]]="","",_xlfn.MAXIFS(Games[Week],Games[Team],Games[[#This Row],[Opponent]],Games[Season],Games[[#This Row],[Season]],Games[Week],"&lt;"&amp;Games[[#This Row],[Week]]))</f>
        <v>13</v>
      </c>
      <c r="V37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7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7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1483.9845505478884</v>
      </c>
      <c r="Z37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1543.3895459640437</v>
      </c>
      <c r="AA37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0.31942229686828361</v>
      </c>
      <c r="AB377">
        <f>IF(Games[[#This Row],[Team]]="","",Games[[#This Row],[PointsFor]]-Games[[#This Row],[PointsAgainst]])</f>
        <v>-24</v>
      </c>
      <c r="AC377">
        <f>IF(Games[[#This Row],[Team]]="","",IF(Games[[#This Row],[MOV]]&gt;0,1,IF(Games[[#This Row],[MOV]]=0,0.5,0)))</f>
        <v>0</v>
      </c>
      <c r="AD377">
        <f>IF(Games[[#This Row],[Team]]="","",--(OR(AND(Games[[#This Row],[ExpectedWin]]&gt;=0.5,Games[[#This Row],[Result]]=1),AND(Games[[#This Row],[ExpectedWin]]&lt;0.5,Games[[#This Row],[Result]]=0))))</f>
        <v>1</v>
      </c>
      <c r="AE377">
        <f>IF(Games[[#This Row],[Team]]="","",-(Games[[#This Row],[Result]]*LN(Games[[#This Row],[ExpectedWin]])+(1-Games[[#This Row],[Result]])*LN(1-Games[[#This Row],[ExpectedWin]])))</f>
        <v>0.38481327805773696</v>
      </c>
      <c r="AF377">
        <f>IF(Games[[#This Row],[Team]]="","",IF(Games[[#This Row],[Season]]&gt;=2021,17,16))</f>
        <v>16</v>
      </c>
      <c r="AG377">
        <f>IF(Games[[#This Row],[Team]]="","",KMax-(KMax-KFloor)*MIN(Games[[#This Row],[GamesPlayed]],Games[[#This Row],[SeasonLen]])/Games[[#This Row],[SeasonLen]])</f>
        <v>38.037500000000001</v>
      </c>
      <c r="AH377">
        <f>IF(Games[[#This Row],[Team]]="","",((ABS(Games[[#This Row],[MOV]])+3)^0.8)/(7.5+0.006*ABS(Games[[#This Row],[PreGmRate]]-Games[[#This Row],[OppPreGmRate]]))*IF(Games[[#This Row],[OT]]=1,0.7,1))</f>
        <v>1.777729861289576</v>
      </c>
      <c r="AI37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7">
        <f>IF(Games[[#This Row],[Team]]="","",Games[[#This Row],[K]]*IF(Games[[#This Row],[DivG]]=1,DivMult,1)*IF(Games[[#This Row],[ConfG]]=1,ConfMult,1)*Games[[#This Row],[POMult]])</f>
        <v>42.678075</v>
      </c>
      <c r="AK377">
        <f>IF(Games[[#This Row],[Team]]="","",(Games[[#This Row],[Keff]]*Games[[#This Row],[MOVMult]])*(Games[[#This Row],[Result]]-Games[[#This Row],[ExpectedWin]]))</f>
        <v>-24.234597884310645</v>
      </c>
      <c r="AL377">
        <f>IF(Games[[#This Row],[Team]]="","",Games[[#This Row],[PreGmRate]]+Games[[#This Row],[RatingChange]])</f>
        <v>1459.7499526635777</v>
      </c>
      <c r="AM377">
        <f>IF(Games[[#This Row],[Team]]="","",IF(Games[[#This Row],[Type]]="R",IF(Games[[#This Row],[Result]]&gt;0.5,1,0),0))</f>
        <v>0</v>
      </c>
      <c r="AN377">
        <f>IF(Games[[#This Row],[Team]]="","",IF(Games[[#This Row],[Type]]="R",IF(Games[[#This Row],[Result]]&lt;0.5,1,0),0))</f>
        <v>1</v>
      </c>
      <c r="AO377">
        <f>IF(Games[[#This Row],[Team]]="","",IF(Games[[#This Row],[Type]]="R",IF(Games[[#This Row],[Result]]=0.5,1,0),0))</f>
        <v>0</v>
      </c>
    </row>
    <row r="378" spans="1:41" x14ac:dyDescent="0.35">
      <c r="A378" s="8">
        <v>35400</v>
      </c>
      <c r="B378">
        <v>1996</v>
      </c>
      <c r="C378" t="s">
        <v>197</v>
      </c>
      <c r="D378" t="s">
        <v>199</v>
      </c>
      <c r="E378" t="s">
        <v>101</v>
      </c>
      <c r="F378" t="s">
        <v>143</v>
      </c>
      <c r="G378" t="s">
        <v>200</v>
      </c>
      <c r="H378">
        <v>31</v>
      </c>
      <c r="I378">
        <v>17</v>
      </c>
      <c r="J378">
        <v>0</v>
      </c>
      <c r="K37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7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7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7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78">
        <f>IF(Games[[#This Row],[Team]]="","",IF(Games[[#This Row],[Conf]]=Games[[#This Row],[OppConf]],1,0))</f>
        <v>1</v>
      </c>
      <c r="P378">
        <f>IF(Games[[#This Row],[Team]]="","",IF(AND(Games[[#This Row],[Conf]]=Games[[#This Row],[OppConf]],Games[[#This Row],[Div]]=Games[[#This Row],[OppDiv]]),1,0))</f>
        <v>1</v>
      </c>
      <c r="Q378">
        <f>IF(Games[[#This Row],[Team]]="","",_xlfn.MINIFS(Games[Date],Games[Season],Games[[#This Row],[Season]]))</f>
        <v>35309</v>
      </c>
      <c r="R378">
        <f>IF(Games[[#This Row],[Team]]="","",INT((Games[[#This Row],[Date]]-(Games[[#This Row],[SeasonStart]]-MOD(WEEKDAY(Games[[#This Row],[SeasonStart]],2)-2,7)))/7)+1)</f>
        <v>14</v>
      </c>
      <c r="S378">
        <f>IF(Games[[#This Row],[Team]]="","",COUNTIFS(Games[Team],Games[[#This Row],[Team]],Games[Season],Games[[#This Row],[Season]],Games[Week],"&lt;="&amp;Games[[#This Row],[Week]]))</f>
        <v>13</v>
      </c>
      <c r="T378">
        <f>IF(Games[[#This Row],[Team]]="","",_xlfn.MAXIFS(Games[Week],Games[Team],Games[[#This Row],[Team]],Games[Season],Games[[#This Row],[Season]],Games[Week],"&lt;"&amp;Games[[#This Row],[Week]]))</f>
        <v>13</v>
      </c>
      <c r="U378">
        <f>IF(Games[[#This Row],[Team]]="","",_xlfn.MAXIFS(Games[Week],Games[Team],Games[[#This Row],[Opponent]],Games[Season],Games[[#This Row],[Season]],Games[Week],"&lt;"&amp;Games[[#This Row],[Week]]))</f>
        <v>13</v>
      </c>
      <c r="V37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7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37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37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1401.0276568987633</v>
      </c>
      <c r="Z37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1609.5912313136073</v>
      </c>
      <c r="AA37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0.32047617686396879</v>
      </c>
      <c r="AB378">
        <f>IF(Games[[#This Row],[Team]]="","",Games[[#This Row],[PointsFor]]-Games[[#This Row],[PointsAgainst]])</f>
        <v>14</v>
      </c>
      <c r="AC378">
        <f>IF(Games[[#This Row],[Team]]="","",IF(Games[[#This Row],[MOV]]&gt;0,1,IF(Games[[#This Row],[MOV]]=0,0.5,0)))</f>
        <v>1</v>
      </c>
      <c r="AD378">
        <f>IF(Games[[#This Row],[Team]]="","",--(OR(AND(Games[[#This Row],[ExpectedWin]]&gt;=0.5,Games[[#This Row],[Result]]=1),AND(Games[[#This Row],[ExpectedWin]]&lt;0.5,Games[[#This Row],[Result]]=0))))</f>
        <v>0</v>
      </c>
      <c r="AE378">
        <f>IF(Games[[#This Row],[Team]]="","",-(Games[[#This Row],[Result]]*LN(Games[[#This Row],[ExpectedWin]])+(1-Games[[#This Row],[Result]])*LN(1-Games[[#This Row],[ExpectedWin]])))</f>
        <v>1.1379473365417734</v>
      </c>
      <c r="AF378">
        <f>IF(Games[[#This Row],[Team]]="","",IF(Games[[#This Row],[Season]]&gt;=2021,17,16))</f>
        <v>16</v>
      </c>
      <c r="AG378">
        <f>IF(Games[[#This Row],[Team]]="","",KMax-(KMax-KFloor)*MIN(Games[[#This Row],[GamesPlayed]],Games[[#This Row],[SeasonLen]])/Games[[#This Row],[SeasonLen]])</f>
        <v>38.037500000000001</v>
      </c>
      <c r="AH378">
        <f>IF(Games[[#This Row],[Team]]="","",((ABS(Games[[#This Row],[MOV]])+3)^0.8)/(7.5+0.006*ABS(Games[[#This Row],[PreGmRate]]-Games[[#This Row],[OppPreGmRate]]))*IF(Games[[#This Row],[OT]]=1,0.7,1))</f>
        <v>1.1022561312633465</v>
      </c>
      <c r="AI37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8">
        <f>IF(Games[[#This Row],[Team]]="","",Games[[#This Row],[K]]*IF(Games[[#This Row],[DivG]]=1,DivMult,1)*IF(Games[[#This Row],[ConfG]]=1,ConfMult,1)*Games[[#This Row],[POMult]])</f>
        <v>42.678075</v>
      </c>
      <c r="AK378">
        <f>IF(Games[[#This Row],[Team]]="","",(Games[[#This Row],[Keff]]*Games[[#This Row],[MOVMult]])*(Games[[#This Row],[Result]]-Games[[#This Row],[ExpectedWin]]))</f>
        <v>31.966275097793176</v>
      </c>
      <c r="AL378">
        <f>IF(Games[[#This Row],[Team]]="","",Games[[#This Row],[PreGmRate]]+Games[[#This Row],[RatingChange]])</f>
        <v>1432.9939319965565</v>
      </c>
      <c r="AM378">
        <f>IF(Games[[#This Row],[Team]]="","",IF(Games[[#This Row],[Type]]="R",IF(Games[[#This Row],[Result]]&gt;0.5,1,0),0))</f>
        <v>1</v>
      </c>
      <c r="AN378">
        <f>IF(Games[[#This Row],[Team]]="","",IF(Games[[#This Row],[Type]]="R",IF(Games[[#This Row],[Result]]&lt;0.5,1,0),0))</f>
        <v>0</v>
      </c>
      <c r="AO378">
        <f>IF(Games[[#This Row],[Team]]="","",IF(Games[[#This Row],[Type]]="R",IF(Games[[#This Row],[Result]]=0.5,1,0),0))</f>
        <v>0</v>
      </c>
    </row>
    <row r="379" spans="1:41" x14ac:dyDescent="0.35">
      <c r="A379" s="8">
        <v>35400</v>
      </c>
      <c r="B379">
        <v>1996</v>
      </c>
      <c r="C379" t="s">
        <v>197</v>
      </c>
      <c r="D379" t="s">
        <v>199</v>
      </c>
      <c r="E379" t="s">
        <v>143</v>
      </c>
      <c r="F379" t="s">
        <v>101</v>
      </c>
      <c r="G379" t="s">
        <v>201</v>
      </c>
      <c r="H379">
        <v>17</v>
      </c>
      <c r="I379">
        <v>31</v>
      </c>
      <c r="J379">
        <v>0</v>
      </c>
      <c r="K37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7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7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7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79">
        <f>IF(Games[[#This Row],[Team]]="","",IF(Games[[#This Row],[Conf]]=Games[[#This Row],[OppConf]],1,0))</f>
        <v>1</v>
      </c>
      <c r="P379">
        <f>IF(Games[[#This Row],[Team]]="","",IF(AND(Games[[#This Row],[Conf]]=Games[[#This Row],[OppConf]],Games[[#This Row],[Div]]=Games[[#This Row],[OppDiv]]),1,0))</f>
        <v>1</v>
      </c>
      <c r="Q379">
        <f>IF(Games[[#This Row],[Team]]="","",_xlfn.MINIFS(Games[Date],Games[Season],Games[[#This Row],[Season]]))</f>
        <v>35309</v>
      </c>
      <c r="R379">
        <f>IF(Games[[#This Row],[Team]]="","",INT((Games[[#This Row],[Date]]-(Games[[#This Row],[SeasonStart]]-MOD(WEEKDAY(Games[[#This Row],[SeasonStart]],2)-2,7)))/7)+1)</f>
        <v>14</v>
      </c>
      <c r="S379">
        <f>IF(Games[[#This Row],[Team]]="","",COUNTIFS(Games[Team],Games[[#This Row],[Team]],Games[Season],Games[[#This Row],[Season]],Games[Week],"&lt;="&amp;Games[[#This Row],[Week]]))</f>
        <v>13</v>
      </c>
      <c r="T379">
        <f>IF(Games[[#This Row],[Team]]="","",_xlfn.MAXIFS(Games[Week],Games[Team],Games[[#This Row],[Team]],Games[Season],Games[[#This Row],[Season]],Games[Week],"&lt;"&amp;Games[[#This Row],[Week]]))</f>
        <v>13</v>
      </c>
      <c r="U379">
        <f>IF(Games[[#This Row],[Team]]="","",_xlfn.MAXIFS(Games[Week],Games[Team],Games[[#This Row],[Opponent]],Games[Season],Games[[#This Row],[Season]],Games[Week],"&lt;"&amp;Games[[#This Row],[Week]]))</f>
        <v>13</v>
      </c>
      <c r="V37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37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37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1609.5912313136073</v>
      </c>
      <c r="Z37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1401.0276568987633</v>
      </c>
      <c r="AA37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0.67952382313603121</v>
      </c>
      <c r="AB379">
        <f>IF(Games[[#This Row],[Team]]="","",Games[[#This Row],[PointsFor]]-Games[[#This Row],[PointsAgainst]])</f>
        <v>-14</v>
      </c>
      <c r="AC379">
        <f>IF(Games[[#This Row],[Team]]="","",IF(Games[[#This Row],[MOV]]&gt;0,1,IF(Games[[#This Row],[MOV]]=0,0.5,0)))</f>
        <v>0</v>
      </c>
      <c r="AD379">
        <f>IF(Games[[#This Row],[Team]]="","",--(OR(AND(Games[[#This Row],[ExpectedWin]]&gt;=0.5,Games[[#This Row],[Result]]=1),AND(Games[[#This Row],[ExpectedWin]]&lt;0.5,Games[[#This Row],[Result]]=0))))</f>
        <v>0</v>
      </c>
      <c r="AE379">
        <f>IF(Games[[#This Row],[Team]]="","",-(Games[[#This Row],[Result]]*LN(Games[[#This Row],[ExpectedWin]])+(1-Games[[#This Row],[Result]])*LN(1-Games[[#This Row],[ExpectedWin]])))</f>
        <v>1.1379473365417734</v>
      </c>
      <c r="AF379">
        <f>IF(Games[[#This Row],[Team]]="","",IF(Games[[#This Row],[Season]]&gt;=2021,17,16))</f>
        <v>16</v>
      </c>
      <c r="AG379">
        <f>IF(Games[[#This Row],[Team]]="","",KMax-(KMax-KFloor)*MIN(Games[[#This Row],[GamesPlayed]],Games[[#This Row],[SeasonLen]])/Games[[#This Row],[SeasonLen]])</f>
        <v>38.037500000000001</v>
      </c>
      <c r="AH379">
        <f>IF(Games[[#This Row],[Team]]="","",((ABS(Games[[#This Row],[MOV]])+3)^0.8)/(7.5+0.006*ABS(Games[[#This Row],[PreGmRate]]-Games[[#This Row],[OppPreGmRate]]))*IF(Games[[#This Row],[OT]]=1,0.7,1))</f>
        <v>1.1022561312633465</v>
      </c>
      <c r="AI37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9">
        <f>IF(Games[[#This Row],[Team]]="","",Games[[#This Row],[K]]*IF(Games[[#This Row],[DivG]]=1,DivMult,1)*IF(Games[[#This Row],[ConfG]]=1,ConfMult,1)*Games[[#This Row],[POMult]])</f>
        <v>42.678075</v>
      </c>
      <c r="AK379">
        <f>IF(Games[[#This Row],[Team]]="","",(Games[[#This Row],[Keff]]*Games[[#This Row],[MOVMult]])*(Games[[#This Row],[Result]]-Games[[#This Row],[ExpectedWin]]))</f>
        <v>-31.966275097793176</v>
      </c>
      <c r="AL379">
        <f>IF(Games[[#This Row],[Team]]="","",Games[[#This Row],[PreGmRate]]+Games[[#This Row],[RatingChange]])</f>
        <v>1577.6249562158141</v>
      </c>
      <c r="AM379">
        <f>IF(Games[[#This Row],[Team]]="","",IF(Games[[#This Row],[Type]]="R",IF(Games[[#This Row],[Result]]&gt;0.5,1,0),0))</f>
        <v>0</v>
      </c>
      <c r="AN379">
        <f>IF(Games[[#This Row],[Team]]="","",IF(Games[[#This Row],[Type]]="R",IF(Games[[#This Row],[Result]]&lt;0.5,1,0),0))</f>
        <v>1</v>
      </c>
      <c r="AO379">
        <f>IF(Games[[#This Row],[Team]]="","",IF(Games[[#This Row],[Type]]="R",IF(Games[[#This Row],[Result]]=0.5,1,0),0))</f>
        <v>0</v>
      </c>
    </row>
    <row r="380" spans="1:41" x14ac:dyDescent="0.35">
      <c r="A380" s="8">
        <v>35400</v>
      </c>
      <c r="B380">
        <v>1996</v>
      </c>
      <c r="C380" t="s">
        <v>197</v>
      </c>
      <c r="D380" t="s">
        <v>199</v>
      </c>
      <c r="E380" t="s">
        <v>116</v>
      </c>
      <c r="F380" t="s">
        <v>146</v>
      </c>
      <c r="G380" t="s">
        <v>200</v>
      </c>
      <c r="H380">
        <v>34</v>
      </c>
      <c r="I380">
        <v>7</v>
      </c>
      <c r="J380">
        <v>0</v>
      </c>
      <c r="K38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8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8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8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80">
        <f>IF(Games[[#This Row],[Team]]="","",IF(Games[[#This Row],[Conf]]=Games[[#This Row],[OppConf]],1,0))</f>
        <v>1</v>
      </c>
      <c r="P380">
        <f>IF(Games[[#This Row],[Team]]="","",IF(AND(Games[[#This Row],[Conf]]=Games[[#This Row],[OppConf]],Games[[#This Row],[Div]]=Games[[#This Row],[OppDiv]]),1,0))</f>
        <v>1</v>
      </c>
      <c r="Q380">
        <f>IF(Games[[#This Row],[Team]]="","",_xlfn.MINIFS(Games[Date],Games[Season],Games[[#This Row],[Season]]))</f>
        <v>35309</v>
      </c>
      <c r="R380">
        <f>IF(Games[[#This Row],[Team]]="","",INT((Games[[#This Row],[Date]]-(Games[[#This Row],[SeasonStart]]-MOD(WEEKDAY(Games[[#This Row],[SeasonStart]],2)-2,7)))/7)+1)</f>
        <v>14</v>
      </c>
      <c r="S380">
        <f>IF(Games[[#This Row],[Team]]="","",COUNTIFS(Games[Team],Games[[#This Row],[Team]],Games[Season],Games[[#This Row],[Season]],Games[Week],"&lt;="&amp;Games[[#This Row],[Week]]))</f>
        <v>13</v>
      </c>
      <c r="T380">
        <f>IF(Games[[#This Row],[Team]]="","",_xlfn.MAXIFS(Games[Week],Games[Team],Games[[#This Row],[Team]],Games[Season],Games[[#This Row],[Season]],Games[Week],"&lt;"&amp;Games[[#This Row],[Week]]))</f>
        <v>13</v>
      </c>
      <c r="U380">
        <f>IF(Games[[#This Row],[Team]]="","",_xlfn.MAXIFS(Games[Week],Games[Team],Games[[#This Row],[Opponent]],Games[Season],Games[[#This Row],[Season]],Games[Week],"&lt;"&amp;Games[[#This Row],[Week]]))</f>
        <v>13</v>
      </c>
      <c r="V38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8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8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8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1689.2989892590613</v>
      </c>
      <c r="Z38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1465.8121152728741</v>
      </c>
      <c r="AA38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0.84565996756548034</v>
      </c>
      <c r="AB380">
        <f>IF(Games[[#This Row],[Team]]="","",Games[[#This Row],[PointsFor]]-Games[[#This Row],[PointsAgainst]])</f>
        <v>27</v>
      </c>
      <c r="AC380">
        <f>IF(Games[[#This Row],[Team]]="","",IF(Games[[#This Row],[MOV]]&gt;0,1,IF(Games[[#This Row],[MOV]]=0,0.5,0)))</f>
        <v>1</v>
      </c>
      <c r="AD380">
        <f>IF(Games[[#This Row],[Team]]="","",--(OR(AND(Games[[#This Row],[ExpectedWin]]&gt;=0.5,Games[[#This Row],[Result]]=1),AND(Games[[#This Row],[ExpectedWin]]&lt;0.5,Games[[#This Row],[Result]]=0))))</f>
        <v>1</v>
      </c>
      <c r="AE380">
        <f>IF(Games[[#This Row],[Team]]="","",-(Games[[#This Row],[Result]]*LN(Games[[#This Row],[ExpectedWin]])+(1-Games[[#This Row],[Result]])*LN(1-Games[[#This Row],[ExpectedWin]])))</f>
        <v>0.16763792976289296</v>
      </c>
      <c r="AF380">
        <f>IF(Games[[#This Row],[Team]]="","",IF(Games[[#This Row],[Season]]&gt;=2021,17,16))</f>
        <v>16</v>
      </c>
      <c r="AG380">
        <f>IF(Games[[#This Row],[Team]]="","",KMax-(KMax-KFloor)*MIN(Games[[#This Row],[GamesPlayed]],Games[[#This Row],[SeasonLen]])/Games[[#This Row],[SeasonLen]])</f>
        <v>38.037500000000001</v>
      </c>
      <c r="AH380">
        <f>IF(Games[[#This Row],[Team]]="","",((ABS(Games[[#This Row],[MOV]])+3)^0.8)/(7.5+0.006*ABS(Games[[#This Row],[PreGmRate]]-Games[[#This Row],[OppPreGmRate]]))*IF(Games[[#This Row],[OT]]=1,0.7,1))</f>
        <v>1.7186976452050371</v>
      </c>
      <c r="AI38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0">
        <f>IF(Games[[#This Row],[Team]]="","",Games[[#This Row],[K]]*IF(Games[[#This Row],[DivG]]=1,DivMult,1)*IF(Games[[#This Row],[ConfG]]=1,ConfMult,1)*Games[[#This Row],[POMult]])</f>
        <v>42.678075</v>
      </c>
      <c r="AK380">
        <f>IF(Games[[#This Row],[Team]]="","",(Games[[#This Row],[Keff]]*Games[[#This Row],[MOVMult]])*(Games[[#This Row],[Result]]-Games[[#This Row],[ExpectedWin]]))</f>
        <v>11.32095049815157</v>
      </c>
      <c r="AL380">
        <f>IF(Games[[#This Row],[Team]]="","",Games[[#This Row],[PreGmRate]]+Games[[#This Row],[RatingChange]])</f>
        <v>1700.6199397572129</v>
      </c>
      <c r="AM380">
        <f>IF(Games[[#This Row],[Team]]="","",IF(Games[[#This Row],[Type]]="R",IF(Games[[#This Row],[Result]]&gt;0.5,1,0),0))</f>
        <v>1</v>
      </c>
      <c r="AN380">
        <f>IF(Games[[#This Row],[Team]]="","",IF(Games[[#This Row],[Type]]="R",IF(Games[[#This Row],[Result]]&lt;0.5,1,0),0))</f>
        <v>0</v>
      </c>
      <c r="AO380">
        <f>IF(Games[[#This Row],[Team]]="","",IF(Games[[#This Row],[Type]]="R",IF(Games[[#This Row],[Result]]=0.5,1,0),0))</f>
        <v>0</v>
      </c>
    </row>
    <row r="381" spans="1:41" x14ac:dyDescent="0.35">
      <c r="A381" s="8">
        <v>35400</v>
      </c>
      <c r="B381">
        <v>1996</v>
      </c>
      <c r="C381" t="s">
        <v>197</v>
      </c>
      <c r="D381" t="s">
        <v>199</v>
      </c>
      <c r="E381" t="s">
        <v>146</v>
      </c>
      <c r="F381" t="s">
        <v>116</v>
      </c>
      <c r="G381" t="s">
        <v>201</v>
      </c>
      <c r="H381">
        <v>7</v>
      </c>
      <c r="I381">
        <v>34</v>
      </c>
      <c r="J381">
        <v>0</v>
      </c>
      <c r="K38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8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8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8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81">
        <f>IF(Games[[#This Row],[Team]]="","",IF(Games[[#This Row],[Conf]]=Games[[#This Row],[OppConf]],1,0))</f>
        <v>1</v>
      </c>
      <c r="P381">
        <f>IF(Games[[#This Row],[Team]]="","",IF(AND(Games[[#This Row],[Conf]]=Games[[#This Row],[OppConf]],Games[[#This Row],[Div]]=Games[[#This Row],[OppDiv]]),1,0))</f>
        <v>1</v>
      </c>
      <c r="Q381">
        <f>IF(Games[[#This Row],[Team]]="","",_xlfn.MINIFS(Games[Date],Games[Season],Games[[#This Row],[Season]]))</f>
        <v>35309</v>
      </c>
      <c r="R381">
        <f>IF(Games[[#This Row],[Team]]="","",INT((Games[[#This Row],[Date]]-(Games[[#This Row],[SeasonStart]]-MOD(WEEKDAY(Games[[#This Row],[SeasonStart]],2)-2,7)))/7)+1)</f>
        <v>14</v>
      </c>
      <c r="S381">
        <f>IF(Games[[#This Row],[Team]]="","",COUNTIFS(Games[Team],Games[[#This Row],[Team]],Games[Season],Games[[#This Row],[Season]],Games[Week],"&lt;="&amp;Games[[#This Row],[Week]]))</f>
        <v>13</v>
      </c>
      <c r="T381">
        <f>IF(Games[[#This Row],[Team]]="","",_xlfn.MAXIFS(Games[Week],Games[Team],Games[[#This Row],[Team]],Games[Season],Games[[#This Row],[Season]],Games[Week],"&lt;"&amp;Games[[#This Row],[Week]]))</f>
        <v>13</v>
      </c>
      <c r="U381">
        <f>IF(Games[[#This Row],[Team]]="","",_xlfn.MAXIFS(Games[Week],Games[Team],Games[[#This Row],[Opponent]],Games[Season],Games[[#This Row],[Season]],Games[Week],"&lt;"&amp;Games[[#This Row],[Week]]))</f>
        <v>13</v>
      </c>
      <c r="V38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8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8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8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1465.8121152728741</v>
      </c>
      <c r="Z38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1689.2989892590613</v>
      </c>
      <c r="AA38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0.15434003243451971</v>
      </c>
      <c r="AB381">
        <f>IF(Games[[#This Row],[Team]]="","",Games[[#This Row],[PointsFor]]-Games[[#This Row],[PointsAgainst]])</f>
        <v>-27</v>
      </c>
      <c r="AC381">
        <f>IF(Games[[#This Row],[Team]]="","",IF(Games[[#This Row],[MOV]]&gt;0,1,IF(Games[[#This Row],[MOV]]=0,0.5,0)))</f>
        <v>0</v>
      </c>
      <c r="AD381">
        <f>IF(Games[[#This Row],[Team]]="","",--(OR(AND(Games[[#This Row],[ExpectedWin]]&gt;=0.5,Games[[#This Row],[Result]]=1),AND(Games[[#This Row],[ExpectedWin]]&lt;0.5,Games[[#This Row],[Result]]=0))))</f>
        <v>1</v>
      </c>
      <c r="AE381">
        <f>IF(Games[[#This Row],[Team]]="","",-(Games[[#This Row],[Result]]*LN(Games[[#This Row],[ExpectedWin]])+(1-Games[[#This Row],[Result]])*LN(1-Games[[#This Row],[ExpectedWin]])))</f>
        <v>0.16763792976289296</v>
      </c>
      <c r="AF381">
        <f>IF(Games[[#This Row],[Team]]="","",IF(Games[[#This Row],[Season]]&gt;=2021,17,16))</f>
        <v>16</v>
      </c>
      <c r="AG381">
        <f>IF(Games[[#This Row],[Team]]="","",KMax-(KMax-KFloor)*MIN(Games[[#This Row],[GamesPlayed]],Games[[#This Row],[SeasonLen]])/Games[[#This Row],[SeasonLen]])</f>
        <v>38.037500000000001</v>
      </c>
      <c r="AH381">
        <f>IF(Games[[#This Row],[Team]]="","",((ABS(Games[[#This Row],[MOV]])+3)^0.8)/(7.5+0.006*ABS(Games[[#This Row],[PreGmRate]]-Games[[#This Row],[OppPreGmRate]]))*IF(Games[[#This Row],[OT]]=1,0.7,1))</f>
        <v>1.7186976452050371</v>
      </c>
      <c r="AI38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1">
        <f>IF(Games[[#This Row],[Team]]="","",Games[[#This Row],[K]]*IF(Games[[#This Row],[DivG]]=1,DivMult,1)*IF(Games[[#This Row],[ConfG]]=1,ConfMult,1)*Games[[#This Row],[POMult]])</f>
        <v>42.678075</v>
      </c>
      <c r="AK381">
        <f>IF(Games[[#This Row],[Team]]="","",(Games[[#This Row],[Keff]]*Games[[#This Row],[MOVMult]])*(Games[[#This Row],[Result]]-Games[[#This Row],[ExpectedWin]]))</f>
        <v>-11.320950498151573</v>
      </c>
      <c r="AL381">
        <f>IF(Games[[#This Row],[Team]]="","",Games[[#This Row],[PreGmRate]]+Games[[#This Row],[RatingChange]])</f>
        <v>1454.4911647747224</v>
      </c>
      <c r="AM381">
        <f>IF(Games[[#This Row],[Team]]="","",IF(Games[[#This Row],[Type]]="R",IF(Games[[#This Row],[Result]]&gt;0.5,1,0),0))</f>
        <v>0</v>
      </c>
      <c r="AN381">
        <f>IF(Games[[#This Row],[Team]]="","",IF(Games[[#This Row],[Type]]="R",IF(Games[[#This Row],[Result]]&lt;0.5,1,0),0))</f>
        <v>1</v>
      </c>
      <c r="AO381">
        <f>IF(Games[[#This Row],[Team]]="","",IF(Games[[#This Row],[Type]]="R",IF(Games[[#This Row],[Result]]=0.5,1,0),0))</f>
        <v>0</v>
      </c>
    </row>
    <row r="382" spans="1:41" x14ac:dyDescent="0.35">
      <c r="A382" s="8">
        <v>35400</v>
      </c>
      <c r="B382">
        <v>1996</v>
      </c>
      <c r="C382" t="s">
        <v>197</v>
      </c>
      <c r="D382" t="s">
        <v>199</v>
      </c>
      <c r="E382" t="s">
        <v>140</v>
      </c>
      <c r="F382" t="s">
        <v>128</v>
      </c>
      <c r="G382" t="s">
        <v>200</v>
      </c>
      <c r="H382">
        <v>17</v>
      </c>
      <c r="I382">
        <v>7</v>
      </c>
      <c r="J382">
        <v>0</v>
      </c>
      <c r="K38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8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8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8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82">
        <f>IF(Games[[#This Row],[Team]]="","",IF(Games[[#This Row],[Conf]]=Games[[#This Row],[OppConf]],1,0))</f>
        <v>1</v>
      </c>
      <c r="P382">
        <f>IF(Games[[#This Row],[Team]]="","",IF(AND(Games[[#This Row],[Conf]]=Games[[#This Row],[OppConf]],Games[[#This Row],[Div]]=Games[[#This Row],[OppDiv]]),1,0))</f>
        <v>0</v>
      </c>
      <c r="Q382">
        <f>IF(Games[[#This Row],[Team]]="","",_xlfn.MINIFS(Games[Date],Games[Season],Games[[#This Row],[Season]]))</f>
        <v>35309</v>
      </c>
      <c r="R382">
        <f>IF(Games[[#This Row],[Team]]="","",INT((Games[[#This Row],[Date]]-(Games[[#This Row],[SeasonStart]]-MOD(WEEKDAY(Games[[#This Row],[SeasonStart]],2)-2,7)))/7)+1)</f>
        <v>14</v>
      </c>
      <c r="S382">
        <f>IF(Games[[#This Row],[Team]]="","",COUNTIFS(Games[Team],Games[[#This Row],[Team]],Games[Season],Games[[#This Row],[Season]],Games[Week],"&lt;="&amp;Games[[#This Row],[Week]]))</f>
        <v>13</v>
      </c>
      <c r="T382">
        <f>IF(Games[[#This Row],[Team]]="","",_xlfn.MAXIFS(Games[Week],Games[Team],Games[[#This Row],[Team]],Games[Season],Games[[#This Row],[Season]],Games[Week],"&lt;"&amp;Games[[#This Row],[Week]]))</f>
        <v>13</v>
      </c>
      <c r="U382">
        <f>IF(Games[[#This Row],[Team]]="","",_xlfn.MAXIFS(Games[Week],Games[Team],Games[[#This Row],[Opponent]],Games[Season],Games[[#This Row],[Season]],Games[Week],"&lt;"&amp;Games[[#This Row],[Week]]))</f>
        <v>13</v>
      </c>
      <c r="V38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8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38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38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1539.605232862096</v>
      </c>
      <c r="Z38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1526.7424937096816</v>
      </c>
      <c r="AA38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0.62786020738525827</v>
      </c>
      <c r="AB382">
        <f>IF(Games[[#This Row],[Team]]="","",Games[[#This Row],[PointsFor]]-Games[[#This Row],[PointsAgainst]])</f>
        <v>10</v>
      </c>
      <c r="AC382">
        <f>IF(Games[[#This Row],[Team]]="","",IF(Games[[#This Row],[MOV]]&gt;0,1,IF(Games[[#This Row],[MOV]]=0,0.5,0)))</f>
        <v>1</v>
      </c>
      <c r="AD382">
        <f>IF(Games[[#This Row],[Team]]="","",--(OR(AND(Games[[#This Row],[ExpectedWin]]&gt;=0.5,Games[[#This Row],[Result]]=1),AND(Games[[#This Row],[ExpectedWin]]&lt;0.5,Games[[#This Row],[Result]]=0))))</f>
        <v>1</v>
      </c>
      <c r="AE382">
        <f>IF(Games[[#This Row],[Team]]="","",-(Games[[#This Row],[Result]]*LN(Games[[#This Row],[ExpectedWin]])+(1-Games[[#This Row],[Result]])*LN(1-Games[[#This Row],[ExpectedWin]])))</f>
        <v>0.46543773699793273</v>
      </c>
      <c r="AF382">
        <f>IF(Games[[#This Row],[Team]]="","",IF(Games[[#This Row],[Season]]&gt;=2021,17,16))</f>
        <v>16</v>
      </c>
      <c r="AG382">
        <f>IF(Games[[#This Row],[Team]]="","",KMax-(KMax-KFloor)*MIN(Games[[#This Row],[GamesPlayed]],Games[[#This Row],[SeasonLen]])/Games[[#This Row],[SeasonLen]])</f>
        <v>38.037500000000001</v>
      </c>
      <c r="AH382">
        <f>IF(Games[[#This Row],[Team]]="","",((ABS(Games[[#This Row],[MOV]])+3)^0.8)/(7.5+0.006*ABS(Games[[#This Row],[PreGmRate]]-Games[[#This Row],[OppPreGmRate]]))*IF(Games[[#This Row],[OT]]=1,0.7,1))</f>
        <v>1.027181719852259</v>
      </c>
      <c r="AI38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2">
        <f>IF(Games[[#This Row],[Team]]="","",Games[[#This Row],[K]]*IF(Games[[#This Row],[DivG]]=1,DivMult,1)*IF(Games[[#This Row],[ConfG]]=1,ConfMult,1)*Games[[#This Row],[POMult]])</f>
        <v>38.798250000000003</v>
      </c>
      <c r="AK382">
        <f>IF(Games[[#This Row],[Team]]="","",(Games[[#This Row],[Keff]]*Games[[#This Row],[MOVMult]])*(Games[[#This Row],[Result]]-Games[[#This Row],[ExpectedWin]]))</f>
        <v>14.830832510908415</v>
      </c>
      <c r="AL382">
        <f>IF(Games[[#This Row],[Team]]="","",Games[[#This Row],[PreGmRate]]+Games[[#This Row],[RatingChange]])</f>
        <v>1554.4360653730046</v>
      </c>
      <c r="AM382">
        <f>IF(Games[[#This Row],[Team]]="","",IF(Games[[#This Row],[Type]]="R",IF(Games[[#This Row],[Result]]&gt;0.5,1,0),0))</f>
        <v>1</v>
      </c>
      <c r="AN382">
        <f>IF(Games[[#This Row],[Team]]="","",IF(Games[[#This Row],[Type]]="R",IF(Games[[#This Row],[Result]]&lt;0.5,1,0),0))</f>
        <v>0</v>
      </c>
      <c r="AO382">
        <f>IF(Games[[#This Row],[Team]]="","",IF(Games[[#This Row],[Type]]="R",IF(Games[[#This Row],[Result]]=0.5,1,0),0))</f>
        <v>0</v>
      </c>
    </row>
    <row r="383" spans="1:41" x14ac:dyDescent="0.35">
      <c r="A383" s="8">
        <v>35400</v>
      </c>
      <c r="B383">
        <v>1996</v>
      </c>
      <c r="C383" t="s">
        <v>197</v>
      </c>
      <c r="D383" t="s">
        <v>199</v>
      </c>
      <c r="E383" t="s">
        <v>128</v>
      </c>
      <c r="F383" t="s">
        <v>140</v>
      </c>
      <c r="G383" t="s">
        <v>201</v>
      </c>
      <c r="H383">
        <v>7</v>
      </c>
      <c r="I383">
        <v>17</v>
      </c>
      <c r="J383">
        <v>0</v>
      </c>
      <c r="K38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8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8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8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83">
        <f>IF(Games[[#This Row],[Team]]="","",IF(Games[[#This Row],[Conf]]=Games[[#This Row],[OppConf]],1,0))</f>
        <v>1</v>
      </c>
      <c r="P383">
        <f>IF(Games[[#This Row],[Team]]="","",IF(AND(Games[[#This Row],[Conf]]=Games[[#This Row],[OppConf]],Games[[#This Row],[Div]]=Games[[#This Row],[OppDiv]]),1,0))</f>
        <v>0</v>
      </c>
      <c r="Q383">
        <f>IF(Games[[#This Row],[Team]]="","",_xlfn.MINIFS(Games[Date],Games[Season],Games[[#This Row],[Season]]))</f>
        <v>35309</v>
      </c>
      <c r="R383">
        <f>IF(Games[[#This Row],[Team]]="","",INT((Games[[#This Row],[Date]]-(Games[[#This Row],[SeasonStart]]-MOD(WEEKDAY(Games[[#This Row],[SeasonStart]],2)-2,7)))/7)+1)</f>
        <v>14</v>
      </c>
      <c r="S383">
        <f>IF(Games[[#This Row],[Team]]="","",COUNTIFS(Games[Team],Games[[#This Row],[Team]],Games[Season],Games[[#This Row],[Season]],Games[Week],"&lt;="&amp;Games[[#This Row],[Week]]))</f>
        <v>13</v>
      </c>
      <c r="T383">
        <f>IF(Games[[#This Row],[Team]]="","",_xlfn.MAXIFS(Games[Week],Games[Team],Games[[#This Row],[Team]],Games[Season],Games[[#This Row],[Season]],Games[Week],"&lt;"&amp;Games[[#This Row],[Week]]))</f>
        <v>13</v>
      </c>
      <c r="U383">
        <f>IF(Games[[#This Row],[Team]]="","",_xlfn.MAXIFS(Games[Week],Games[Team],Games[[#This Row],[Opponent]],Games[Season],Games[[#This Row],[Season]],Games[Week],"&lt;"&amp;Games[[#This Row],[Week]]))</f>
        <v>13</v>
      </c>
      <c r="V38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38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8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38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1526.7424937096816</v>
      </c>
      <c r="Z38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1539.605232862096</v>
      </c>
      <c r="AA38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0.37213979261474173</v>
      </c>
      <c r="AB383">
        <f>IF(Games[[#This Row],[Team]]="","",Games[[#This Row],[PointsFor]]-Games[[#This Row],[PointsAgainst]])</f>
        <v>-10</v>
      </c>
      <c r="AC383">
        <f>IF(Games[[#This Row],[Team]]="","",IF(Games[[#This Row],[MOV]]&gt;0,1,IF(Games[[#This Row],[MOV]]=0,0.5,0)))</f>
        <v>0</v>
      </c>
      <c r="AD383">
        <f>IF(Games[[#This Row],[Team]]="","",--(OR(AND(Games[[#This Row],[ExpectedWin]]&gt;=0.5,Games[[#This Row],[Result]]=1),AND(Games[[#This Row],[ExpectedWin]]&lt;0.5,Games[[#This Row],[Result]]=0))))</f>
        <v>1</v>
      </c>
      <c r="AE383">
        <f>IF(Games[[#This Row],[Team]]="","",-(Games[[#This Row],[Result]]*LN(Games[[#This Row],[ExpectedWin]])+(1-Games[[#This Row],[Result]])*LN(1-Games[[#This Row],[ExpectedWin]])))</f>
        <v>0.46543773699793273</v>
      </c>
      <c r="AF383">
        <f>IF(Games[[#This Row],[Team]]="","",IF(Games[[#This Row],[Season]]&gt;=2021,17,16))</f>
        <v>16</v>
      </c>
      <c r="AG383">
        <f>IF(Games[[#This Row],[Team]]="","",KMax-(KMax-KFloor)*MIN(Games[[#This Row],[GamesPlayed]],Games[[#This Row],[SeasonLen]])/Games[[#This Row],[SeasonLen]])</f>
        <v>38.037500000000001</v>
      </c>
      <c r="AH383">
        <f>IF(Games[[#This Row],[Team]]="","",((ABS(Games[[#This Row],[MOV]])+3)^0.8)/(7.5+0.006*ABS(Games[[#This Row],[PreGmRate]]-Games[[#This Row],[OppPreGmRate]]))*IF(Games[[#This Row],[OT]]=1,0.7,1))</f>
        <v>1.027181719852259</v>
      </c>
      <c r="AI38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3">
        <f>IF(Games[[#This Row],[Team]]="","",Games[[#This Row],[K]]*IF(Games[[#This Row],[DivG]]=1,DivMult,1)*IF(Games[[#This Row],[ConfG]]=1,ConfMult,1)*Games[[#This Row],[POMult]])</f>
        <v>38.798250000000003</v>
      </c>
      <c r="AK383">
        <f>IF(Games[[#This Row],[Team]]="","",(Games[[#This Row],[Keff]]*Games[[#This Row],[MOVMult]])*(Games[[#This Row],[Result]]-Games[[#This Row],[ExpectedWin]]))</f>
        <v>-14.830832510908415</v>
      </c>
      <c r="AL383">
        <f>IF(Games[[#This Row],[Team]]="","",Games[[#This Row],[PreGmRate]]+Games[[#This Row],[RatingChange]])</f>
        <v>1511.9116611987731</v>
      </c>
      <c r="AM383">
        <f>IF(Games[[#This Row],[Team]]="","",IF(Games[[#This Row],[Type]]="R",IF(Games[[#This Row],[Result]]&gt;0.5,1,0),0))</f>
        <v>0</v>
      </c>
      <c r="AN383">
        <f>IF(Games[[#This Row],[Team]]="","",IF(Games[[#This Row],[Type]]="R",IF(Games[[#This Row],[Result]]&lt;0.5,1,0),0))</f>
        <v>1</v>
      </c>
      <c r="AO383">
        <f>IF(Games[[#This Row],[Team]]="","",IF(Games[[#This Row],[Type]]="R",IF(Games[[#This Row],[Result]]=0.5,1,0),0))</f>
        <v>0</v>
      </c>
    </row>
    <row r="384" spans="1:41" x14ac:dyDescent="0.35">
      <c r="A384" s="8">
        <v>35400</v>
      </c>
      <c r="B384">
        <v>1996</v>
      </c>
      <c r="C384" t="s">
        <v>197</v>
      </c>
      <c r="D384" t="s">
        <v>199</v>
      </c>
      <c r="E384" t="s">
        <v>150</v>
      </c>
      <c r="F384" t="s">
        <v>134</v>
      </c>
      <c r="G384" t="s">
        <v>201</v>
      </c>
      <c r="H384">
        <v>26</v>
      </c>
      <c r="I384">
        <v>10</v>
      </c>
      <c r="J384">
        <v>0</v>
      </c>
      <c r="K38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8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8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8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84">
        <f>IF(Games[[#This Row],[Team]]="","",IF(Games[[#This Row],[Conf]]=Games[[#This Row],[OppConf]],1,0))</f>
        <v>1</v>
      </c>
      <c r="P384">
        <f>IF(Games[[#This Row],[Team]]="","",IF(AND(Games[[#This Row],[Conf]]=Games[[#This Row],[OppConf]],Games[[#This Row],[Div]]=Games[[#This Row],[OppDiv]]),1,0))</f>
        <v>1</v>
      </c>
      <c r="Q384">
        <f>IF(Games[[#This Row],[Team]]="","",_xlfn.MINIFS(Games[Date],Games[Season],Games[[#This Row],[Season]]))</f>
        <v>35309</v>
      </c>
      <c r="R384">
        <f>IF(Games[[#This Row],[Team]]="","",INT((Games[[#This Row],[Date]]-(Games[[#This Row],[SeasonStart]]-MOD(WEEKDAY(Games[[#This Row],[SeasonStart]],2)-2,7)))/7)+1)</f>
        <v>14</v>
      </c>
      <c r="S384">
        <f>IF(Games[[#This Row],[Team]]="","",COUNTIFS(Games[Team],Games[[#This Row],[Team]],Games[Season],Games[[#This Row],[Season]],Games[Week],"&lt;="&amp;Games[[#This Row],[Week]]))</f>
        <v>13</v>
      </c>
      <c r="T384">
        <f>IF(Games[[#This Row],[Team]]="","",_xlfn.MAXIFS(Games[Week],Games[Team],Games[[#This Row],[Team]],Games[Season],Games[[#This Row],[Season]],Games[Week],"&lt;"&amp;Games[[#This Row],[Week]]))</f>
        <v>13</v>
      </c>
      <c r="U384">
        <f>IF(Games[[#This Row],[Team]]="","",_xlfn.MAXIFS(Games[Week],Games[Team],Games[[#This Row],[Opponent]],Games[Season],Games[[#This Row],[Season]],Games[Week],"&lt;"&amp;Games[[#This Row],[Week]]))</f>
        <v>13</v>
      </c>
      <c r="V38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8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8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8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1400.0941815256044</v>
      </c>
      <c r="Z38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1351.3217486922663</v>
      </c>
      <c r="AA38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0.46662255581780843</v>
      </c>
      <c r="AB384">
        <f>IF(Games[[#This Row],[Team]]="","",Games[[#This Row],[PointsFor]]-Games[[#This Row],[PointsAgainst]])</f>
        <v>16</v>
      </c>
      <c r="AC384">
        <f>IF(Games[[#This Row],[Team]]="","",IF(Games[[#This Row],[MOV]]&gt;0,1,IF(Games[[#This Row],[MOV]]=0,0.5,0)))</f>
        <v>1</v>
      </c>
      <c r="AD384">
        <f>IF(Games[[#This Row],[Team]]="","",--(OR(AND(Games[[#This Row],[ExpectedWin]]&gt;=0.5,Games[[#This Row],[Result]]=1),AND(Games[[#This Row],[ExpectedWin]]&lt;0.5,Games[[#This Row],[Result]]=0))))</f>
        <v>0</v>
      </c>
      <c r="AE384">
        <f>IF(Games[[#This Row],[Team]]="","",-(Games[[#This Row],[Result]]*LN(Games[[#This Row],[ExpectedWin]])+(1-Games[[#This Row],[Result]])*LN(1-Games[[#This Row],[ExpectedWin]])))</f>
        <v>0.76223457976205378</v>
      </c>
      <c r="AF384">
        <f>IF(Games[[#This Row],[Team]]="","",IF(Games[[#This Row],[Season]]&gt;=2021,17,16))</f>
        <v>16</v>
      </c>
      <c r="AG384">
        <f>IF(Games[[#This Row],[Team]]="","",KMax-(KMax-KFloor)*MIN(Games[[#This Row],[GamesPlayed]],Games[[#This Row],[SeasonLen]])/Games[[#This Row],[SeasonLen]])</f>
        <v>38.037500000000001</v>
      </c>
      <c r="AH384">
        <f>IF(Games[[#This Row],[Team]]="","",((ABS(Games[[#This Row],[MOV]])+3)^0.8)/(7.5+0.006*ABS(Games[[#This Row],[PreGmRate]]-Games[[#This Row],[OppPreGmRate]]))*IF(Games[[#This Row],[OT]]=1,0.7,1))</f>
        <v>1.3530647141850956</v>
      </c>
      <c r="AI38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4">
        <f>IF(Games[[#This Row],[Team]]="","",Games[[#This Row],[K]]*IF(Games[[#This Row],[DivG]]=1,DivMult,1)*IF(Games[[#This Row],[ConfG]]=1,ConfMult,1)*Games[[#This Row],[POMult]])</f>
        <v>42.678075</v>
      </c>
      <c r="AK384">
        <f>IF(Games[[#This Row],[Team]]="","",(Games[[#This Row],[Keff]]*Games[[#This Row],[MOVMult]])*(Games[[#This Row],[Result]]-Games[[#This Row],[ExpectedWin]]))</f>
        <v>30.800519154767564</v>
      </c>
      <c r="AL384">
        <f>IF(Games[[#This Row],[Team]]="","",Games[[#This Row],[PreGmRate]]+Games[[#This Row],[RatingChange]])</f>
        <v>1430.8947006803719</v>
      </c>
      <c r="AM384">
        <f>IF(Games[[#This Row],[Team]]="","",IF(Games[[#This Row],[Type]]="R",IF(Games[[#This Row],[Result]]&gt;0.5,1,0),0))</f>
        <v>1</v>
      </c>
      <c r="AN384">
        <f>IF(Games[[#This Row],[Team]]="","",IF(Games[[#This Row],[Type]]="R",IF(Games[[#This Row],[Result]]&lt;0.5,1,0),0))</f>
        <v>0</v>
      </c>
      <c r="AO384">
        <f>IF(Games[[#This Row],[Team]]="","",IF(Games[[#This Row],[Type]]="R",IF(Games[[#This Row],[Result]]=0.5,1,0),0))</f>
        <v>0</v>
      </c>
    </row>
    <row r="385" spans="1:41" x14ac:dyDescent="0.35">
      <c r="A385" s="8">
        <v>35400</v>
      </c>
      <c r="B385">
        <v>1996</v>
      </c>
      <c r="C385" t="s">
        <v>197</v>
      </c>
      <c r="D385" t="s">
        <v>199</v>
      </c>
      <c r="E385" t="s">
        <v>134</v>
      </c>
      <c r="F385" t="s">
        <v>150</v>
      </c>
      <c r="G385" t="s">
        <v>200</v>
      </c>
      <c r="H385">
        <v>10</v>
      </c>
      <c r="I385">
        <v>26</v>
      </c>
      <c r="J385">
        <v>0</v>
      </c>
      <c r="K38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8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8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8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85">
        <f>IF(Games[[#This Row],[Team]]="","",IF(Games[[#This Row],[Conf]]=Games[[#This Row],[OppConf]],1,0))</f>
        <v>1</v>
      </c>
      <c r="P385">
        <f>IF(Games[[#This Row],[Team]]="","",IF(AND(Games[[#This Row],[Conf]]=Games[[#This Row],[OppConf]],Games[[#This Row],[Div]]=Games[[#This Row],[OppDiv]]),1,0))</f>
        <v>1</v>
      </c>
      <c r="Q385">
        <f>IF(Games[[#This Row],[Team]]="","",_xlfn.MINIFS(Games[Date],Games[Season],Games[[#This Row],[Season]]))</f>
        <v>35309</v>
      </c>
      <c r="R385">
        <f>IF(Games[[#This Row],[Team]]="","",INT((Games[[#This Row],[Date]]-(Games[[#This Row],[SeasonStart]]-MOD(WEEKDAY(Games[[#This Row],[SeasonStart]],2)-2,7)))/7)+1)</f>
        <v>14</v>
      </c>
      <c r="S385">
        <f>IF(Games[[#This Row],[Team]]="","",COUNTIFS(Games[Team],Games[[#This Row],[Team]],Games[Season],Games[[#This Row],[Season]],Games[Week],"&lt;="&amp;Games[[#This Row],[Week]]))</f>
        <v>13</v>
      </c>
      <c r="T385">
        <f>IF(Games[[#This Row],[Team]]="","",_xlfn.MAXIFS(Games[Week],Games[Team],Games[[#This Row],[Team]],Games[Season],Games[[#This Row],[Season]],Games[Week],"&lt;"&amp;Games[[#This Row],[Week]]))</f>
        <v>13</v>
      </c>
      <c r="U385">
        <f>IF(Games[[#This Row],[Team]]="","",_xlfn.MAXIFS(Games[Week],Games[Team],Games[[#This Row],[Opponent]],Games[Season],Games[[#This Row],[Season]],Games[Week],"&lt;"&amp;Games[[#This Row],[Week]]))</f>
        <v>13</v>
      </c>
      <c r="V38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8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8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8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1351.3217486922663</v>
      </c>
      <c r="Z38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1400.0941815256044</v>
      </c>
      <c r="AA38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0.53337744418219157</v>
      </c>
      <c r="AB385">
        <f>IF(Games[[#This Row],[Team]]="","",Games[[#This Row],[PointsFor]]-Games[[#This Row],[PointsAgainst]])</f>
        <v>-16</v>
      </c>
      <c r="AC385">
        <f>IF(Games[[#This Row],[Team]]="","",IF(Games[[#This Row],[MOV]]&gt;0,1,IF(Games[[#This Row],[MOV]]=0,0.5,0)))</f>
        <v>0</v>
      </c>
      <c r="AD385">
        <f>IF(Games[[#This Row],[Team]]="","",--(OR(AND(Games[[#This Row],[ExpectedWin]]&gt;=0.5,Games[[#This Row],[Result]]=1),AND(Games[[#This Row],[ExpectedWin]]&lt;0.5,Games[[#This Row],[Result]]=0))))</f>
        <v>0</v>
      </c>
      <c r="AE385">
        <f>IF(Games[[#This Row],[Team]]="","",-(Games[[#This Row],[Result]]*LN(Games[[#This Row],[ExpectedWin]])+(1-Games[[#This Row],[Result]])*LN(1-Games[[#This Row],[ExpectedWin]])))</f>
        <v>0.76223457976205378</v>
      </c>
      <c r="AF385">
        <f>IF(Games[[#This Row],[Team]]="","",IF(Games[[#This Row],[Season]]&gt;=2021,17,16))</f>
        <v>16</v>
      </c>
      <c r="AG385">
        <f>IF(Games[[#This Row],[Team]]="","",KMax-(KMax-KFloor)*MIN(Games[[#This Row],[GamesPlayed]],Games[[#This Row],[SeasonLen]])/Games[[#This Row],[SeasonLen]])</f>
        <v>38.037500000000001</v>
      </c>
      <c r="AH385">
        <f>IF(Games[[#This Row],[Team]]="","",((ABS(Games[[#This Row],[MOV]])+3)^0.8)/(7.5+0.006*ABS(Games[[#This Row],[PreGmRate]]-Games[[#This Row],[OppPreGmRate]]))*IF(Games[[#This Row],[OT]]=1,0.7,1))</f>
        <v>1.3530647141850956</v>
      </c>
      <c r="AI38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5">
        <f>IF(Games[[#This Row],[Team]]="","",Games[[#This Row],[K]]*IF(Games[[#This Row],[DivG]]=1,DivMult,1)*IF(Games[[#This Row],[ConfG]]=1,ConfMult,1)*Games[[#This Row],[POMult]])</f>
        <v>42.678075</v>
      </c>
      <c r="AK385">
        <f>IF(Games[[#This Row],[Team]]="","",(Games[[#This Row],[Keff]]*Games[[#This Row],[MOVMult]])*(Games[[#This Row],[Result]]-Games[[#This Row],[ExpectedWin]]))</f>
        <v>-30.800519154767564</v>
      </c>
      <c r="AL385">
        <f>IF(Games[[#This Row],[Team]]="","",Games[[#This Row],[PreGmRate]]+Games[[#This Row],[RatingChange]])</f>
        <v>1320.5212295374988</v>
      </c>
      <c r="AM385">
        <f>IF(Games[[#This Row],[Team]]="","",IF(Games[[#This Row],[Type]]="R",IF(Games[[#This Row],[Result]]&gt;0.5,1,0),0))</f>
        <v>0</v>
      </c>
      <c r="AN385">
        <f>IF(Games[[#This Row],[Team]]="","",IF(Games[[#This Row],[Type]]="R",IF(Games[[#This Row],[Result]]&lt;0.5,1,0),0))</f>
        <v>1</v>
      </c>
      <c r="AO385">
        <f>IF(Games[[#This Row],[Team]]="","",IF(Games[[#This Row],[Type]]="R",IF(Games[[#This Row],[Result]]=0.5,1,0),0))</f>
        <v>0</v>
      </c>
    </row>
    <row r="386" spans="1:41" x14ac:dyDescent="0.35">
      <c r="A386" s="8">
        <v>35400</v>
      </c>
      <c r="B386">
        <v>1996</v>
      </c>
      <c r="C386" t="s">
        <v>197</v>
      </c>
      <c r="D386" t="s">
        <v>199</v>
      </c>
      <c r="E386" t="s">
        <v>153</v>
      </c>
      <c r="F386" t="s">
        <v>138</v>
      </c>
      <c r="G386" t="s">
        <v>201</v>
      </c>
      <c r="H386">
        <v>35</v>
      </c>
      <c r="I386">
        <v>10</v>
      </c>
      <c r="J386">
        <v>0</v>
      </c>
      <c r="K38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8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8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8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86">
        <f>IF(Games[[#This Row],[Team]]="","",IF(Games[[#This Row],[Conf]]=Games[[#This Row],[OppConf]],1,0))</f>
        <v>1</v>
      </c>
      <c r="P386">
        <f>IF(Games[[#This Row],[Team]]="","",IF(AND(Games[[#This Row],[Conf]]=Games[[#This Row],[OppConf]],Games[[#This Row],[Div]]=Games[[#This Row],[OppDiv]]),1,0))</f>
        <v>0</v>
      </c>
      <c r="Q386">
        <f>IF(Games[[#This Row],[Team]]="","",_xlfn.MINIFS(Games[Date],Games[Season],Games[[#This Row],[Season]]))</f>
        <v>35309</v>
      </c>
      <c r="R386">
        <f>IF(Games[[#This Row],[Team]]="","",INT((Games[[#This Row],[Date]]-(Games[[#This Row],[SeasonStart]]-MOD(WEEKDAY(Games[[#This Row],[SeasonStart]],2)-2,7)))/7)+1)</f>
        <v>14</v>
      </c>
      <c r="S386">
        <f>IF(Games[[#This Row],[Team]]="","",COUNTIFS(Games[Team],Games[[#This Row],[Team]],Games[Season],Games[[#This Row],[Season]],Games[Week],"&lt;="&amp;Games[[#This Row],[Week]]))</f>
        <v>13</v>
      </c>
      <c r="T386">
        <f>IF(Games[[#This Row],[Team]]="","",_xlfn.MAXIFS(Games[Week],Games[Team],Games[[#This Row],[Team]],Games[Season],Games[[#This Row],[Season]],Games[Week],"&lt;"&amp;Games[[#This Row],[Week]]))</f>
        <v>13</v>
      </c>
      <c r="U386">
        <f>IF(Games[[#This Row],[Team]]="","",_xlfn.MAXIFS(Games[Week],Games[Team],Games[[#This Row],[Opponent]],Games[Season],Games[[#This Row],[Season]],Games[Week],"&lt;"&amp;Games[[#This Row],[Week]]))</f>
        <v>13</v>
      </c>
      <c r="V38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8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8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8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1502.3407780670366</v>
      </c>
      <c r="Z38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1339.0831517769525</v>
      </c>
      <c r="AA38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0.62839117906925068</v>
      </c>
      <c r="AB386">
        <f>IF(Games[[#This Row],[Team]]="","",Games[[#This Row],[PointsFor]]-Games[[#This Row],[PointsAgainst]])</f>
        <v>25</v>
      </c>
      <c r="AC386">
        <f>IF(Games[[#This Row],[Team]]="","",IF(Games[[#This Row],[MOV]]&gt;0,1,IF(Games[[#This Row],[MOV]]=0,0.5,0)))</f>
        <v>1</v>
      </c>
      <c r="AD386">
        <f>IF(Games[[#This Row],[Team]]="","",--(OR(AND(Games[[#This Row],[ExpectedWin]]&gt;=0.5,Games[[#This Row],[Result]]=1),AND(Games[[#This Row],[ExpectedWin]]&lt;0.5,Games[[#This Row],[Result]]=0))))</f>
        <v>1</v>
      </c>
      <c r="AE386">
        <f>IF(Games[[#This Row],[Team]]="","",-(Games[[#This Row],[Result]]*LN(Games[[#This Row],[ExpectedWin]])+(1-Games[[#This Row],[Result]])*LN(1-Games[[#This Row],[ExpectedWin]])))</f>
        <v>0.46459240982641914</v>
      </c>
      <c r="AF386">
        <f>IF(Games[[#This Row],[Team]]="","",IF(Games[[#This Row],[Season]]&gt;=2021,17,16))</f>
        <v>16</v>
      </c>
      <c r="AG386">
        <f>IF(Games[[#This Row],[Team]]="","",KMax-(KMax-KFloor)*MIN(Games[[#This Row],[GamesPlayed]],Games[[#This Row],[SeasonLen]])/Games[[#This Row],[SeasonLen]])</f>
        <v>38.037500000000001</v>
      </c>
      <c r="AH386">
        <f>IF(Games[[#This Row],[Team]]="","",((ABS(Games[[#This Row],[MOV]])+3)^0.8)/(7.5+0.006*ABS(Games[[#This Row],[PreGmRate]]-Games[[#This Row],[OppPreGmRate]]))*IF(Games[[#This Row],[OT]]=1,0.7,1))</f>
        <v>1.6957188073577176</v>
      </c>
      <c r="AI38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6">
        <f>IF(Games[[#This Row],[Team]]="","",Games[[#This Row],[K]]*IF(Games[[#This Row],[DivG]]=1,DivMult,1)*IF(Games[[#This Row],[ConfG]]=1,ConfMult,1)*Games[[#This Row],[POMult]])</f>
        <v>38.798250000000003</v>
      </c>
      <c r="AK386">
        <f>IF(Games[[#This Row],[Team]]="","",(Games[[#This Row],[Keff]]*Games[[#This Row],[MOVMult]])*(Games[[#This Row],[Result]]-Games[[#This Row],[ExpectedWin]]))</f>
        <v>24.448487033216555</v>
      </c>
      <c r="AL386">
        <f>IF(Games[[#This Row],[Team]]="","",Games[[#This Row],[PreGmRate]]+Games[[#This Row],[RatingChange]])</f>
        <v>1526.789265100253</v>
      </c>
      <c r="AM386">
        <f>IF(Games[[#This Row],[Team]]="","",IF(Games[[#This Row],[Type]]="R",IF(Games[[#This Row],[Result]]&gt;0.5,1,0),0))</f>
        <v>1</v>
      </c>
      <c r="AN386">
        <f>IF(Games[[#This Row],[Team]]="","",IF(Games[[#This Row],[Type]]="R",IF(Games[[#This Row],[Result]]&lt;0.5,1,0),0))</f>
        <v>0</v>
      </c>
      <c r="AO386">
        <f>IF(Games[[#This Row],[Team]]="","",IF(Games[[#This Row],[Type]]="R",IF(Games[[#This Row],[Result]]=0.5,1,0),0))</f>
        <v>0</v>
      </c>
    </row>
    <row r="387" spans="1:41" x14ac:dyDescent="0.35">
      <c r="A387" s="8">
        <v>35400</v>
      </c>
      <c r="B387">
        <v>1996</v>
      </c>
      <c r="C387" t="s">
        <v>197</v>
      </c>
      <c r="D387" t="s">
        <v>199</v>
      </c>
      <c r="E387" t="s">
        <v>138</v>
      </c>
      <c r="F387" t="s">
        <v>153</v>
      </c>
      <c r="G387" t="s">
        <v>200</v>
      </c>
      <c r="H387">
        <v>10</v>
      </c>
      <c r="I387">
        <v>35</v>
      </c>
      <c r="J387">
        <v>0</v>
      </c>
      <c r="K38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8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8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8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87">
        <f>IF(Games[[#This Row],[Team]]="","",IF(Games[[#This Row],[Conf]]=Games[[#This Row],[OppConf]],1,0))</f>
        <v>1</v>
      </c>
      <c r="P387">
        <f>IF(Games[[#This Row],[Team]]="","",IF(AND(Games[[#This Row],[Conf]]=Games[[#This Row],[OppConf]],Games[[#This Row],[Div]]=Games[[#This Row],[OppDiv]]),1,0))</f>
        <v>0</v>
      </c>
      <c r="Q387">
        <f>IF(Games[[#This Row],[Team]]="","",_xlfn.MINIFS(Games[Date],Games[Season],Games[[#This Row],[Season]]))</f>
        <v>35309</v>
      </c>
      <c r="R387">
        <f>IF(Games[[#This Row],[Team]]="","",INT((Games[[#This Row],[Date]]-(Games[[#This Row],[SeasonStart]]-MOD(WEEKDAY(Games[[#This Row],[SeasonStart]],2)-2,7)))/7)+1)</f>
        <v>14</v>
      </c>
      <c r="S387">
        <f>IF(Games[[#This Row],[Team]]="","",COUNTIFS(Games[Team],Games[[#This Row],[Team]],Games[Season],Games[[#This Row],[Season]],Games[Week],"&lt;="&amp;Games[[#This Row],[Week]]))</f>
        <v>13</v>
      </c>
      <c r="T387">
        <f>IF(Games[[#This Row],[Team]]="","",_xlfn.MAXIFS(Games[Week],Games[Team],Games[[#This Row],[Team]],Games[Season],Games[[#This Row],[Season]],Games[Week],"&lt;"&amp;Games[[#This Row],[Week]]))</f>
        <v>13</v>
      </c>
      <c r="U387">
        <f>IF(Games[[#This Row],[Team]]="","",_xlfn.MAXIFS(Games[Week],Games[Team],Games[[#This Row],[Opponent]],Games[Season],Games[[#This Row],[Season]],Games[Week],"&lt;"&amp;Games[[#This Row],[Week]]))</f>
        <v>13</v>
      </c>
      <c r="V38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8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8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8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1339.0831517769525</v>
      </c>
      <c r="Z38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1502.3407780670366</v>
      </c>
      <c r="AA38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0.37160882093074926</v>
      </c>
      <c r="AB387">
        <f>IF(Games[[#This Row],[Team]]="","",Games[[#This Row],[PointsFor]]-Games[[#This Row],[PointsAgainst]])</f>
        <v>-25</v>
      </c>
      <c r="AC387">
        <f>IF(Games[[#This Row],[Team]]="","",IF(Games[[#This Row],[MOV]]&gt;0,1,IF(Games[[#This Row],[MOV]]=0,0.5,0)))</f>
        <v>0</v>
      </c>
      <c r="AD387">
        <f>IF(Games[[#This Row],[Team]]="","",--(OR(AND(Games[[#This Row],[ExpectedWin]]&gt;=0.5,Games[[#This Row],[Result]]=1),AND(Games[[#This Row],[ExpectedWin]]&lt;0.5,Games[[#This Row],[Result]]=0))))</f>
        <v>1</v>
      </c>
      <c r="AE387">
        <f>IF(Games[[#This Row],[Team]]="","",-(Games[[#This Row],[Result]]*LN(Games[[#This Row],[ExpectedWin]])+(1-Games[[#This Row],[Result]])*LN(1-Games[[#This Row],[ExpectedWin]])))</f>
        <v>0.46459240982641914</v>
      </c>
      <c r="AF387">
        <f>IF(Games[[#This Row],[Team]]="","",IF(Games[[#This Row],[Season]]&gt;=2021,17,16))</f>
        <v>16</v>
      </c>
      <c r="AG387">
        <f>IF(Games[[#This Row],[Team]]="","",KMax-(KMax-KFloor)*MIN(Games[[#This Row],[GamesPlayed]],Games[[#This Row],[SeasonLen]])/Games[[#This Row],[SeasonLen]])</f>
        <v>38.037500000000001</v>
      </c>
      <c r="AH387">
        <f>IF(Games[[#This Row],[Team]]="","",((ABS(Games[[#This Row],[MOV]])+3)^0.8)/(7.5+0.006*ABS(Games[[#This Row],[PreGmRate]]-Games[[#This Row],[OppPreGmRate]]))*IF(Games[[#This Row],[OT]]=1,0.7,1))</f>
        <v>1.6957188073577176</v>
      </c>
      <c r="AI38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7">
        <f>IF(Games[[#This Row],[Team]]="","",Games[[#This Row],[K]]*IF(Games[[#This Row],[DivG]]=1,DivMult,1)*IF(Games[[#This Row],[ConfG]]=1,ConfMult,1)*Games[[#This Row],[POMult]])</f>
        <v>38.798250000000003</v>
      </c>
      <c r="AK387">
        <f>IF(Games[[#This Row],[Team]]="","",(Games[[#This Row],[Keff]]*Games[[#This Row],[MOVMult]])*(Games[[#This Row],[Result]]-Games[[#This Row],[ExpectedWin]]))</f>
        <v>-24.448487033216551</v>
      </c>
      <c r="AL387">
        <f>IF(Games[[#This Row],[Team]]="","",Games[[#This Row],[PreGmRate]]+Games[[#This Row],[RatingChange]])</f>
        <v>1314.634664743736</v>
      </c>
      <c r="AM387">
        <f>IF(Games[[#This Row],[Team]]="","",IF(Games[[#This Row],[Type]]="R",IF(Games[[#This Row],[Result]]&gt;0.5,1,0),0))</f>
        <v>0</v>
      </c>
      <c r="AN387">
        <f>IF(Games[[#This Row],[Team]]="","",IF(Games[[#This Row],[Type]]="R",IF(Games[[#This Row],[Result]]&lt;0.5,1,0),0))</f>
        <v>1</v>
      </c>
      <c r="AO387">
        <f>IF(Games[[#This Row],[Team]]="","",IF(Games[[#This Row],[Type]]="R",IF(Games[[#This Row],[Result]]=0.5,1,0),0))</f>
        <v>0</v>
      </c>
    </row>
    <row r="388" spans="1:41" x14ac:dyDescent="0.35">
      <c r="A388" s="8">
        <v>35400</v>
      </c>
      <c r="B388">
        <v>1996</v>
      </c>
      <c r="C388" t="s">
        <v>197</v>
      </c>
      <c r="D388" t="s">
        <v>199</v>
      </c>
      <c r="E388" t="s">
        <v>132</v>
      </c>
      <c r="F388" t="s">
        <v>145</v>
      </c>
      <c r="G388" t="s">
        <v>201</v>
      </c>
      <c r="H388">
        <v>45</v>
      </c>
      <c r="I388">
        <v>7</v>
      </c>
      <c r="J388">
        <v>0</v>
      </c>
      <c r="K38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8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8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8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88">
        <f>IF(Games[[#This Row],[Team]]="","",IF(Games[[#This Row],[Conf]]=Games[[#This Row],[OppConf]],1,0))</f>
        <v>1</v>
      </c>
      <c r="P388">
        <f>IF(Games[[#This Row],[Team]]="","",IF(AND(Games[[#This Row],[Conf]]=Games[[#This Row],[OppConf]],Games[[#This Row],[Div]]=Games[[#This Row],[OppDiv]]),1,0))</f>
        <v>0</v>
      </c>
      <c r="Q388">
        <f>IF(Games[[#This Row],[Team]]="","",_xlfn.MINIFS(Games[Date],Games[Season],Games[[#This Row],[Season]]))</f>
        <v>35309</v>
      </c>
      <c r="R388">
        <f>IF(Games[[#This Row],[Team]]="","",INT((Games[[#This Row],[Date]]-(Games[[#This Row],[SeasonStart]]-MOD(WEEKDAY(Games[[#This Row],[SeasonStart]],2)-2,7)))/7)+1)</f>
        <v>14</v>
      </c>
      <c r="S388">
        <f>IF(Games[[#This Row],[Team]]="","",COUNTIFS(Games[Team],Games[[#This Row],[Team]],Games[Season],Games[[#This Row],[Season]],Games[Week],"&lt;="&amp;Games[[#This Row],[Week]]))</f>
        <v>13</v>
      </c>
      <c r="T388">
        <f>IF(Games[[#This Row],[Team]]="","",_xlfn.MAXIFS(Games[Week],Games[Team],Games[[#This Row],[Team]],Games[Season],Games[[#This Row],[Season]],Games[Week],"&lt;"&amp;Games[[#This Row],[Week]]))</f>
        <v>13</v>
      </c>
      <c r="U388">
        <f>IF(Games[[#This Row],[Team]]="","",_xlfn.MAXIFS(Games[Week],Games[Team],Games[[#This Row],[Opponent]],Games[Season],Games[[#This Row],[Season]],Games[Week],"&lt;"&amp;Games[[#This Row],[Week]]))</f>
        <v>13</v>
      </c>
      <c r="V38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8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8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8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1567.7217157605073</v>
      </c>
      <c r="Z38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1514.1164042159166</v>
      </c>
      <c r="AA38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0.47355262215762245</v>
      </c>
      <c r="AB388">
        <f>IF(Games[[#This Row],[Team]]="","",Games[[#This Row],[PointsFor]]-Games[[#This Row],[PointsAgainst]])</f>
        <v>38</v>
      </c>
      <c r="AC388">
        <f>IF(Games[[#This Row],[Team]]="","",IF(Games[[#This Row],[MOV]]&gt;0,1,IF(Games[[#This Row],[MOV]]=0,0.5,0)))</f>
        <v>1</v>
      </c>
      <c r="AD388">
        <f>IF(Games[[#This Row],[Team]]="","",--(OR(AND(Games[[#This Row],[ExpectedWin]]&gt;=0.5,Games[[#This Row],[Result]]=1),AND(Games[[#This Row],[ExpectedWin]]&lt;0.5,Games[[#This Row],[Result]]=0))))</f>
        <v>0</v>
      </c>
      <c r="AE388">
        <f>IF(Games[[#This Row],[Team]]="","",-(Games[[#This Row],[Result]]*LN(Games[[#This Row],[ExpectedWin]])+(1-Games[[#This Row],[Result]])*LN(1-Games[[#This Row],[ExpectedWin]])))</f>
        <v>0.74749223809038201</v>
      </c>
      <c r="AF388">
        <f>IF(Games[[#This Row],[Team]]="","",IF(Games[[#This Row],[Season]]&gt;=2021,17,16))</f>
        <v>16</v>
      </c>
      <c r="AG388">
        <f>IF(Games[[#This Row],[Team]]="","",KMax-(KMax-KFloor)*MIN(Games[[#This Row],[GamesPlayed]],Games[[#This Row],[SeasonLen]])/Games[[#This Row],[SeasonLen]])</f>
        <v>38.037500000000001</v>
      </c>
      <c r="AH388">
        <f>IF(Games[[#This Row],[Team]]="","",((ABS(Games[[#This Row],[MOV]])+3)^0.8)/(7.5+0.006*ABS(Games[[#This Row],[PreGmRate]]-Games[[#This Row],[OppPreGmRate]]))*IF(Games[[#This Row],[OT]]=1,0.7,1))</f>
        <v>2.4941910337104898</v>
      </c>
      <c r="AI38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8">
        <f>IF(Games[[#This Row],[Team]]="","",Games[[#This Row],[K]]*IF(Games[[#This Row],[DivG]]=1,DivMult,1)*IF(Games[[#This Row],[ConfG]]=1,ConfMult,1)*Games[[#This Row],[POMult]])</f>
        <v>38.798250000000003</v>
      </c>
      <c r="AK388">
        <f>IF(Games[[#This Row],[Team]]="","",(Games[[#This Row],[Keff]]*Games[[#This Row],[MOVMult]])*(Games[[#This Row],[Result]]-Games[[#This Row],[ExpectedWin]]))</f>
        <v>50.944442930375743</v>
      </c>
      <c r="AL388">
        <f>IF(Games[[#This Row],[Team]]="","",Games[[#This Row],[PreGmRate]]+Games[[#This Row],[RatingChange]])</f>
        <v>1618.6661586908831</v>
      </c>
      <c r="AM388">
        <f>IF(Games[[#This Row],[Team]]="","",IF(Games[[#This Row],[Type]]="R",IF(Games[[#This Row],[Result]]&gt;0.5,1,0),0))</f>
        <v>1</v>
      </c>
      <c r="AN388">
        <f>IF(Games[[#This Row],[Team]]="","",IF(Games[[#This Row],[Type]]="R",IF(Games[[#This Row],[Result]]&lt;0.5,1,0),0))</f>
        <v>0</v>
      </c>
      <c r="AO388">
        <f>IF(Games[[#This Row],[Team]]="","",IF(Games[[#This Row],[Type]]="R",IF(Games[[#This Row],[Result]]=0.5,1,0),0))</f>
        <v>0</v>
      </c>
    </row>
    <row r="389" spans="1:41" x14ac:dyDescent="0.35">
      <c r="A389" s="8">
        <v>35400</v>
      </c>
      <c r="B389">
        <v>1996</v>
      </c>
      <c r="C389" t="s">
        <v>197</v>
      </c>
      <c r="D389" t="s">
        <v>199</v>
      </c>
      <c r="E389" t="s">
        <v>145</v>
      </c>
      <c r="F389" t="s">
        <v>132</v>
      </c>
      <c r="G389" t="s">
        <v>200</v>
      </c>
      <c r="H389">
        <v>7</v>
      </c>
      <c r="I389">
        <v>45</v>
      </c>
      <c r="J389">
        <v>0</v>
      </c>
      <c r="K38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8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8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8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89">
        <f>IF(Games[[#This Row],[Team]]="","",IF(Games[[#This Row],[Conf]]=Games[[#This Row],[OppConf]],1,0))</f>
        <v>1</v>
      </c>
      <c r="P389">
        <f>IF(Games[[#This Row],[Team]]="","",IF(AND(Games[[#This Row],[Conf]]=Games[[#This Row],[OppConf]],Games[[#This Row],[Div]]=Games[[#This Row],[OppDiv]]),1,0))</f>
        <v>0</v>
      </c>
      <c r="Q389">
        <f>IF(Games[[#This Row],[Team]]="","",_xlfn.MINIFS(Games[Date],Games[Season],Games[[#This Row],[Season]]))</f>
        <v>35309</v>
      </c>
      <c r="R389">
        <f>IF(Games[[#This Row],[Team]]="","",INT((Games[[#This Row],[Date]]-(Games[[#This Row],[SeasonStart]]-MOD(WEEKDAY(Games[[#This Row],[SeasonStart]],2)-2,7)))/7)+1)</f>
        <v>14</v>
      </c>
      <c r="S389">
        <f>IF(Games[[#This Row],[Team]]="","",COUNTIFS(Games[Team],Games[[#This Row],[Team]],Games[Season],Games[[#This Row],[Season]],Games[Week],"&lt;="&amp;Games[[#This Row],[Week]]))</f>
        <v>13</v>
      </c>
      <c r="T389">
        <f>IF(Games[[#This Row],[Team]]="","",_xlfn.MAXIFS(Games[Week],Games[Team],Games[[#This Row],[Team]],Games[Season],Games[[#This Row],[Season]],Games[Week],"&lt;"&amp;Games[[#This Row],[Week]]))</f>
        <v>13</v>
      </c>
      <c r="U389">
        <f>IF(Games[[#This Row],[Team]]="","",_xlfn.MAXIFS(Games[Week],Games[Team],Games[[#This Row],[Opponent]],Games[Season],Games[[#This Row],[Season]],Games[Week],"&lt;"&amp;Games[[#This Row],[Week]]))</f>
        <v>13</v>
      </c>
      <c r="V38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8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8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8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1514.1164042159166</v>
      </c>
      <c r="Z38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1567.7217157605073</v>
      </c>
      <c r="AA38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0.5264473778423775</v>
      </c>
      <c r="AB389">
        <f>IF(Games[[#This Row],[Team]]="","",Games[[#This Row],[PointsFor]]-Games[[#This Row],[PointsAgainst]])</f>
        <v>-38</v>
      </c>
      <c r="AC389">
        <f>IF(Games[[#This Row],[Team]]="","",IF(Games[[#This Row],[MOV]]&gt;0,1,IF(Games[[#This Row],[MOV]]=0,0.5,0)))</f>
        <v>0</v>
      </c>
      <c r="AD389">
        <f>IF(Games[[#This Row],[Team]]="","",--(OR(AND(Games[[#This Row],[ExpectedWin]]&gt;=0.5,Games[[#This Row],[Result]]=1),AND(Games[[#This Row],[ExpectedWin]]&lt;0.5,Games[[#This Row],[Result]]=0))))</f>
        <v>0</v>
      </c>
      <c r="AE389">
        <f>IF(Games[[#This Row],[Team]]="","",-(Games[[#This Row],[Result]]*LN(Games[[#This Row],[ExpectedWin]])+(1-Games[[#This Row],[Result]])*LN(1-Games[[#This Row],[ExpectedWin]])))</f>
        <v>0.7474922380903819</v>
      </c>
      <c r="AF389">
        <f>IF(Games[[#This Row],[Team]]="","",IF(Games[[#This Row],[Season]]&gt;=2021,17,16))</f>
        <v>16</v>
      </c>
      <c r="AG389">
        <f>IF(Games[[#This Row],[Team]]="","",KMax-(KMax-KFloor)*MIN(Games[[#This Row],[GamesPlayed]],Games[[#This Row],[SeasonLen]])/Games[[#This Row],[SeasonLen]])</f>
        <v>38.037500000000001</v>
      </c>
      <c r="AH389">
        <f>IF(Games[[#This Row],[Team]]="","",((ABS(Games[[#This Row],[MOV]])+3)^0.8)/(7.5+0.006*ABS(Games[[#This Row],[PreGmRate]]-Games[[#This Row],[OppPreGmRate]]))*IF(Games[[#This Row],[OT]]=1,0.7,1))</f>
        <v>2.4941910337104898</v>
      </c>
      <c r="AI38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9">
        <f>IF(Games[[#This Row],[Team]]="","",Games[[#This Row],[K]]*IF(Games[[#This Row],[DivG]]=1,DivMult,1)*IF(Games[[#This Row],[ConfG]]=1,ConfMult,1)*Games[[#This Row],[POMult]])</f>
        <v>38.798250000000003</v>
      </c>
      <c r="AK389">
        <f>IF(Games[[#This Row],[Team]]="","",(Games[[#This Row],[Keff]]*Games[[#This Row],[MOVMult]])*(Games[[#This Row],[Result]]-Games[[#This Row],[ExpectedWin]]))</f>
        <v>-50.944442930375743</v>
      </c>
      <c r="AL389">
        <f>IF(Games[[#This Row],[Team]]="","",Games[[#This Row],[PreGmRate]]+Games[[#This Row],[RatingChange]])</f>
        <v>1463.1719612855409</v>
      </c>
      <c r="AM389">
        <f>IF(Games[[#This Row],[Team]]="","",IF(Games[[#This Row],[Type]]="R",IF(Games[[#This Row],[Result]]&gt;0.5,1,0),0))</f>
        <v>0</v>
      </c>
      <c r="AN389">
        <f>IF(Games[[#This Row],[Team]]="","",IF(Games[[#This Row],[Type]]="R",IF(Games[[#This Row],[Result]]&lt;0.5,1,0),0))</f>
        <v>1</v>
      </c>
      <c r="AO389">
        <f>IF(Games[[#This Row],[Team]]="","",IF(Games[[#This Row],[Type]]="R",IF(Games[[#This Row],[Result]]=0.5,1,0),0))</f>
        <v>0</v>
      </c>
    </row>
    <row r="390" spans="1:41" x14ac:dyDescent="0.35">
      <c r="A390" s="8">
        <v>35401</v>
      </c>
      <c r="B390">
        <v>1996</v>
      </c>
      <c r="C390" t="s">
        <v>197</v>
      </c>
      <c r="D390" t="s">
        <v>199</v>
      </c>
      <c r="E390" t="s">
        <v>148</v>
      </c>
      <c r="F390" t="s">
        <v>98</v>
      </c>
      <c r="G390" t="s">
        <v>201</v>
      </c>
      <c r="H390">
        <v>34</v>
      </c>
      <c r="I390">
        <v>10</v>
      </c>
      <c r="J390">
        <v>0</v>
      </c>
      <c r="K39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9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9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9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90">
        <f>IF(Games[[#This Row],[Team]]="","",IF(Games[[#This Row],[Conf]]=Games[[#This Row],[OppConf]],1,0))</f>
        <v>1</v>
      </c>
      <c r="P390">
        <f>IF(Games[[#This Row],[Team]]="","",IF(AND(Games[[#This Row],[Conf]]=Games[[#This Row],[OppConf]],Games[[#This Row],[Div]]=Games[[#This Row],[OppDiv]]),1,0))</f>
        <v>1</v>
      </c>
      <c r="Q390">
        <f>IF(Games[[#This Row],[Team]]="","",_xlfn.MINIFS(Games[Date],Games[Season],Games[[#This Row],[Season]]))</f>
        <v>35309</v>
      </c>
      <c r="R390">
        <f>IF(Games[[#This Row],[Team]]="","",INT((Games[[#This Row],[Date]]-(Games[[#This Row],[SeasonStart]]-MOD(WEEKDAY(Games[[#This Row],[SeasonStart]],2)-2,7)))/7)+1)</f>
        <v>14</v>
      </c>
      <c r="S390">
        <f>IF(Games[[#This Row],[Team]]="","",COUNTIFS(Games[Team],Games[[#This Row],[Team]],Games[Season],Games[[#This Row],[Season]],Games[Week],"&lt;="&amp;Games[[#This Row],[Week]]))</f>
        <v>13</v>
      </c>
      <c r="T390">
        <f>IF(Games[[#This Row],[Team]]="","",_xlfn.MAXIFS(Games[Week],Games[Team],Games[[#This Row],[Team]],Games[Season],Games[[#This Row],[Season]],Games[Week],"&lt;"&amp;Games[[#This Row],[Week]]))</f>
        <v>13</v>
      </c>
      <c r="U390">
        <f>IF(Games[[#This Row],[Team]]="","",_xlfn.MAXIFS(Games[Week],Games[Team],Games[[#This Row],[Opponent]],Games[Season],Games[[#This Row],[Season]],Games[Week],"&lt;"&amp;Games[[#This Row],[Week]]))</f>
        <v>13</v>
      </c>
      <c r="V39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39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39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9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1622.2722678998873</v>
      </c>
      <c r="Z39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1328.8047520975631</v>
      </c>
      <c r="AA39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0.7815751865595173</v>
      </c>
      <c r="AB390">
        <f>IF(Games[[#This Row],[Team]]="","",Games[[#This Row],[PointsFor]]-Games[[#This Row],[PointsAgainst]])</f>
        <v>24</v>
      </c>
      <c r="AC390">
        <f>IF(Games[[#This Row],[Team]]="","",IF(Games[[#This Row],[MOV]]&gt;0,1,IF(Games[[#This Row],[MOV]]=0,0.5,0)))</f>
        <v>1</v>
      </c>
      <c r="AD390">
        <f>IF(Games[[#This Row],[Team]]="","",--(OR(AND(Games[[#This Row],[ExpectedWin]]&gt;=0.5,Games[[#This Row],[Result]]=1),AND(Games[[#This Row],[ExpectedWin]]&lt;0.5,Games[[#This Row],[Result]]=0))))</f>
        <v>1</v>
      </c>
      <c r="AE390">
        <f>IF(Games[[#This Row],[Team]]="","",-(Games[[#This Row],[Result]]*LN(Games[[#This Row],[ExpectedWin]])+(1-Games[[#This Row],[Result]])*LN(1-Games[[#This Row],[ExpectedWin]])))</f>
        <v>0.24644392573868043</v>
      </c>
      <c r="AF390">
        <f>IF(Games[[#This Row],[Team]]="","",IF(Games[[#This Row],[Season]]&gt;=2021,17,16))</f>
        <v>16</v>
      </c>
      <c r="AG390">
        <f>IF(Games[[#This Row],[Team]]="","",KMax-(KMax-KFloor)*MIN(Games[[#This Row],[GamesPlayed]],Games[[#This Row],[SeasonLen]])/Games[[#This Row],[SeasonLen]])</f>
        <v>38.037500000000001</v>
      </c>
      <c r="AH390">
        <f>IF(Games[[#This Row],[Team]]="","",((ABS(Games[[#This Row],[MOV]])+3)^0.8)/(7.5+0.006*ABS(Games[[#This Row],[PreGmRate]]-Games[[#This Row],[OppPreGmRate]]))*IF(Games[[#This Row],[OT]]=1,0.7,1))</f>
        <v>1.5081421131581256</v>
      </c>
      <c r="AI39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0">
        <f>IF(Games[[#This Row],[Team]]="","",Games[[#This Row],[K]]*IF(Games[[#This Row],[DivG]]=1,DivMult,1)*IF(Games[[#This Row],[ConfG]]=1,ConfMult,1)*Games[[#This Row],[POMult]])</f>
        <v>42.678075</v>
      </c>
      <c r="AK390">
        <f>IF(Games[[#This Row],[Team]]="","",(Games[[#This Row],[Keff]]*Games[[#This Row],[MOVMult]])*(Games[[#This Row],[Result]]-Games[[#This Row],[ExpectedWin]]))</f>
        <v>14.058826231205259</v>
      </c>
      <c r="AL390">
        <f>IF(Games[[#This Row],[Team]]="","",Games[[#This Row],[PreGmRate]]+Games[[#This Row],[RatingChange]])</f>
        <v>1636.3310941310926</v>
      </c>
      <c r="AM390">
        <f>IF(Games[[#This Row],[Team]]="","",IF(Games[[#This Row],[Type]]="R",IF(Games[[#This Row],[Result]]&gt;0.5,1,0),0))</f>
        <v>1</v>
      </c>
      <c r="AN390">
        <f>IF(Games[[#This Row],[Team]]="","",IF(Games[[#This Row],[Type]]="R",IF(Games[[#This Row],[Result]]&lt;0.5,1,0),0))</f>
        <v>0</v>
      </c>
      <c r="AO390">
        <f>IF(Games[[#This Row],[Team]]="","",IF(Games[[#This Row],[Type]]="R",IF(Games[[#This Row],[Result]]=0.5,1,0),0))</f>
        <v>0</v>
      </c>
    </row>
    <row r="391" spans="1:41" x14ac:dyDescent="0.35">
      <c r="A391" s="8">
        <v>35401</v>
      </c>
      <c r="B391">
        <v>1996</v>
      </c>
      <c r="C391" t="s">
        <v>197</v>
      </c>
      <c r="D391" t="s">
        <v>199</v>
      </c>
      <c r="E391" t="s">
        <v>98</v>
      </c>
      <c r="F391" t="s">
        <v>148</v>
      </c>
      <c r="G391" t="s">
        <v>200</v>
      </c>
      <c r="H391">
        <v>10</v>
      </c>
      <c r="I391">
        <v>34</v>
      </c>
      <c r="J391">
        <v>0</v>
      </c>
      <c r="K39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9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9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9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91">
        <f>IF(Games[[#This Row],[Team]]="","",IF(Games[[#This Row],[Conf]]=Games[[#This Row],[OppConf]],1,0))</f>
        <v>1</v>
      </c>
      <c r="P391">
        <f>IF(Games[[#This Row],[Team]]="","",IF(AND(Games[[#This Row],[Conf]]=Games[[#This Row],[OppConf]],Games[[#This Row],[Div]]=Games[[#This Row],[OppDiv]]),1,0))</f>
        <v>1</v>
      </c>
      <c r="Q391">
        <f>IF(Games[[#This Row],[Team]]="","",_xlfn.MINIFS(Games[Date],Games[Season],Games[[#This Row],[Season]]))</f>
        <v>35309</v>
      </c>
      <c r="R391">
        <f>IF(Games[[#This Row],[Team]]="","",INT((Games[[#This Row],[Date]]-(Games[[#This Row],[SeasonStart]]-MOD(WEEKDAY(Games[[#This Row],[SeasonStart]],2)-2,7)))/7)+1)</f>
        <v>14</v>
      </c>
      <c r="S391">
        <f>IF(Games[[#This Row],[Team]]="","",COUNTIFS(Games[Team],Games[[#This Row],[Team]],Games[Season],Games[[#This Row],[Season]],Games[Week],"&lt;="&amp;Games[[#This Row],[Week]]))</f>
        <v>13</v>
      </c>
      <c r="T391">
        <f>IF(Games[[#This Row],[Team]]="","",_xlfn.MAXIFS(Games[Week],Games[Team],Games[[#This Row],[Team]],Games[Season],Games[[#This Row],[Season]],Games[Week],"&lt;"&amp;Games[[#This Row],[Week]]))</f>
        <v>13</v>
      </c>
      <c r="U391">
        <f>IF(Games[[#This Row],[Team]]="","",_xlfn.MAXIFS(Games[Week],Games[Team],Games[[#This Row],[Opponent]],Games[Season],Games[[#This Row],[Season]],Games[Week],"&lt;"&amp;Games[[#This Row],[Week]]))</f>
        <v>13</v>
      </c>
      <c r="V39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39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39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9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1328.8047520975631</v>
      </c>
      <c r="Z39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1622.2722678998873</v>
      </c>
      <c r="AA39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0.21842481344048273</v>
      </c>
      <c r="AB391">
        <f>IF(Games[[#This Row],[Team]]="","",Games[[#This Row],[PointsFor]]-Games[[#This Row],[PointsAgainst]])</f>
        <v>-24</v>
      </c>
      <c r="AC391">
        <f>IF(Games[[#This Row],[Team]]="","",IF(Games[[#This Row],[MOV]]&gt;0,1,IF(Games[[#This Row],[MOV]]=0,0.5,0)))</f>
        <v>0</v>
      </c>
      <c r="AD391">
        <f>IF(Games[[#This Row],[Team]]="","",--(OR(AND(Games[[#This Row],[ExpectedWin]]&gt;=0.5,Games[[#This Row],[Result]]=1),AND(Games[[#This Row],[ExpectedWin]]&lt;0.5,Games[[#This Row],[Result]]=0))))</f>
        <v>1</v>
      </c>
      <c r="AE391">
        <f>IF(Games[[#This Row],[Team]]="","",-(Games[[#This Row],[Result]]*LN(Games[[#This Row],[ExpectedWin]])+(1-Games[[#This Row],[Result]])*LN(1-Games[[#This Row],[ExpectedWin]])))</f>
        <v>0.24644392573868043</v>
      </c>
      <c r="AF391">
        <f>IF(Games[[#This Row],[Team]]="","",IF(Games[[#This Row],[Season]]&gt;=2021,17,16))</f>
        <v>16</v>
      </c>
      <c r="AG391">
        <f>IF(Games[[#This Row],[Team]]="","",KMax-(KMax-KFloor)*MIN(Games[[#This Row],[GamesPlayed]],Games[[#This Row],[SeasonLen]])/Games[[#This Row],[SeasonLen]])</f>
        <v>38.037500000000001</v>
      </c>
      <c r="AH391">
        <f>IF(Games[[#This Row],[Team]]="","",((ABS(Games[[#This Row],[MOV]])+3)^0.8)/(7.5+0.006*ABS(Games[[#This Row],[PreGmRate]]-Games[[#This Row],[OppPreGmRate]]))*IF(Games[[#This Row],[OT]]=1,0.7,1))</f>
        <v>1.5081421131581256</v>
      </c>
      <c r="AI39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1">
        <f>IF(Games[[#This Row],[Team]]="","",Games[[#This Row],[K]]*IF(Games[[#This Row],[DivG]]=1,DivMult,1)*IF(Games[[#This Row],[ConfG]]=1,ConfMult,1)*Games[[#This Row],[POMult]])</f>
        <v>42.678075</v>
      </c>
      <c r="AK391">
        <f>IF(Games[[#This Row],[Team]]="","",(Games[[#This Row],[Keff]]*Games[[#This Row],[MOVMult]])*(Games[[#This Row],[Result]]-Games[[#This Row],[ExpectedWin]]))</f>
        <v>-14.058826231205261</v>
      </c>
      <c r="AL391">
        <f>IF(Games[[#This Row],[Team]]="","",Games[[#This Row],[PreGmRate]]+Games[[#This Row],[RatingChange]])</f>
        <v>1314.7459258663578</v>
      </c>
      <c r="AM391">
        <f>IF(Games[[#This Row],[Team]]="","",IF(Games[[#This Row],[Type]]="R",IF(Games[[#This Row],[Result]]&gt;0.5,1,0),0))</f>
        <v>0</v>
      </c>
      <c r="AN391">
        <f>IF(Games[[#This Row],[Team]]="","",IF(Games[[#This Row],[Type]]="R",IF(Games[[#This Row],[Result]]&lt;0.5,1,0),0))</f>
        <v>1</v>
      </c>
      <c r="AO391">
        <f>IF(Games[[#This Row],[Team]]="","",IF(Games[[#This Row],[Type]]="R",IF(Games[[#This Row],[Result]]=0.5,1,0),0))</f>
        <v>0</v>
      </c>
    </row>
    <row r="392" spans="1:41" x14ac:dyDescent="0.35">
      <c r="A392" s="8">
        <v>35404</v>
      </c>
      <c r="B392">
        <v>1996</v>
      </c>
      <c r="C392" t="s">
        <v>197</v>
      </c>
      <c r="D392" t="s">
        <v>199</v>
      </c>
      <c r="E392" t="s">
        <v>122</v>
      </c>
      <c r="F392" t="s">
        <v>141</v>
      </c>
      <c r="G392" t="s">
        <v>200</v>
      </c>
      <c r="H392">
        <v>37</v>
      </c>
      <c r="I392">
        <v>10</v>
      </c>
      <c r="J392">
        <v>0</v>
      </c>
      <c r="K39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9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9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9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92">
        <f>IF(Games[[#This Row],[Team]]="","",IF(Games[[#This Row],[Conf]]=Games[[#This Row],[OppConf]],1,0))</f>
        <v>0</v>
      </c>
      <c r="P392">
        <f>IF(Games[[#This Row],[Team]]="","",IF(AND(Games[[#This Row],[Conf]]=Games[[#This Row],[OppConf]],Games[[#This Row],[Div]]=Games[[#This Row],[OppDiv]]),1,0))</f>
        <v>0</v>
      </c>
      <c r="Q392">
        <f>IF(Games[[#This Row],[Team]]="","",_xlfn.MINIFS(Games[Date],Games[Season],Games[[#This Row],[Season]]))</f>
        <v>35309</v>
      </c>
      <c r="R392">
        <f>IF(Games[[#This Row],[Team]]="","",INT((Games[[#This Row],[Date]]-(Games[[#This Row],[SeasonStart]]-MOD(WEEKDAY(Games[[#This Row],[SeasonStart]],2)-2,7)))/7)+1)</f>
        <v>15</v>
      </c>
      <c r="S392">
        <f>IF(Games[[#This Row],[Team]]="","",COUNTIFS(Games[Team],Games[[#This Row],[Team]],Games[Season],Games[[#This Row],[Season]],Games[Week],"&lt;="&amp;Games[[#This Row],[Week]]))</f>
        <v>14</v>
      </c>
      <c r="T392">
        <f>IF(Games[[#This Row],[Team]]="","",_xlfn.MAXIFS(Games[Week],Games[Team],Games[[#This Row],[Team]],Games[Season],Games[[#This Row],[Season]],Games[Week],"&lt;"&amp;Games[[#This Row],[Week]]))</f>
        <v>14</v>
      </c>
      <c r="U392">
        <f>IF(Games[[#This Row],[Team]]="","",_xlfn.MAXIFS(Games[Week],Games[Team],Games[[#This Row],[Opponent]],Games[Season],Games[[#This Row],[Season]],Games[Week],"&lt;"&amp;Games[[#This Row],[Week]]))</f>
        <v>14</v>
      </c>
      <c r="V39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4</v>
      </c>
      <c r="W39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4</v>
      </c>
      <c r="X39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9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1455.9991241071243</v>
      </c>
      <c r="Z39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1567.6241438483544</v>
      </c>
      <c r="AA39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0.44322098183611885</v>
      </c>
      <c r="AB392">
        <f>IF(Games[[#This Row],[Team]]="","",Games[[#This Row],[PointsFor]]-Games[[#This Row],[PointsAgainst]])</f>
        <v>27</v>
      </c>
      <c r="AC392">
        <f>IF(Games[[#This Row],[Team]]="","",IF(Games[[#This Row],[MOV]]&gt;0,1,IF(Games[[#This Row],[MOV]]=0,0.5,0)))</f>
        <v>1</v>
      </c>
      <c r="AD392">
        <f>IF(Games[[#This Row],[Team]]="","",--(OR(AND(Games[[#This Row],[ExpectedWin]]&gt;=0.5,Games[[#This Row],[Result]]=1),AND(Games[[#This Row],[ExpectedWin]]&lt;0.5,Games[[#This Row],[Result]]=0))))</f>
        <v>0</v>
      </c>
      <c r="AE392">
        <f>IF(Games[[#This Row],[Team]]="","",-(Games[[#This Row],[Result]]*LN(Games[[#This Row],[ExpectedWin]])+(1-Games[[#This Row],[Result]])*LN(1-Games[[#This Row],[ExpectedWin]])))</f>
        <v>0.81368680298165152</v>
      </c>
      <c r="AF392">
        <f>IF(Games[[#This Row],[Team]]="","",IF(Games[[#This Row],[Season]]&gt;=2021,17,16))</f>
        <v>16</v>
      </c>
      <c r="AG392">
        <f>IF(Games[[#This Row],[Team]]="","",KMax-(KMax-KFloor)*MIN(Games[[#This Row],[GamesPlayed]],Games[[#This Row],[SeasonLen]])/Games[[#This Row],[SeasonLen]])</f>
        <v>37.425000000000004</v>
      </c>
      <c r="AH392">
        <f>IF(Games[[#This Row],[Team]]="","",((ABS(Games[[#This Row],[MOV]])+3)^0.8)/(7.5+0.006*ABS(Games[[#This Row],[PreGmRate]]-Games[[#This Row],[OppPreGmRate]]))*IF(Games[[#This Row],[OT]]=1,0.7,1))</f>
        <v>1.8598941587030149</v>
      </c>
      <c r="AI39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2">
        <f>IF(Games[[#This Row],[Team]]="","",Games[[#This Row],[K]]*IF(Games[[#This Row],[DivG]]=1,DivMult,1)*IF(Games[[#This Row],[ConfG]]=1,ConfMult,1)*Games[[#This Row],[POMult]])</f>
        <v>37.425000000000004</v>
      </c>
      <c r="AK392">
        <f>IF(Games[[#This Row],[Team]]="","",(Games[[#This Row],[Keff]]*Games[[#This Row],[MOVMult]])*(Games[[#This Row],[Result]]-Games[[#This Row],[ExpectedWin]]))</f>
        <v>38.755460380659741</v>
      </c>
      <c r="AL392">
        <f>IF(Games[[#This Row],[Team]]="","",Games[[#This Row],[PreGmRate]]+Games[[#This Row],[RatingChange]])</f>
        <v>1494.7545844877841</v>
      </c>
      <c r="AM392">
        <f>IF(Games[[#This Row],[Team]]="","",IF(Games[[#This Row],[Type]]="R",IF(Games[[#This Row],[Result]]&gt;0.5,1,0),0))</f>
        <v>1</v>
      </c>
      <c r="AN392">
        <f>IF(Games[[#This Row],[Team]]="","",IF(Games[[#This Row],[Type]]="R",IF(Games[[#This Row],[Result]]&lt;0.5,1,0),0))</f>
        <v>0</v>
      </c>
      <c r="AO392">
        <f>IF(Games[[#This Row],[Team]]="","",IF(Games[[#This Row],[Type]]="R",IF(Games[[#This Row],[Result]]=0.5,1,0),0))</f>
        <v>0</v>
      </c>
    </row>
    <row r="393" spans="1:41" x14ac:dyDescent="0.35">
      <c r="A393" s="8">
        <v>35404</v>
      </c>
      <c r="B393">
        <v>1996</v>
      </c>
      <c r="C393" t="s">
        <v>197</v>
      </c>
      <c r="D393" t="s">
        <v>199</v>
      </c>
      <c r="E393" t="s">
        <v>141</v>
      </c>
      <c r="F393" t="s">
        <v>122</v>
      </c>
      <c r="G393" t="s">
        <v>201</v>
      </c>
      <c r="H393">
        <v>10</v>
      </c>
      <c r="I393">
        <v>37</v>
      </c>
      <c r="J393">
        <v>0</v>
      </c>
      <c r="K39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9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9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9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93">
        <f>IF(Games[[#This Row],[Team]]="","",IF(Games[[#This Row],[Conf]]=Games[[#This Row],[OppConf]],1,0))</f>
        <v>0</v>
      </c>
      <c r="P393">
        <f>IF(Games[[#This Row],[Team]]="","",IF(AND(Games[[#This Row],[Conf]]=Games[[#This Row],[OppConf]],Games[[#This Row],[Div]]=Games[[#This Row],[OppDiv]]),1,0))</f>
        <v>0</v>
      </c>
      <c r="Q393">
        <f>IF(Games[[#This Row],[Team]]="","",_xlfn.MINIFS(Games[Date],Games[Season],Games[[#This Row],[Season]]))</f>
        <v>35309</v>
      </c>
      <c r="R393">
        <f>IF(Games[[#This Row],[Team]]="","",INT((Games[[#This Row],[Date]]-(Games[[#This Row],[SeasonStart]]-MOD(WEEKDAY(Games[[#This Row],[SeasonStart]],2)-2,7)))/7)+1)</f>
        <v>15</v>
      </c>
      <c r="S393">
        <f>IF(Games[[#This Row],[Team]]="","",COUNTIFS(Games[Team],Games[[#This Row],[Team]],Games[Season],Games[[#This Row],[Season]],Games[Week],"&lt;="&amp;Games[[#This Row],[Week]]))</f>
        <v>14</v>
      </c>
      <c r="T393">
        <f>IF(Games[[#This Row],[Team]]="","",_xlfn.MAXIFS(Games[Week],Games[Team],Games[[#This Row],[Team]],Games[Season],Games[[#This Row],[Season]],Games[Week],"&lt;"&amp;Games[[#This Row],[Week]]))</f>
        <v>14</v>
      </c>
      <c r="U393">
        <f>IF(Games[[#This Row],[Team]]="","",_xlfn.MAXIFS(Games[Week],Games[Team],Games[[#This Row],[Opponent]],Games[Season],Games[[#This Row],[Season]],Games[Week],"&lt;"&amp;Games[[#This Row],[Week]]))</f>
        <v>14</v>
      </c>
      <c r="V39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4</v>
      </c>
      <c r="W39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4</v>
      </c>
      <c r="X39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9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1567.6241438483544</v>
      </c>
      <c r="Z39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1455.9991241071243</v>
      </c>
      <c r="AA39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0.55677901816388109</v>
      </c>
      <c r="AB393">
        <f>IF(Games[[#This Row],[Team]]="","",Games[[#This Row],[PointsFor]]-Games[[#This Row],[PointsAgainst]])</f>
        <v>-27</v>
      </c>
      <c r="AC393">
        <f>IF(Games[[#This Row],[Team]]="","",IF(Games[[#This Row],[MOV]]&gt;0,1,IF(Games[[#This Row],[MOV]]=0,0.5,0)))</f>
        <v>0</v>
      </c>
      <c r="AD393">
        <f>IF(Games[[#This Row],[Team]]="","",--(OR(AND(Games[[#This Row],[ExpectedWin]]&gt;=0.5,Games[[#This Row],[Result]]=1),AND(Games[[#This Row],[ExpectedWin]]&lt;0.5,Games[[#This Row],[Result]]=0))))</f>
        <v>0</v>
      </c>
      <c r="AE393">
        <f>IF(Games[[#This Row],[Team]]="","",-(Games[[#This Row],[Result]]*LN(Games[[#This Row],[ExpectedWin]])+(1-Games[[#This Row],[Result]])*LN(1-Games[[#This Row],[ExpectedWin]])))</f>
        <v>0.81368680298165141</v>
      </c>
      <c r="AF393">
        <f>IF(Games[[#This Row],[Team]]="","",IF(Games[[#This Row],[Season]]&gt;=2021,17,16))</f>
        <v>16</v>
      </c>
      <c r="AG393">
        <f>IF(Games[[#This Row],[Team]]="","",KMax-(KMax-KFloor)*MIN(Games[[#This Row],[GamesPlayed]],Games[[#This Row],[SeasonLen]])/Games[[#This Row],[SeasonLen]])</f>
        <v>37.425000000000004</v>
      </c>
      <c r="AH393">
        <f>IF(Games[[#This Row],[Team]]="","",((ABS(Games[[#This Row],[MOV]])+3)^0.8)/(7.5+0.006*ABS(Games[[#This Row],[PreGmRate]]-Games[[#This Row],[OppPreGmRate]]))*IF(Games[[#This Row],[OT]]=1,0.7,1))</f>
        <v>1.8598941587030149</v>
      </c>
      <c r="AI39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3">
        <f>IF(Games[[#This Row],[Team]]="","",Games[[#This Row],[K]]*IF(Games[[#This Row],[DivG]]=1,DivMult,1)*IF(Games[[#This Row],[ConfG]]=1,ConfMult,1)*Games[[#This Row],[POMult]])</f>
        <v>37.425000000000004</v>
      </c>
      <c r="AK393">
        <f>IF(Games[[#This Row],[Team]]="","",(Games[[#This Row],[Keff]]*Games[[#This Row],[MOVMult]])*(Games[[#This Row],[Result]]-Games[[#This Row],[ExpectedWin]]))</f>
        <v>-38.755460380659734</v>
      </c>
      <c r="AL393">
        <f>IF(Games[[#This Row],[Team]]="","",Games[[#This Row],[PreGmRate]]+Games[[#This Row],[RatingChange]])</f>
        <v>1528.8686834676946</v>
      </c>
      <c r="AM393">
        <f>IF(Games[[#This Row],[Team]]="","",IF(Games[[#This Row],[Type]]="R",IF(Games[[#This Row],[Result]]&gt;0.5,1,0),0))</f>
        <v>0</v>
      </c>
      <c r="AN393">
        <f>IF(Games[[#This Row],[Team]]="","",IF(Games[[#This Row],[Type]]="R",IF(Games[[#This Row],[Result]]&lt;0.5,1,0),0))</f>
        <v>1</v>
      </c>
      <c r="AO393">
        <f>IF(Games[[#This Row],[Team]]="","",IF(Games[[#This Row],[Type]]="R",IF(Games[[#This Row],[Result]]=0.5,1,0),0))</f>
        <v>0</v>
      </c>
    </row>
    <row r="394" spans="1:41" x14ac:dyDescent="0.35">
      <c r="A394" s="8">
        <v>35407</v>
      </c>
      <c r="B394">
        <v>1996</v>
      </c>
      <c r="C394" t="s">
        <v>197</v>
      </c>
      <c r="D394" t="s">
        <v>199</v>
      </c>
      <c r="E394" t="s">
        <v>98</v>
      </c>
      <c r="F394" t="s">
        <v>134</v>
      </c>
      <c r="G394" t="s">
        <v>201</v>
      </c>
      <c r="H394">
        <v>31</v>
      </c>
      <c r="I394">
        <v>15</v>
      </c>
      <c r="J394">
        <v>0</v>
      </c>
      <c r="K39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9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9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9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94">
        <f>IF(Games[[#This Row],[Team]]="","",IF(Games[[#This Row],[Conf]]=Games[[#This Row],[OppConf]],1,0))</f>
        <v>1</v>
      </c>
      <c r="P394">
        <f>IF(Games[[#This Row],[Team]]="","",IF(AND(Games[[#This Row],[Conf]]=Games[[#This Row],[OppConf]],Games[[#This Row],[Div]]=Games[[#This Row],[OppDiv]]),1,0))</f>
        <v>1</v>
      </c>
      <c r="Q394">
        <f>IF(Games[[#This Row],[Team]]="","",_xlfn.MINIFS(Games[Date],Games[Season],Games[[#This Row],[Season]]))</f>
        <v>35309</v>
      </c>
      <c r="R394">
        <f>IF(Games[[#This Row],[Team]]="","",INT((Games[[#This Row],[Date]]-(Games[[#This Row],[SeasonStart]]-MOD(WEEKDAY(Games[[#This Row],[SeasonStart]],2)-2,7)))/7)+1)</f>
        <v>15</v>
      </c>
      <c r="S394">
        <f>IF(Games[[#This Row],[Team]]="","",COUNTIFS(Games[Team],Games[[#This Row],[Team]],Games[Season],Games[[#This Row],[Season]],Games[Week],"&lt;="&amp;Games[[#This Row],[Week]]))</f>
        <v>14</v>
      </c>
      <c r="T394">
        <f>IF(Games[[#This Row],[Team]]="","",_xlfn.MAXIFS(Games[Week],Games[Team],Games[[#This Row],[Team]],Games[Season],Games[[#This Row],[Season]],Games[Week],"&lt;"&amp;Games[[#This Row],[Week]]))</f>
        <v>14</v>
      </c>
      <c r="U394">
        <f>IF(Games[[#This Row],[Team]]="","",_xlfn.MAXIFS(Games[Week],Games[Team],Games[[#This Row],[Opponent]],Games[Season],Games[[#This Row],[Season]],Games[Week],"&lt;"&amp;Games[[#This Row],[Week]]))</f>
        <v>14</v>
      </c>
      <c r="V39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39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9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39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1314.7459258663578</v>
      </c>
      <c r="Z39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1320.5212295374988</v>
      </c>
      <c r="AA39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0.38172109986535679</v>
      </c>
      <c r="AB394">
        <f>IF(Games[[#This Row],[Team]]="","",Games[[#This Row],[PointsFor]]-Games[[#This Row],[PointsAgainst]])</f>
        <v>16</v>
      </c>
      <c r="AC394">
        <f>IF(Games[[#This Row],[Team]]="","",IF(Games[[#This Row],[MOV]]&gt;0,1,IF(Games[[#This Row],[MOV]]=0,0.5,0)))</f>
        <v>1</v>
      </c>
      <c r="AD394">
        <f>IF(Games[[#This Row],[Team]]="","",--(OR(AND(Games[[#This Row],[ExpectedWin]]&gt;=0.5,Games[[#This Row],[Result]]=1),AND(Games[[#This Row],[ExpectedWin]]&lt;0.5,Games[[#This Row],[Result]]=0))))</f>
        <v>0</v>
      </c>
      <c r="AE394">
        <f>IF(Games[[#This Row],[Team]]="","",-(Games[[#This Row],[Result]]*LN(Games[[#This Row],[ExpectedWin]])+(1-Games[[#This Row],[Result]])*LN(1-Games[[#This Row],[ExpectedWin]])))</f>
        <v>0.96306504209657495</v>
      </c>
      <c r="AF394">
        <f>IF(Games[[#This Row],[Team]]="","",IF(Games[[#This Row],[Season]]&gt;=2021,17,16))</f>
        <v>16</v>
      </c>
      <c r="AG394">
        <f>IF(Games[[#This Row],[Team]]="","",KMax-(KMax-KFloor)*MIN(Games[[#This Row],[GamesPlayed]],Games[[#This Row],[SeasonLen]])/Games[[#This Row],[SeasonLen]])</f>
        <v>37.425000000000004</v>
      </c>
      <c r="AH394">
        <f>IF(Games[[#This Row],[Team]]="","",((ABS(Games[[#This Row],[MOV]])+3)^0.8)/(7.5+0.006*ABS(Games[[#This Row],[PreGmRate]]-Games[[#This Row],[OppPreGmRate]]))*IF(Games[[#This Row],[OT]]=1,0.7,1))</f>
        <v>1.3993929849438453</v>
      </c>
      <c r="AI39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4">
        <f>IF(Games[[#This Row],[Team]]="","",Games[[#This Row],[K]]*IF(Games[[#This Row],[DivG]]=1,DivMult,1)*IF(Games[[#This Row],[ConfG]]=1,ConfMult,1)*Games[[#This Row],[POMult]])</f>
        <v>41.990850000000009</v>
      </c>
      <c r="AK394">
        <f>IF(Games[[#This Row],[Team]]="","",(Games[[#This Row],[Keff]]*Games[[#This Row],[MOVMult]])*(Games[[#This Row],[Result]]-Games[[#This Row],[ExpectedWin]]))</f>
        <v>36.331119815989453</v>
      </c>
      <c r="AL394">
        <f>IF(Games[[#This Row],[Team]]="","",Games[[#This Row],[PreGmRate]]+Games[[#This Row],[RatingChange]])</f>
        <v>1351.0770456823473</v>
      </c>
      <c r="AM394">
        <f>IF(Games[[#This Row],[Team]]="","",IF(Games[[#This Row],[Type]]="R",IF(Games[[#This Row],[Result]]&gt;0.5,1,0),0))</f>
        <v>1</v>
      </c>
      <c r="AN394">
        <f>IF(Games[[#This Row],[Team]]="","",IF(Games[[#This Row],[Type]]="R",IF(Games[[#This Row],[Result]]&lt;0.5,1,0),0))</f>
        <v>0</v>
      </c>
      <c r="AO394">
        <f>IF(Games[[#This Row],[Team]]="","",IF(Games[[#This Row],[Type]]="R",IF(Games[[#This Row],[Result]]=0.5,1,0),0))</f>
        <v>0</v>
      </c>
    </row>
    <row r="395" spans="1:41" x14ac:dyDescent="0.35">
      <c r="A395" s="8">
        <v>35407</v>
      </c>
      <c r="B395">
        <v>1996</v>
      </c>
      <c r="C395" t="s">
        <v>197</v>
      </c>
      <c r="D395" t="s">
        <v>199</v>
      </c>
      <c r="E395" t="s">
        <v>134</v>
      </c>
      <c r="F395" t="s">
        <v>98</v>
      </c>
      <c r="G395" t="s">
        <v>200</v>
      </c>
      <c r="H395">
        <v>15</v>
      </c>
      <c r="I395">
        <v>31</v>
      </c>
      <c r="J395">
        <v>0</v>
      </c>
      <c r="K39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9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9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9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95">
        <f>IF(Games[[#This Row],[Team]]="","",IF(Games[[#This Row],[Conf]]=Games[[#This Row],[OppConf]],1,0))</f>
        <v>1</v>
      </c>
      <c r="P395">
        <f>IF(Games[[#This Row],[Team]]="","",IF(AND(Games[[#This Row],[Conf]]=Games[[#This Row],[OppConf]],Games[[#This Row],[Div]]=Games[[#This Row],[OppDiv]]),1,0))</f>
        <v>1</v>
      </c>
      <c r="Q395">
        <f>IF(Games[[#This Row],[Team]]="","",_xlfn.MINIFS(Games[Date],Games[Season],Games[[#This Row],[Season]]))</f>
        <v>35309</v>
      </c>
      <c r="R395">
        <f>IF(Games[[#This Row],[Team]]="","",INT((Games[[#This Row],[Date]]-(Games[[#This Row],[SeasonStart]]-MOD(WEEKDAY(Games[[#This Row],[SeasonStart]],2)-2,7)))/7)+1)</f>
        <v>15</v>
      </c>
      <c r="S395">
        <f>IF(Games[[#This Row],[Team]]="","",COUNTIFS(Games[Team],Games[[#This Row],[Team]],Games[Season],Games[[#This Row],[Season]],Games[Week],"&lt;="&amp;Games[[#This Row],[Week]]))</f>
        <v>14</v>
      </c>
      <c r="T395">
        <f>IF(Games[[#This Row],[Team]]="","",_xlfn.MAXIFS(Games[Week],Games[Team],Games[[#This Row],[Team]],Games[Season],Games[[#This Row],[Season]],Games[Week],"&lt;"&amp;Games[[#This Row],[Week]]))</f>
        <v>14</v>
      </c>
      <c r="U395">
        <f>IF(Games[[#This Row],[Team]]="","",_xlfn.MAXIFS(Games[Week],Games[Team],Games[[#This Row],[Opponent]],Games[Season],Games[[#This Row],[Season]],Games[Week],"&lt;"&amp;Games[[#This Row],[Week]]))</f>
        <v>14</v>
      </c>
      <c r="V39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9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39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39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1320.5212295374988</v>
      </c>
      <c r="Z39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1314.7459258663578</v>
      </c>
      <c r="AA39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0.61827890013464315</v>
      </c>
      <c r="AB395">
        <f>IF(Games[[#This Row],[Team]]="","",Games[[#This Row],[PointsFor]]-Games[[#This Row],[PointsAgainst]])</f>
        <v>-16</v>
      </c>
      <c r="AC395">
        <f>IF(Games[[#This Row],[Team]]="","",IF(Games[[#This Row],[MOV]]&gt;0,1,IF(Games[[#This Row],[MOV]]=0,0.5,0)))</f>
        <v>0</v>
      </c>
      <c r="AD395">
        <f>IF(Games[[#This Row],[Team]]="","",--(OR(AND(Games[[#This Row],[ExpectedWin]]&gt;=0.5,Games[[#This Row],[Result]]=1),AND(Games[[#This Row],[ExpectedWin]]&lt;0.5,Games[[#This Row],[Result]]=0))))</f>
        <v>0</v>
      </c>
      <c r="AE395">
        <f>IF(Games[[#This Row],[Team]]="","",-(Games[[#This Row],[Result]]*LN(Games[[#This Row],[ExpectedWin]])+(1-Games[[#This Row],[Result]])*LN(1-Games[[#This Row],[ExpectedWin]])))</f>
        <v>0.96306504209657473</v>
      </c>
      <c r="AF395">
        <f>IF(Games[[#This Row],[Team]]="","",IF(Games[[#This Row],[Season]]&gt;=2021,17,16))</f>
        <v>16</v>
      </c>
      <c r="AG395">
        <f>IF(Games[[#This Row],[Team]]="","",KMax-(KMax-KFloor)*MIN(Games[[#This Row],[GamesPlayed]],Games[[#This Row],[SeasonLen]])/Games[[#This Row],[SeasonLen]])</f>
        <v>37.425000000000004</v>
      </c>
      <c r="AH395">
        <f>IF(Games[[#This Row],[Team]]="","",((ABS(Games[[#This Row],[MOV]])+3)^0.8)/(7.5+0.006*ABS(Games[[#This Row],[PreGmRate]]-Games[[#This Row],[OppPreGmRate]]))*IF(Games[[#This Row],[OT]]=1,0.7,1))</f>
        <v>1.3993929849438453</v>
      </c>
      <c r="AI39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5">
        <f>IF(Games[[#This Row],[Team]]="","",Games[[#This Row],[K]]*IF(Games[[#This Row],[DivG]]=1,DivMult,1)*IF(Games[[#This Row],[ConfG]]=1,ConfMult,1)*Games[[#This Row],[POMult]])</f>
        <v>41.990850000000009</v>
      </c>
      <c r="AK395">
        <f>IF(Games[[#This Row],[Team]]="","",(Games[[#This Row],[Keff]]*Games[[#This Row],[MOVMult]])*(Games[[#This Row],[Result]]-Games[[#This Row],[ExpectedWin]]))</f>
        <v>-36.331119815989453</v>
      </c>
      <c r="AL395">
        <f>IF(Games[[#This Row],[Team]]="","",Games[[#This Row],[PreGmRate]]+Games[[#This Row],[RatingChange]])</f>
        <v>1284.1901097215093</v>
      </c>
      <c r="AM395">
        <f>IF(Games[[#This Row],[Team]]="","",IF(Games[[#This Row],[Type]]="R",IF(Games[[#This Row],[Result]]&gt;0.5,1,0),0))</f>
        <v>0</v>
      </c>
      <c r="AN395">
        <f>IF(Games[[#This Row],[Team]]="","",IF(Games[[#This Row],[Type]]="R",IF(Games[[#This Row],[Result]]&lt;0.5,1,0),0))</f>
        <v>1</v>
      </c>
      <c r="AO395">
        <f>IF(Games[[#This Row],[Team]]="","",IF(Games[[#This Row],[Type]]="R",IF(Games[[#This Row],[Result]]=0.5,1,0),0))</f>
        <v>0</v>
      </c>
    </row>
    <row r="396" spans="1:41" x14ac:dyDescent="0.35">
      <c r="A396" s="8">
        <v>35407</v>
      </c>
      <c r="B396">
        <v>1996</v>
      </c>
      <c r="C396" t="s">
        <v>197</v>
      </c>
      <c r="D396" t="s">
        <v>199</v>
      </c>
      <c r="E396" t="s">
        <v>110</v>
      </c>
      <c r="F396" t="s">
        <v>150</v>
      </c>
      <c r="G396" t="s">
        <v>200</v>
      </c>
      <c r="H396">
        <v>35</v>
      </c>
      <c r="I396">
        <v>9</v>
      </c>
      <c r="J396">
        <v>0</v>
      </c>
      <c r="K39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9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9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9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96">
        <f>IF(Games[[#This Row],[Team]]="","",IF(Games[[#This Row],[Conf]]=Games[[#This Row],[OppConf]],1,0))</f>
        <v>1</v>
      </c>
      <c r="P396">
        <f>IF(Games[[#This Row],[Team]]="","",IF(AND(Games[[#This Row],[Conf]]=Games[[#This Row],[OppConf]],Games[[#This Row],[Div]]=Games[[#This Row],[OppDiv]]),1,0))</f>
        <v>0</v>
      </c>
      <c r="Q396">
        <f>IF(Games[[#This Row],[Team]]="","",_xlfn.MINIFS(Games[Date],Games[Season],Games[[#This Row],[Season]]))</f>
        <v>35309</v>
      </c>
      <c r="R396">
        <f>IF(Games[[#This Row],[Team]]="","",INT((Games[[#This Row],[Date]]-(Games[[#This Row],[SeasonStart]]-MOD(WEEKDAY(Games[[#This Row],[SeasonStart]],2)-2,7)))/7)+1)</f>
        <v>15</v>
      </c>
      <c r="S396">
        <f>IF(Games[[#This Row],[Team]]="","",COUNTIFS(Games[Team],Games[[#This Row],[Team]],Games[Season],Games[[#This Row],[Season]],Games[Week],"&lt;="&amp;Games[[#This Row],[Week]]))</f>
        <v>14</v>
      </c>
      <c r="T396">
        <f>IF(Games[[#This Row],[Team]]="","",_xlfn.MAXIFS(Games[Week],Games[Team],Games[[#This Row],[Team]],Games[Season],Games[[#This Row],[Season]],Games[Week],"&lt;"&amp;Games[[#This Row],[Week]]))</f>
        <v>14</v>
      </c>
      <c r="U396">
        <f>IF(Games[[#This Row],[Team]]="","",_xlfn.MAXIFS(Games[Week],Games[Team],Games[[#This Row],[Opponent]],Games[Season],Games[[#This Row],[Season]],Games[Week],"&lt;"&amp;Games[[#This Row],[Week]]))</f>
        <v>14</v>
      </c>
      <c r="V39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9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9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9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1453.9190953527052</v>
      </c>
      <c r="Z39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1430.8947006803719</v>
      </c>
      <c r="AA39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0.63344030694979769</v>
      </c>
      <c r="AB396">
        <f>IF(Games[[#This Row],[Team]]="","",Games[[#This Row],[PointsFor]]-Games[[#This Row],[PointsAgainst]])</f>
        <v>26</v>
      </c>
      <c r="AC396">
        <f>IF(Games[[#This Row],[Team]]="","",IF(Games[[#This Row],[MOV]]&gt;0,1,IF(Games[[#This Row],[MOV]]=0,0.5,0)))</f>
        <v>1</v>
      </c>
      <c r="AD396">
        <f>IF(Games[[#This Row],[Team]]="","",--(OR(AND(Games[[#This Row],[ExpectedWin]]&gt;=0.5,Games[[#This Row],[Result]]=1),AND(Games[[#This Row],[ExpectedWin]]&lt;0.5,Games[[#This Row],[Result]]=0))))</f>
        <v>1</v>
      </c>
      <c r="AE396">
        <f>IF(Games[[#This Row],[Team]]="","",-(Games[[#This Row],[Result]]*LN(Games[[#This Row],[ExpectedWin]])+(1-Games[[#This Row],[Result]])*LN(1-Games[[#This Row],[ExpectedWin]])))</f>
        <v>0.45658951104847145</v>
      </c>
      <c r="AF396">
        <f>IF(Games[[#This Row],[Team]]="","",IF(Games[[#This Row],[Season]]&gt;=2021,17,16))</f>
        <v>16</v>
      </c>
      <c r="AG396">
        <f>IF(Games[[#This Row],[Team]]="","",KMax-(KMax-KFloor)*MIN(Games[[#This Row],[GamesPlayed]],Games[[#This Row],[SeasonLen]])/Games[[#This Row],[SeasonLen]])</f>
        <v>37.425000000000004</v>
      </c>
      <c r="AH396">
        <f>IF(Games[[#This Row],[Team]]="","",((ABS(Games[[#This Row],[MOV]])+3)^0.8)/(7.5+0.006*ABS(Games[[#This Row],[PreGmRate]]-Games[[#This Row],[OppPreGmRate]]))*IF(Games[[#This Row],[OT]]=1,0.7,1))</f>
        <v>1.9361117556870138</v>
      </c>
      <c r="AI39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6">
        <f>IF(Games[[#This Row],[Team]]="","",Games[[#This Row],[K]]*IF(Games[[#This Row],[DivG]]=1,DivMult,1)*IF(Games[[#This Row],[ConfG]]=1,ConfMult,1)*Games[[#This Row],[POMult]])</f>
        <v>38.173500000000004</v>
      </c>
      <c r="AK396">
        <f>IF(Games[[#This Row],[Team]]="","",(Games[[#This Row],[Keff]]*Games[[#This Row],[MOVMult]])*(Games[[#This Row],[Result]]-Games[[#This Row],[ExpectedWin]]))</f>
        <v>27.09175321537667</v>
      </c>
      <c r="AL396">
        <f>IF(Games[[#This Row],[Team]]="","",Games[[#This Row],[PreGmRate]]+Games[[#This Row],[RatingChange]])</f>
        <v>1481.0108485680819</v>
      </c>
      <c r="AM396">
        <f>IF(Games[[#This Row],[Team]]="","",IF(Games[[#This Row],[Type]]="R",IF(Games[[#This Row],[Result]]&gt;0.5,1,0),0))</f>
        <v>1</v>
      </c>
      <c r="AN396">
        <f>IF(Games[[#This Row],[Team]]="","",IF(Games[[#This Row],[Type]]="R",IF(Games[[#This Row],[Result]]&lt;0.5,1,0),0))</f>
        <v>0</v>
      </c>
      <c r="AO396">
        <f>IF(Games[[#This Row],[Team]]="","",IF(Games[[#This Row],[Type]]="R",IF(Games[[#This Row],[Result]]=0.5,1,0),0))</f>
        <v>0</v>
      </c>
    </row>
    <row r="397" spans="1:41" x14ac:dyDescent="0.35">
      <c r="A397" s="8">
        <v>35407</v>
      </c>
      <c r="B397">
        <v>1996</v>
      </c>
      <c r="C397" t="s">
        <v>197</v>
      </c>
      <c r="D397" t="s">
        <v>199</v>
      </c>
      <c r="E397" t="s">
        <v>150</v>
      </c>
      <c r="F397" t="s">
        <v>110</v>
      </c>
      <c r="G397" t="s">
        <v>201</v>
      </c>
      <c r="H397">
        <v>9</v>
      </c>
      <c r="I397">
        <v>35</v>
      </c>
      <c r="J397">
        <v>0</v>
      </c>
      <c r="K39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9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9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9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97">
        <f>IF(Games[[#This Row],[Team]]="","",IF(Games[[#This Row],[Conf]]=Games[[#This Row],[OppConf]],1,0))</f>
        <v>1</v>
      </c>
      <c r="P397">
        <f>IF(Games[[#This Row],[Team]]="","",IF(AND(Games[[#This Row],[Conf]]=Games[[#This Row],[OppConf]],Games[[#This Row],[Div]]=Games[[#This Row],[OppDiv]]),1,0))</f>
        <v>0</v>
      </c>
      <c r="Q397">
        <f>IF(Games[[#This Row],[Team]]="","",_xlfn.MINIFS(Games[Date],Games[Season],Games[[#This Row],[Season]]))</f>
        <v>35309</v>
      </c>
      <c r="R397">
        <f>IF(Games[[#This Row],[Team]]="","",INT((Games[[#This Row],[Date]]-(Games[[#This Row],[SeasonStart]]-MOD(WEEKDAY(Games[[#This Row],[SeasonStart]],2)-2,7)))/7)+1)</f>
        <v>15</v>
      </c>
      <c r="S397">
        <f>IF(Games[[#This Row],[Team]]="","",COUNTIFS(Games[Team],Games[[#This Row],[Team]],Games[Season],Games[[#This Row],[Season]],Games[Week],"&lt;="&amp;Games[[#This Row],[Week]]))</f>
        <v>14</v>
      </c>
      <c r="T397">
        <f>IF(Games[[#This Row],[Team]]="","",_xlfn.MAXIFS(Games[Week],Games[Team],Games[[#This Row],[Team]],Games[Season],Games[[#This Row],[Season]],Games[Week],"&lt;"&amp;Games[[#This Row],[Week]]))</f>
        <v>14</v>
      </c>
      <c r="U397">
        <f>IF(Games[[#This Row],[Team]]="","",_xlfn.MAXIFS(Games[Week],Games[Team],Games[[#This Row],[Opponent]],Games[Season],Games[[#This Row],[Season]],Games[Week],"&lt;"&amp;Games[[#This Row],[Week]]))</f>
        <v>14</v>
      </c>
      <c r="V39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9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9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9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1430.8947006803719</v>
      </c>
      <c r="Z39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1453.9190953527052</v>
      </c>
      <c r="AA39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0.36655969305020242</v>
      </c>
      <c r="AB397">
        <f>IF(Games[[#This Row],[Team]]="","",Games[[#This Row],[PointsFor]]-Games[[#This Row],[PointsAgainst]])</f>
        <v>-26</v>
      </c>
      <c r="AC397">
        <f>IF(Games[[#This Row],[Team]]="","",IF(Games[[#This Row],[MOV]]&gt;0,1,IF(Games[[#This Row],[MOV]]=0,0.5,0)))</f>
        <v>0</v>
      </c>
      <c r="AD397">
        <f>IF(Games[[#This Row],[Team]]="","",--(OR(AND(Games[[#This Row],[ExpectedWin]]&gt;=0.5,Games[[#This Row],[Result]]=1),AND(Games[[#This Row],[ExpectedWin]]&lt;0.5,Games[[#This Row],[Result]]=0))))</f>
        <v>1</v>
      </c>
      <c r="AE397">
        <f>IF(Games[[#This Row],[Team]]="","",-(Games[[#This Row],[Result]]*LN(Games[[#This Row],[ExpectedWin]])+(1-Games[[#This Row],[Result]])*LN(1-Games[[#This Row],[ExpectedWin]])))</f>
        <v>0.45658951104847162</v>
      </c>
      <c r="AF397">
        <f>IF(Games[[#This Row],[Team]]="","",IF(Games[[#This Row],[Season]]&gt;=2021,17,16))</f>
        <v>16</v>
      </c>
      <c r="AG397">
        <f>IF(Games[[#This Row],[Team]]="","",KMax-(KMax-KFloor)*MIN(Games[[#This Row],[GamesPlayed]],Games[[#This Row],[SeasonLen]])/Games[[#This Row],[SeasonLen]])</f>
        <v>37.425000000000004</v>
      </c>
      <c r="AH397">
        <f>IF(Games[[#This Row],[Team]]="","",((ABS(Games[[#This Row],[MOV]])+3)^0.8)/(7.5+0.006*ABS(Games[[#This Row],[PreGmRate]]-Games[[#This Row],[OppPreGmRate]]))*IF(Games[[#This Row],[OT]]=1,0.7,1))</f>
        <v>1.9361117556870138</v>
      </c>
      <c r="AI39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7">
        <f>IF(Games[[#This Row],[Team]]="","",Games[[#This Row],[K]]*IF(Games[[#This Row],[DivG]]=1,DivMult,1)*IF(Games[[#This Row],[ConfG]]=1,ConfMult,1)*Games[[#This Row],[POMult]])</f>
        <v>38.173500000000004</v>
      </c>
      <c r="AK397">
        <f>IF(Games[[#This Row],[Team]]="","",(Games[[#This Row],[Keff]]*Games[[#This Row],[MOVMult]])*(Games[[#This Row],[Result]]-Games[[#This Row],[ExpectedWin]]))</f>
        <v>-27.091753215376677</v>
      </c>
      <c r="AL397">
        <f>IF(Games[[#This Row],[Team]]="","",Games[[#This Row],[PreGmRate]]+Games[[#This Row],[RatingChange]])</f>
        <v>1403.8029474649952</v>
      </c>
      <c r="AM397">
        <f>IF(Games[[#This Row],[Team]]="","",IF(Games[[#This Row],[Type]]="R",IF(Games[[#This Row],[Result]]&gt;0.5,1,0),0))</f>
        <v>0</v>
      </c>
      <c r="AN397">
        <f>IF(Games[[#This Row],[Team]]="","",IF(Games[[#This Row],[Type]]="R",IF(Games[[#This Row],[Result]]&lt;0.5,1,0),0))</f>
        <v>1</v>
      </c>
      <c r="AO397">
        <f>IF(Games[[#This Row],[Team]]="","",IF(Games[[#This Row],[Type]]="R",IF(Games[[#This Row],[Result]]=0.5,1,0),0))</f>
        <v>0</v>
      </c>
    </row>
    <row r="398" spans="1:41" x14ac:dyDescent="0.35">
      <c r="A398" s="8">
        <v>35407</v>
      </c>
      <c r="B398">
        <v>1996</v>
      </c>
      <c r="C398" t="s">
        <v>197</v>
      </c>
      <c r="D398" t="s">
        <v>199</v>
      </c>
      <c r="E398" t="s">
        <v>112</v>
      </c>
      <c r="F398" t="s">
        <v>101</v>
      </c>
      <c r="G398" t="s">
        <v>200</v>
      </c>
      <c r="H398">
        <v>21</v>
      </c>
      <c r="I398">
        <v>14</v>
      </c>
      <c r="J398">
        <v>0</v>
      </c>
      <c r="K39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9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9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9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98">
        <f>IF(Games[[#This Row],[Team]]="","",IF(Games[[#This Row],[Conf]]=Games[[#This Row],[OppConf]],1,0))</f>
        <v>1</v>
      </c>
      <c r="P398">
        <f>IF(Games[[#This Row],[Team]]="","",IF(AND(Games[[#This Row],[Conf]]=Games[[#This Row],[OppConf]],Games[[#This Row],[Div]]=Games[[#This Row],[OppDiv]]),1,0))</f>
        <v>1</v>
      </c>
      <c r="Q398">
        <f>IF(Games[[#This Row],[Team]]="","",_xlfn.MINIFS(Games[Date],Games[Season],Games[[#This Row],[Season]]))</f>
        <v>35309</v>
      </c>
      <c r="R398">
        <f>IF(Games[[#This Row],[Team]]="","",INT((Games[[#This Row],[Date]]-(Games[[#This Row],[SeasonStart]]-MOD(WEEKDAY(Games[[#This Row],[SeasonStart]],2)-2,7)))/7)+1)</f>
        <v>15</v>
      </c>
      <c r="S398">
        <f>IF(Games[[#This Row],[Team]]="","",COUNTIFS(Games[Team],Games[[#This Row],[Team]],Games[Season],Games[[#This Row],[Season]],Games[Week],"&lt;="&amp;Games[[#This Row],[Week]]))</f>
        <v>14</v>
      </c>
      <c r="T398">
        <f>IF(Games[[#This Row],[Team]]="","",_xlfn.MAXIFS(Games[Week],Games[Team],Games[[#This Row],[Team]],Games[Season],Games[[#This Row],[Season]],Games[Week],"&lt;"&amp;Games[[#This Row],[Week]]))</f>
        <v>14</v>
      </c>
      <c r="U398">
        <f>IF(Games[[#This Row],[Team]]="","",_xlfn.MAXIFS(Games[Week],Games[Team],Games[[#This Row],[Opponent]],Games[Season],Games[[#This Row],[Season]],Games[Week],"&lt;"&amp;Games[[#This Row],[Week]]))</f>
        <v>14</v>
      </c>
      <c r="V39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9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9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9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1479.9023750886104</v>
      </c>
      <c r="Z39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1432.9939319965565</v>
      </c>
      <c r="AA39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0.66474053145126244</v>
      </c>
      <c r="AB398">
        <f>IF(Games[[#This Row],[Team]]="","",Games[[#This Row],[PointsFor]]-Games[[#This Row],[PointsAgainst]])</f>
        <v>7</v>
      </c>
      <c r="AC398">
        <f>IF(Games[[#This Row],[Team]]="","",IF(Games[[#This Row],[MOV]]&gt;0,1,IF(Games[[#This Row],[MOV]]=0,0.5,0)))</f>
        <v>1</v>
      </c>
      <c r="AD398">
        <f>IF(Games[[#This Row],[Team]]="","",--(OR(AND(Games[[#This Row],[ExpectedWin]]&gt;=0.5,Games[[#This Row],[Result]]=1),AND(Games[[#This Row],[ExpectedWin]]&lt;0.5,Games[[#This Row],[Result]]=0))))</f>
        <v>1</v>
      </c>
      <c r="AE398">
        <f>IF(Games[[#This Row],[Team]]="","",-(Games[[#This Row],[Result]]*LN(Games[[#This Row],[ExpectedWin]])+(1-Games[[#This Row],[Result]])*LN(1-Games[[#This Row],[ExpectedWin]])))</f>
        <v>0.40835849273440783</v>
      </c>
      <c r="AF398">
        <f>IF(Games[[#This Row],[Team]]="","",IF(Games[[#This Row],[Season]]&gt;=2021,17,16))</f>
        <v>16</v>
      </c>
      <c r="AG398">
        <f>IF(Games[[#This Row],[Team]]="","",KMax-(KMax-KFloor)*MIN(Games[[#This Row],[GamesPlayed]],Games[[#This Row],[SeasonLen]])/Games[[#This Row],[SeasonLen]])</f>
        <v>37.425000000000004</v>
      </c>
      <c r="AH398">
        <f>IF(Games[[#This Row],[Team]]="","",((ABS(Games[[#This Row],[MOV]])+3)^0.8)/(7.5+0.006*ABS(Games[[#This Row],[PreGmRate]]-Games[[#This Row],[OppPreGmRate]]))*IF(Games[[#This Row],[OT]]=1,0.7,1))</f>
        <v>0.81084796674348891</v>
      </c>
      <c r="AI39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8">
        <f>IF(Games[[#This Row],[Team]]="","",Games[[#This Row],[K]]*IF(Games[[#This Row],[DivG]]=1,DivMult,1)*IF(Games[[#This Row],[ConfG]]=1,ConfMult,1)*Games[[#This Row],[POMult]])</f>
        <v>41.990850000000009</v>
      </c>
      <c r="AK398">
        <f>IF(Games[[#This Row],[Team]]="","",(Games[[#This Row],[Keff]]*Games[[#This Row],[MOVMult]])*(Games[[#This Row],[Result]]-Games[[#This Row],[ExpectedWin]]))</f>
        <v>11.414979876183956</v>
      </c>
      <c r="AL398">
        <f>IF(Games[[#This Row],[Team]]="","",Games[[#This Row],[PreGmRate]]+Games[[#This Row],[RatingChange]])</f>
        <v>1491.3173549647943</v>
      </c>
      <c r="AM398">
        <f>IF(Games[[#This Row],[Team]]="","",IF(Games[[#This Row],[Type]]="R",IF(Games[[#This Row],[Result]]&gt;0.5,1,0),0))</f>
        <v>1</v>
      </c>
      <c r="AN398">
        <f>IF(Games[[#This Row],[Team]]="","",IF(Games[[#This Row],[Type]]="R",IF(Games[[#This Row],[Result]]&lt;0.5,1,0),0))</f>
        <v>0</v>
      </c>
      <c r="AO398">
        <f>IF(Games[[#This Row],[Team]]="","",IF(Games[[#This Row],[Type]]="R",IF(Games[[#This Row],[Result]]=0.5,1,0),0))</f>
        <v>0</v>
      </c>
    </row>
    <row r="399" spans="1:41" x14ac:dyDescent="0.35">
      <c r="A399" s="8">
        <v>35407</v>
      </c>
      <c r="B399">
        <v>1996</v>
      </c>
      <c r="C399" t="s">
        <v>197</v>
      </c>
      <c r="D399" t="s">
        <v>199</v>
      </c>
      <c r="E399" t="s">
        <v>101</v>
      </c>
      <c r="F399" t="s">
        <v>112</v>
      </c>
      <c r="G399" t="s">
        <v>201</v>
      </c>
      <c r="H399">
        <v>14</v>
      </c>
      <c r="I399">
        <v>21</v>
      </c>
      <c r="J399">
        <v>0</v>
      </c>
      <c r="K39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9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9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9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99">
        <f>IF(Games[[#This Row],[Team]]="","",IF(Games[[#This Row],[Conf]]=Games[[#This Row],[OppConf]],1,0))</f>
        <v>1</v>
      </c>
      <c r="P399">
        <f>IF(Games[[#This Row],[Team]]="","",IF(AND(Games[[#This Row],[Conf]]=Games[[#This Row],[OppConf]],Games[[#This Row],[Div]]=Games[[#This Row],[OppDiv]]),1,0))</f>
        <v>1</v>
      </c>
      <c r="Q399">
        <f>IF(Games[[#This Row],[Team]]="","",_xlfn.MINIFS(Games[Date],Games[Season],Games[[#This Row],[Season]]))</f>
        <v>35309</v>
      </c>
      <c r="R399">
        <f>IF(Games[[#This Row],[Team]]="","",INT((Games[[#This Row],[Date]]-(Games[[#This Row],[SeasonStart]]-MOD(WEEKDAY(Games[[#This Row],[SeasonStart]],2)-2,7)))/7)+1)</f>
        <v>15</v>
      </c>
      <c r="S399">
        <f>IF(Games[[#This Row],[Team]]="","",COUNTIFS(Games[Team],Games[[#This Row],[Team]],Games[Season],Games[[#This Row],[Season]],Games[Week],"&lt;="&amp;Games[[#This Row],[Week]]))</f>
        <v>14</v>
      </c>
      <c r="T399">
        <f>IF(Games[[#This Row],[Team]]="","",_xlfn.MAXIFS(Games[Week],Games[Team],Games[[#This Row],[Team]],Games[Season],Games[[#This Row],[Season]],Games[Week],"&lt;"&amp;Games[[#This Row],[Week]]))</f>
        <v>14</v>
      </c>
      <c r="U399">
        <f>IF(Games[[#This Row],[Team]]="","",_xlfn.MAXIFS(Games[Week],Games[Team],Games[[#This Row],[Opponent]],Games[Season],Games[[#This Row],[Season]],Games[Week],"&lt;"&amp;Games[[#This Row],[Week]]))</f>
        <v>14</v>
      </c>
      <c r="V39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9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9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9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1432.9939319965565</v>
      </c>
      <c r="Z39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1479.9023750886104</v>
      </c>
      <c r="AA39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0.3352594685487375</v>
      </c>
      <c r="AB399">
        <f>IF(Games[[#This Row],[Team]]="","",Games[[#This Row],[PointsFor]]-Games[[#This Row],[PointsAgainst]])</f>
        <v>-7</v>
      </c>
      <c r="AC399">
        <f>IF(Games[[#This Row],[Team]]="","",IF(Games[[#This Row],[MOV]]&gt;0,1,IF(Games[[#This Row],[MOV]]=0,0.5,0)))</f>
        <v>0</v>
      </c>
      <c r="AD399">
        <f>IF(Games[[#This Row],[Team]]="","",--(OR(AND(Games[[#This Row],[ExpectedWin]]&gt;=0.5,Games[[#This Row],[Result]]=1),AND(Games[[#This Row],[ExpectedWin]]&lt;0.5,Games[[#This Row],[Result]]=0))))</f>
        <v>1</v>
      </c>
      <c r="AE399">
        <f>IF(Games[[#This Row],[Team]]="","",-(Games[[#This Row],[Result]]*LN(Games[[#This Row],[ExpectedWin]])+(1-Games[[#This Row],[Result]])*LN(1-Games[[#This Row],[ExpectedWin]])))</f>
        <v>0.40835849273440783</v>
      </c>
      <c r="AF399">
        <f>IF(Games[[#This Row],[Team]]="","",IF(Games[[#This Row],[Season]]&gt;=2021,17,16))</f>
        <v>16</v>
      </c>
      <c r="AG399">
        <f>IF(Games[[#This Row],[Team]]="","",KMax-(KMax-KFloor)*MIN(Games[[#This Row],[GamesPlayed]],Games[[#This Row],[SeasonLen]])/Games[[#This Row],[SeasonLen]])</f>
        <v>37.425000000000004</v>
      </c>
      <c r="AH399">
        <f>IF(Games[[#This Row],[Team]]="","",((ABS(Games[[#This Row],[MOV]])+3)^0.8)/(7.5+0.006*ABS(Games[[#This Row],[PreGmRate]]-Games[[#This Row],[OppPreGmRate]]))*IF(Games[[#This Row],[OT]]=1,0.7,1))</f>
        <v>0.81084796674348891</v>
      </c>
      <c r="AI39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9">
        <f>IF(Games[[#This Row],[Team]]="","",Games[[#This Row],[K]]*IF(Games[[#This Row],[DivG]]=1,DivMult,1)*IF(Games[[#This Row],[ConfG]]=1,ConfMult,1)*Games[[#This Row],[POMult]])</f>
        <v>41.990850000000009</v>
      </c>
      <c r="AK399">
        <f>IF(Games[[#This Row],[Team]]="","",(Games[[#This Row],[Keff]]*Games[[#This Row],[MOVMult]])*(Games[[#This Row],[Result]]-Games[[#This Row],[ExpectedWin]]))</f>
        <v>-11.414979876183954</v>
      </c>
      <c r="AL399">
        <f>IF(Games[[#This Row],[Team]]="","",Games[[#This Row],[PreGmRate]]+Games[[#This Row],[RatingChange]])</f>
        <v>1421.5789521203726</v>
      </c>
      <c r="AM399">
        <f>IF(Games[[#This Row],[Team]]="","",IF(Games[[#This Row],[Type]]="R",IF(Games[[#This Row],[Result]]&gt;0.5,1,0),0))</f>
        <v>0</v>
      </c>
      <c r="AN399">
        <f>IF(Games[[#This Row],[Team]]="","",IF(Games[[#This Row],[Type]]="R",IF(Games[[#This Row],[Result]]&lt;0.5,1,0),0))</f>
        <v>1</v>
      </c>
      <c r="AO399">
        <f>IF(Games[[#This Row],[Team]]="","",IF(Games[[#This Row],[Type]]="R",IF(Games[[#This Row],[Result]]=0.5,1,0),0))</f>
        <v>0</v>
      </c>
    </row>
    <row r="400" spans="1:41" x14ac:dyDescent="0.35">
      <c r="A400" s="8">
        <v>35407</v>
      </c>
      <c r="B400">
        <v>1996</v>
      </c>
      <c r="C400" t="s">
        <v>197</v>
      </c>
      <c r="D400" t="s">
        <v>199</v>
      </c>
      <c r="E400" t="s">
        <v>120</v>
      </c>
      <c r="F400" t="s">
        <v>116</v>
      </c>
      <c r="G400" t="s">
        <v>200</v>
      </c>
      <c r="H400">
        <v>41</v>
      </c>
      <c r="I400">
        <v>6</v>
      </c>
      <c r="J400">
        <v>0</v>
      </c>
      <c r="K40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0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0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0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00">
        <f>IF(Games[[#This Row],[Team]]="","",IF(Games[[#This Row],[Conf]]=Games[[#This Row],[OppConf]],1,0))</f>
        <v>0</v>
      </c>
      <c r="P400">
        <f>IF(Games[[#This Row],[Team]]="","",IF(AND(Games[[#This Row],[Conf]]=Games[[#This Row],[OppConf]],Games[[#This Row],[Div]]=Games[[#This Row],[OppDiv]]),1,0))</f>
        <v>0</v>
      </c>
      <c r="Q400">
        <f>IF(Games[[#This Row],[Team]]="","",_xlfn.MINIFS(Games[Date],Games[Season],Games[[#This Row],[Season]]))</f>
        <v>35309</v>
      </c>
      <c r="R400">
        <f>IF(Games[[#This Row],[Team]]="","",INT((Games[[#This Row],[Date]]-(Games[[#This Row],[SeasonStart]]-MOD(WEEKDAY(Games[[#This Row],[SeasonStart]],2)-2,7)))/7)+1)</f>
        <v>15</v>
      </c>
      <c r="S400">
        <f>IF(Games[[#This Row],[Team]]="","",COUNTIFS(Games[Team],Games[[#This Row],[Team]],Games[Season],Games[[#This Row],[Season]],Games[Week],"&lt;="&amp;Games[[#This Row],[Week]]))</f>
        <v>14</v>
      </c>
      <c r="T400">
        <f>IF(Games[[#This Row],[Team]]="","",_xlfn.MAXIFS(Games[Week],Games[Team],Games[[#This Row],[Team]],Games[Season],Games[[#This Row],[Season]],Games[Week],"&lt;"&amp;Games[[#This Row],[Week]]))</f>
        <v>14</v>
      </c>
      <c r="U400">
        <f>IF(Games[[#This Row],[Team]]="","",_xlfn.MAXIFS(Games[Week],Games[Team],Games[[#This Row],[Opponent]],Games[Season],Games[[#This Row],[Season]],Games[Week],"&lt;"&amp;Games[[#This Row],[Week]]))</f>
        <v>14</v>
      </c>
      <c r="V40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0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1656.2086409095821</v>
      </c>
      <c r="Z40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1700.6199397572129</v>
      </c>
      <c r="AA40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0.53962009373272535</v>
      </c>
      <c r="AB400">
        <f>IF(Games[[#This Row],[Team]]="","",Games[[#This Row],[PointsFor]]-Games[[#This Row],[PointsAgainst]])</f>
        <v>35</v>
      </c>
      <c r="AC400">
        <f>IF(Games[[#This Row],[Team]]="","",IF(Games[[#This Row],[MOV]]&gt;0,1,IF(Games[[#This Row],[MOV]]=0,0.5,0)))</f>
        <v>1</v>
      </c>
      <c r="AD400">
        <f>IF(Games[[#This Row],[Team]]="","",--(OR(AND(Games[[#This Row],[ExpectedWin]]&gt;=0.5,Games[[#This Row],[Result]]=1),AND(Games[[#This Row],[ExpectedWin]]&lt;0.5,Games[[#This Row],[Result]]=0))))</f>
        <v>1</v>
      </c>
      <c r="AE400">
        <f>IF(Games[[#This Row],[Team]]="","",-(Games[[#This Row],[Result]]*LN(Games[[#This Row],[ExpectedWin]])+(1-Games[[#This Row],[Result]])*LN(1-Games[[#This Row],[ExpectedWin]])))</f>
        <v>0.61688991714185093</v>
      </c>
      <c r="AF400">
        <f>IF(Games[[#This Row],[Team]]="","",IF(Games[[#This Row],[Season]]&gt;=2021,17,16))</f>
        <v>16</v>
      </c>
      <c r="AG400">
        <f>IF(Games[[#This Row],[Team]]="","",KMax-(KMax-KFloor)*MIN(Games[[#This Row],[GamesPlayed]],Games[[#This Row],[SeasonLen]])/Games[[#This Row],[SeasonLen]])</f>
        <v>37.425000000000004</v>
      </c>
      <c r="AH400">
        <f>IF(Games[[#This Row],[Team]]="","",((ABS(Games[[#This Row],[MOV]])+3)^0.8)/(7.5+0.006*ABS(Games[[#This Row],[PreGmRate]]-Games[[#This Row],[OppPreGmRate]]))*IF(Games[[#This Row],[OT]]=1,0.7,1))</f>
        <v>2.3637597416373612</v>
      </c>
      <c r="AI40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0">
        <f>IF(Games[[#This Row],[Team]]="","",Games[[#This Row],[K]]*IF(Games[[#This Row],[DivG]]=1,DivMult,1)*IF(Games[[#This Row],[ConfG]]=1,ConfMult,1)*Games[[#This Row],[POMult]])</f>
        <v>37.425000000000004</v>
      </c>
      <c r="AK400">
        <f>IF(Games[[#This Row],[Team]]="","",(Games[[#This Row],[Keff]]*Games[[#This Row],[MOVMult]])*(Games[[#This Row],[Result]]-Games[[#This Row],[ExpectedWin]]))</f>
        <v>40.726913749379221</v>
      </c>
      <c r="AL400">
        <f>IF(Games[[#This Row],[Team]]="","",Games[[#This Row],[PreGmRate]]+Games[[#This Row],[RatingChange]])</f>
        <v>1696.9355546589613</v>
      </c>
      <c r="AM400">
        <f>IF(Games[[#This Row],[Team]]="","",IF(Games[[#This Row],[Type]]="R",IF(Games[[#This Row],[Result]]&gt;0.5,1,0),0))</f>
        <v>1</v>
      </c>
      <c r="AN400">
        <f>IF(Games[[#This Row],[Team]]="","",IF(Games[[#This Row],[Type]]="R",IF(Games[[#This Row],[Result]]&lt;0.5,1,0),0))</f>
        <v>0</v>
      </c>
      <c r="AO400">
        <f>IF(Games[[#This Row],[Team]]="","",IF(Games[[#This Row],[Type]]="R",IF(Games[[#This Row],[Result]]=0.5,1,0),0))</f>
        <v>0</v>
      </c>
    </row>
    <row r="401" spans="1:41" x14ac:dyDescent="0.35">
      <c r="A401" s="8">
        <v>35407</v>
      </c>
      <c r="B401">
        <v>1996</v>
      </c>
      <c r="C401" t="s">
        <v>197</v>
      </c>
      <c r="D401" t="s">
        <v>199</v>
      </c>
      <c r="E401" t="s">
        <v>116</v>
      </c>
      <c r="F401" t="s">
        <v>120</v>
      </c>
      <c r="G401" t="s">
        <v>201</v>
      </c>
      <c r="H401">
        <v>6</v>
      </c>
      <c r="I401">
        <v>41</v>
      </c>
      <c r="J401">
        <v>0</v>
      </c>
      <c r="K40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0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0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0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01">
        <f>IF(Games[[#This Row],[Team]]="","",IF(Games[[#This Row],[Conf]]=Games[[#This Row],[OppConf]],1,0))</f>
        <v>0</v>
      </c>
      <c r="P401">
        <f>IF(Games[[#This Row],[Team]]="","",IF(AND(Games[[#This Row],[Conf]]=Games[[#This Row],[OppConf]],Games[[#This Row],[Div]]=Games[[#This Row],[OppDiv]]),1,0))</f>
        <v>0</v>
      </c>
      <c r="Q401">
        <f>IF(Games[[#This Row],[Team]]="","",_xlfn.MINIFS(Games[Date],Games[Season],Games[[#This Row],[Season]]))</f>
        <v>35309</v>
      </c>
      <c r="R401">
        <f>IF(Games[[#This Row],[Team]]="","",INT((Games[[#This Row],[Date]]-(Games[[#This Row],[SeasonStart]]-MOD(WEEKDAY(Games[[#This Row],[SeasonStart]],2)-2,7)))/7)+1)</f>
        <v>15</v>
      </c>
      <c r="S401">
        <f>IF(Games[[#This Row],[Team]]="","",COUNTIFS(Games[Team],Games[[#This Row],[Team]],Games[Season],Games[[#This Row],[Season]],Games[Week],"&lt;="&amp;Games[[#This Row],[Week]]))</f>
        <v>14</v>
      </c>
      <c r="T401">
        <f>IF(Games[[#This Row],[Team]]="","",_xlfn.MAXIFS(Games[Week],Games[Team],Games[[#This Row],[Team]],Games[Season],Games[[#This Row],[Season]],Games[Week],"&lt;"&amp;Games[[#This Row],[Week]]))</f>
        <v>14</v>
      </c>
      <c r="U401">
        <f>IF(Games[[#This Row],[Team]]="","",_xlfn.MAXIFS(Games[Week],Games[Team],Games[[#This Row],[Opponent]],Games[Season],Games[[#This Row],[Season]],Games[Week],"&lt;"&amp;Games[[#This Row],[Week]]))</f>
        <v>14</v>
      </c>
      <c r="V40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0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1700.6199397572129</v>
      </c>
      <c r="Z40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1656.2086409095821</v>
      </c>
      <c r="AA40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0.4603799062672746</v>
      </c>
      <c r="AB401">
        <f>IF(Games[[#This Row],[Team]]="","",Games[[#This Row],[PointsFor]]-Games[[#This Row],[PointsAgainst]])</f>
        <v>-35</v>
      </c>
      <c r="AC401">
        <f>IF(Games[[#This Row],[Team]]="","",IF(Games[[#This Row],[MOV]]&gt;0,1,IF(Games[[#This Row],[MOV]]=0,0.5,0)))</f>
        <v>0</v>
      </c>
      <c r="AD401">
        <f>IF(Games[[#This Row],[Team]]="","",--(OR(AND(Games[[#This Row],[ExpectedWin]]&gt;=0.5,Games[[#This Row],[Result]]=1),AND(Games[[#This Row],[ExpectedWin]]&lt;0.5,Games[[#This Row],[Result]]=0))))</f>
        <v>1</v>
      </c>
      <c r="AE401">
        <f>IF(Games[[#This Row],[Team]]="","",-(Games[[#This Row],[Result]]*LN(Games[[#This Row],[ExpectedWin]])+(1-Games[[#This Row],[Result]])*LN(1-Games[[#This Row],[ExpectedWin]])))</f>
        <v>0.61688991714185093</v>
      </c>
      <c r="AF401">
        <f>IF(Games[[#This Row],[Team]]="","",IF(Games[[#This Row],[Season]]&gt;=2021,17,16))</f>
        <v>16</v>
      </c>
      <c r="AG401">
        <f>IF(Games[[#This Row],[Team]]="","",KMax-(KMax-KFloor)*MIN(Games[[#This Row],[GamesPlayed]],Games[[#This Row],[SeasonLen]])/Games[[#This Row],[SeasonLen]])</f>
        <v>37.425000000000004</v>
      </c>
      <c r="AH401">
        <f>IF(Games[[#This Row],[Team]]="","",((ABS(Games[[#This Row],[MOV]])+3)^0.8)/(7.5+0.006*ABS(Games[[#This Row],[PreGmRate]]-Games[[#This Row],[OppPreGmRate]]))*IF(Games[[#This Row],[OT]]=1,0.7,1))</f>
        <v>2.3637597416373612</v>
      </c>
      <c r="AI40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1">
        <f>IF(Games[[#This Row],[Team]]="","",Games[[#This Row],[K]]*IF(Games[[#This Row],[DivG]]=1,DivMult,1)*IF(Games[[#This Row],[ConfG]]=1,ConfMult,1)*Games[[#This Row],[POMult]])</f>
        <v>37.425000000000004</v>
      </c>
      <c r="AK401">
        <f>IF(Games[[#This Row],[Team]]="","",(Games[[#This Row],[Keff]]*Games[[#This Row],[MOVMult]])*(Games[[#This Row],[Result]]-Games[[#This Row],[ExpectedWin]]))</f>
        <v>-40.726913749379214</v>
      </c>
      <c r="AL401">
        <f>IF(Games[[#This Row],[Team]]="","",Games[[#This Row],[PreGmRate]]+Games[[#This Row],[RatingChange]])</f>
        <v>1659.8930260078337</v>
      </c>
      <c r="AM401">
        <f>IF(Games[[#This Row],[Team]]="","",IF(Games[[#This Row],[Type]]="R",IF(Games[[#This Row],[Result]]&gt;0.5,1,0),0))</f>
        <v>0</v>
      </c>
      <c r="AN401">
        <f>IF(Games[[#This Row],[Team]]="","",IF(Games[[#This Row],[Type]]="R",IF(Games[[#This Row],[Result]]&lt;0.5,1,0),0))</f>
        <v>1</v>
      </c>
      <c r="AO401">
        <f>IF(Games[[#This Row],[Team]]="","",IF(Games[[#This Row],[Type]]="R",IF(Games[[#This Row],[Result]]=0.5,1,0),0))</f>
        <v>0</v>
      </c>
    </row>
    <row r="402" spans="1:41" x14ac:dyDescent="0.35">
      <c r="A402" s="8">
        <v>35407</v>
      </c>
      <c r="B402">
        <v>1996</v>
      </c>
      <c r="C402" t="s">
        <v>197</v>
      </c>
      <c r="D402" t="s">
        <v>199</v>
      </c>
      <c r="E402" t="s">
        <v>124</v>
      </c>
      <c r="F402" t="s">
        <v>153</v>
      </c>
      <c r="G402" t="s">
        <v>201</v>
      </c>
      <c r="H402">
        <v>23</v>
      </c>
      <c r="I402">
        <v>17</v>
      </c>
      <c r="J402">
        <v>0</v>
      </c>
      <c r="K40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0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0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0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02">
        <f>IF(Games[[#This Row],[Team]]="","",IF(Games[[#This Row],[Conf]]=Games[[#This Row],[OppConf]],1,0))</f>
        <v>1</v>
      </c>
      <c r="P402">
        <f>IF(Games[[#This Row],[Team]]="","",IF(AND(Games[[#This Row],[Conf]]=Games[[#This Row],[OppConf]],Games[[#This Row],[Div]]=Games[[#This Row],[OppDiv]]),1,0))</f>
        <v>1</v>
      </c>
      <c r="Q402">
        <f>IF(Games[[#This Row],[Team]]="","",_xlfn.MINIFS(Games[Date],Games[Season],Games[[#This Row],[Season]]))</f>
        <v>35309</v>
      </c>
      <c r="R402">
        <f>IF(Games[[#This Row],[Team]]="","",INT((Games[[#This Row],[Date]]-(Games[[#This Row],[SeasonStart]]-MOD(WEEKDAY(Games[[#This Row],[SeasonStart]],2)-2,7)))/7)+1)</f>
        <v>15</v>
      </c>
      <c r="S402">
        <f>IF(Games[[#This Row],[Team]]="","",COUNTIFS(Games[Team],Games[[#This Row],[Team]],Games[Season],Games[[#This Row],[Season]],Games[Week],"&lt;="&amp;Games[[#This Row],[Week]]))</f>
        <v>14</v>
      </c>
      <c r="T402">
        <f>IF(Games[[#This Row],[Team]]="","",_xlfn.MAXIFS(Games[Week],Games[Team],Games[[#This Row],[Team]],Games[Season],Games[[#This Row],[Season]],Games[Week],"&lt;"&amp;Games[[#This Row],[Week]]))</f>
        <v>14</v>
      </c>
      <c r="U402">
        <f>IF(Games[[#This Row],[Team]]="","",_xlfn.MAXIFS(Games[Week],Games[Team],Games[[#This Row],[Opponent]],Games[Season],Games[[#This Row],[Season]],Games[Week],"&lt;"&amp;Games[[#This Row],[Week]]))</f>
        <v>14</v>
      </c>
      <c r="V40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0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1463.5703954591681</v>
      </c>
      <c r="Z40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1526.789265100253</v>
      </c>
      <c r="AA40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0.31466862405543194</v>
      </c>
      <c r="AB402">
        <f>IF(Games[[#This Row],[Team]]="","",Games[[#This Row],[PointsFor]]-Games[[#This Row],[PointsAgainst]])</f>
        <v>6</v>
      </c>
      <c r="AC402">
        <f>IF(Games[[#This Row],[Team]]="","",IF(Games[[#This Row],[MOV]]&gt;0,1,IF(Games[[#This Row],[MOV]]=0,0.5,0)))</f>
        <v>1</v>
      </c>
      <c r="AD402">
        <f>IF(Games[[#This Row],[Team]]="","",--(OR(AND(Games[[#This Row],[ExpectedWin]]&gt;=0.5,Games[[#This Row],[Result]]=1),AND(Games[[#This Row],[ExpectedWin]]&lt;0.5,Games[[#This Row],[Result]]=0))))</f>
        <v>0</v>
      </c>
      <c r="AE402">
        <f>IF(Games[[#This Row],[Team]]="","",-(Games[[#This Row],[Result]]*LN(Games[[#This Row],[ExpectedWin]])+(1-Games[[#This Row],[Result]])*LN(1-Games[[#This Row],[ExpectedWin]])))</f>
        <v>1.1562351810089495</v>
      </c>
      <c r="AF402">
        <f>IF(Games[[#This Row],[Team]]="","",IF(Games[[#This Row],[Season]]&gt;=2021,17,16))</f>
        <v>16</v>
      </c>
      <c r="AG402">
        <f>IF(Games[[#This Row],[Team]]="","",KMax-(KMax-KFloor)*MIN(Games[[#This Row],[GamesPlayed]],Games[[#This Row],[SeasonLen]])/Games[[#This Row],[SeasonLen]])</f>
        <v>37.425000000000004</v>
      </c>
      <c r="AH402">
        <f>IF(Games[[#This Row],[Team]]="","",((ABS(Games[[#This Row],[MOV]])+3)^0.8)/(7.5+0.006*ABS(Games[[#This Row],[PreGmRate]]-Games[[#This Row],[OppPreGmRate]]))*IF(Games[[#This Row],[OT]]=1,0.7,1))</f>
        <v>0.73604716229066991</v>
      </c>
      <c r="AI40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2">
        <f>IF(Games[[#This Row],[Team]]="","",Games[[#This Row],[K]]*IF(Games[[#This Row],[DivG]]=1,DivMult,1)*IF(Games[[#This Row],[ConfG]]=1,ConfMult,1)*Games[[#This Row],[POMult]])</f>
        <v>41.990850000000009</v>
      </c>
      <c r="AK402">
        <f>IF(Games[[#This Row],[Team]]="","",(Games[[#This Row],[Keff]]*Games[[#This Row],[MOVMult]])*(Games[[#This Row],[Result]]-Games[[#This Row],[ExpectedWin]]))</f>
        <v>21.181705417333298</v>
      </c>
      <c r="AL402">
        <f>IF(Games[[#This Row],[Team]]="","",Games[[#This Row],[PreGmRate]]+Games[[#This Row],[RatingChange]])</f>
        <v>1484.7521008765013</v>
      </c>
      <c r="AM402">
        <f>IF(Games[[#This Row],[Team]]="","",IF(Games[[#This Row],[Type]]="R",IF(Games[[#This Row],[Result]]&gt;0.5,1,0),0))</f>
        <v>1</v>
      </c>
      <c r="AN402">
        <f>IF(Games[[#This Row],[Team]]="","",IF(Games[[#This Row],[Type]]="R",IF(Games[[#This Row],[Result]]&lt;0.5,1,0),0))</f>
        <v>0</v>
      </c>
      <c r="AO402">
        <f>IF(Games[[#This Row],[Team]]="","",IF(Games[[#This Row],[Type]]="R",IF(Games[[#This Row],[Result]]=0.5,1,0),0))</f>
        <v>0</v>
      </c>
    </row>
    <row r="403" spans="1:41" x14ac:dyDescent="0.35">
      <c r="A403" s="8">
        <v>35407</v>
      </c>
      <c r="B403">
        <v>1996</v>
      </c>
      <c r="C403" t="s">
        <v>197</v>
      </c>
      <c r="D403" t="s">
        <v>199</v>
      </c>
      <c r="E403" t="s">
        <v>153</v>
      </c>
      <c r="F403" t="s">
        <v>124</v>
      </c>
      <c r="G403" t="s">
        <v>200</v>
      </c>
      <c r="H403">
        <v>17</v>
      </c>
      <c r="I403">
        <v>23</v>
      </c>
      <c r="J403">
        <v>0</v>
      </c>
      <c r="K40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0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0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0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03">
        <f>IF(Games[[#This Row],[Team]]="","",IF(Games[[#This Row],[Conf]]=Games[[#This Row],[OppConf]],1,0))</f>
        <v>1</v>
      </c>
      <c r="P403">
        <f>IF(Games[[#This Row],[Team]]="","",IF(AND(Games[[#This Row],[Conf]]=Games[[#This Row],[OppConf]],Games[[#This Row],[Div]]=Games[[#This Row],[OppDiv]]),1,0))</f>
        <v>1</v>
      </c>
      <c r="Q403">
        <f>IF(Games[[#This Row],[Team]]="","",_xlfn.MINIFS(Games[Date],Games[Season],Games[[#This Row],[Season]]))</f>
        <v>35309</v>
      </c>
      <c r="R403">
        <f>IF(Games[[#This Row],[Team]]="","",INT((Games[[#This Row],[Date]]-(Games[[#This Row],[SeasonStart]]-MOD(WEEKDAY(Games[[#This Row],[SeasonStart]],2)-2,7)))/7)+1)</f>
        <v>15</v>
      </c>
      <c r="S403">
        <f>IF(Games[[#This Row],[Team]]="","",COUNTIFS(Games[Team],Games[[#This Row],[Team]],Games[Season],Games[[#This Row],[Season]],Games[Week],"&lt;="&amp;Games[[#This Row],[Week]]))</f>
        <v>14</v>
      </c>
      <c r="T403">
        <f>IF(Games[[#This Row],[Team]]="","",_xlfn.MAXIFS(Games[Week],Games[Team],Games[[#This Row],[Team]],Games[Season],Games[[#This Row],[Season]],Games[Week],"&lt;"&amp;Games[[#This Row],[Week]]))</f>
        <v>14</v>
      </c>
      <c r="U403">
        <f>IF(Games[[#This Row],[Team]]="","",_xlfn.MAXIFS(Games[Week],Games[Team],Games[[#This Row],[Opponent]],Games[Season],Games[[#This Row],[Season]],Games[Week],"&lt;"&amp;Games[[#This Row],[Week]]))</f>
        <v>14</v>
      </c>
      <c r="V40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0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1526.789265100253</v>
      </c>
      <c r="Z40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1463.5703954591681</v>
      </c>
      <c r="AA40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0.68533137594456806</v>
      </c>
      <c r="AB403">
        <f>IF(Games[[#This Row],[Team]]="","",Games[[#This Row],[PointsFor]]-Games[[#This Row],[PointsAgainst]])</f>
        <v>-6</v>
      </c>
      <c r="AC403">
        <f>IF(Games[[#This Row],[Team]]="","",IF(Games[[#This Row],[MOV]]&gt;0,1,IF(Games[[#This Row],[MOV]]=0,0.5,0)))</f>
        <v>0</v>
      </c>
      <c r="AD403">
        <f>IF(Games[[#This Row],[Team]]="","",--(OR(AND(Games[[#This Row],[ExpectedWin]]&gt;=0.5,Games[[#This Row],[Result]]=1),AND(Games[[#This Row],[ExpectedWin]]&lt;0.5,Games[[#This Row],[Result]]=0))))</f>
        <v>0</v>
      </c>
      <c r="AE403">
        <f>IF(Games[[#This Row],[Team]]="","",-(Games[[#This Row],[Result]]*LN(Games[[#This Row],[ExpectedWin]])+(1-Games[[#This Row],[Result]])*LN(1-Games[[#This Row],[ExpectedWin]])))</f>
        <v>1.1562351810089495</v>
      </c>
      <c r="AF403">
        <f>IF(Games[[#This Row],[Team]]="","",IF(Games[[#This Row],[Season]]&gt;=2021,17,16))</f>
        <v>16</v>
      </c>
      <c r="AG403">
        <f>IF(Games[[#This Row],[Team]]="","",KMax-(KMax-KFloor)*MIN(Games[[#This Row],[GamesPlayed]],Games[[#This Row],[SeasonLen]])/Games[[#This Row],[SeasonLen]])</f>
        <v>37.425000000000004</v>
      </c>
      <c r="AH403">
        <f>IF(Games[[#This Row],[Team]]="","",((ABS(Games[[#This Row],[MOV]])+3)^0.8)/(7.5+0.006*ABS(Games[[#This Row],[PreGmRate]]-Games[[#This Row],[OppPreGmRate]]))*IF(Games[[#This Row],[OT]]=1,0.7,1))</f>
        <v>0.73604716229066991</v>
      </c>
      <c r="AI40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3">
        <f>IF(Games[[#This Row],[Team]]="","",Games[[#This Row],[K]]*IF(Games[[#This Row],[DivG]]=1,DivMult,1)*IF(Games[[#This Row],[ConfG]]=1,ConfMult,1)*Games[[#This Row],[POMult]])</f>
        <v>41.990850000000009</v>
      </c>
      <c r="AK403">
        <f>IF(Games[[#This Row],[Team]]="","",(Games[[#This Row],[Keff]]*Games[[#This Row],[MOVMult]])*(Games[[#This Row],[Result]]-Games[[#This Row],[ExpectedWin]]))</f>
        <v>-21.181705417333298</v>
      </c>
      <c r="AL403">
        <f>IF(Games[[#This Row],[Team]]="","",Games[[#This Row],[PreGmRate]]+Games[[#This Row],[RatingChange]])</f>
        <v>1505.6075596829198</v>
      </c>
      <c r="AM403">
        <f>IF(Games[[#This Row],[Team]]="","",IF(Games[[#This Row],[Type]]="R",IF(Games[[#This Row],[Result]]&gt;0.5,1,0),0))</f>
        <v>0</v>
      </c>
      <c r="AN403">
        <f>IF(Games[[#This Row],[Team]]="","",IF(Games[[#This Row],[Type]]="R",IF(Games[[#This Row],[Result]]&lt;0.5,1,0),0))</f>
        <v>1</v>
      </c>
      <c r="AO403">
        <f>IF(Games[[#This Row],[Team]]="","",IF(Games[[#This Row],[Type]]="R",IF(Games[[#This Row],[Result]]=0.5,1,0),0))</f>
        <v>0</v>
      </c>
    </row>
    <row r="404" spans="1:41" x14ac:dyDescent="0.35">
      <c r="A404" s="8">
        <v>35407</v>
      </c>
      <c r="B404">
        <v>1996</v>
      </c>
      <c r="C404" t="s">
        <v>197</v>
      </c>
      <c r="D404" t="s">
        <v>199</v>
      </c>
      <c r="E404" t="s">
        <v>136</v>
      </c>
      <c r="F404" t="s">
        <v>128</v>
      </c>
      <c r="G404" t="s">
        <v>201</v>
      </c>
      <c r="H404">
        <v>17</v>
      </c>
      <c r="I404">
        <v>7</v>
      </c>
      <c r="J404">
        <v>0</v>
      </c>
      <c r="K40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0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0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0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04">
        <f>IF(Games[[#This Row],[Team]]="","",IF(Games[[#This Row],[Conf]]=Games[[#This Row],[OppConf]],1,0))</f>
        <v>0</v>
      </c>
      <c r="P404">
        <f>IF(Games[[#This Row],[Team]]="","",IF(AND(Games[[#This Row],[Conf]]=Games[[#This Row],[OppConf]],Games[[#This Row],[Div]]=Games[[#This Row],[OppDiv]]),1,0))</f>
        <v>0</v>
      </c>
      <c r="Q404">
        <f>IF(Games[[#This Row],[Team]]="","",_xlfn.MINIFS(Games[Date],Games[Season],Games[[#This Row],[Season]]))</f>
        <v>35309</v>
      </c>
      <c r="R404">
        <f>IF(Games[[#This Row],[Team]]="","",INT((Games[[#This Row],[Date]]-(Games[[#This Row],[SeasonStart]]-MOD(WEEKDAY(Games[[#This Row],[SeasonStart]],2)-2,7)))/7)+1)</f>
        <v>15</v>
      </c>
      <c r="S404">
        <f>IF(Games[[#This Row],[Team]]="","",COUNTIFS(Games[Team],Games[[#This Row],[Team]],Games[Season],Games[[#This Row],[Season]],Games[Week],"&lt;="&amp;Games[[#This Row],[Week]]))</f>
        <v>14</v>
      </c>
      <c r="T404">
        <f>IF(Games[[#This Row],[Team]]="","",_xlfn.MAXIFS(Games[Week],Games[Team],Games[[#This Row],[Team]],Games[Season],Games[[#This Row],[Season]],Games[Week],"&lt;"&amp;Games[[#This Row],[Week]]))</f>
        <v>14</v>
      </c>
      <c r="U404">
        <f>IF(Games[[#This Row],[Team]]="","",_xlfn.MAXIFS(Games[Week],Games[Team],Games[[#This Row],[Opponent]],Games[Season],Games[[#This Row],[Season]],Games[Week],"&lt;"&amp;Games[[#This Row],[Week]]))</f>
        <v>14</v>
      </c>
      <c r="V40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0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1459.7499526635777</v>
      </c>
      <c r="Z40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1511.9116611987731</v>
      </c>
      <c r="AA40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0.32855403083886286</v>
      </c>
      <c r="AB404">
        <f>IF(Games[[#This Row],[Team]]="","",Games[[#This Row],[PointsFor]]-Games[[#This Row],[PointsAgainst]])</f>
        <v>10</v>
      </c>
      <c r="AC404">
        <f>IF(Games[[#This Row],[Team]]="","",IF(Games[[#This Row],[MOV]]&gt;0,1,IF(Games[[#This Row],[MOV]]=0,0.5,0)))</f>
        <v>1</v>
      </c>
      <c r="AD404">
        <f>IF(Games[[#This Row],[Team]]="","",--(OR(AND(Games[[#This Row],[ExpectedWin]]&gt;=0.5,Games[[#This Row],[Result]]=1),AND(Games[[#This Row],[ExpectedWin]]&lt;0.5,Games[[#This Row],[Result]]=0))))</f>
        <v>0</v>
      </c>
      <c r="AE404">
        <f>IF(Games[[#This Row],[Team]]="","",-(Games[[#This Row],[Result]]*LN(Games[[#This Row],[ExpectedWin]])+(1-Games[[#This Row],[Result]])*LN(1-Games[[#This Row],[ExpectedWin]])))</f>
        <v>1.1130539771429422</v>
      </c>
      <c r="AF404">
        <f>IF(Games[[#This Row],[Team]]="","",IF(Games[[#This Row],[Season]]&gt;=2021,17,16))</f>
        <v>16</v>
      </c>
      <c r="AG404">
        <f>IF(Games[[#This Row],[Team]]="","",KMax-(KMax-KFloor)*MIN(Games[[#This Row],[GamesPlayed]],Games[[#This Row],[SeasonLen]])/Games[[#This Row],[SeasonLen]])</f>
        <v>37.425000000000004</v>
      </c>
      <c r="AH404">
        <f>IF(Games[[#This Row],[Team]]="","",((ABS(Games[[#This Row],[MOV]])+3)^0.8)/(7.5+0.006*ABS(Games[[#This Row],[PreGmRate]]-Games[[#This Row],[OppPreGmRate]]))*IF(Games[[#This Row],[OT]]=1,0.7,1))</f>
        <v>0.99618158930439071</v>
      </c>
      <c r="AI40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4">
        <f>IF(Games[[#This Row],[Team]]="","",Games[[#This Row],[K]]*IF(Games[[#This Row],[DivG]]=1,DivMult,1)*IF(Games[[#This Row],[ConfG]]=1,ConfMult,1)*Games[[#This Row],[POMult]])</f>
        <v>37.425000000000004</v>
      </c>
      <c r="AK404">
        <f>IF(Games[[#This Row],[Team]]="","",(Games[[#This Row],[Keff]]*Games[[#This Row],[MOVMult]])*(Games[[#This Row],[Result]]-Games[[#This Row],[ExpectedWin]]))</f>
        <v>25.032913067459504</v>
      </c>
      <c r="AL404">
        <f>IF(Games[[#This Row],[Team]]="","",Games[[#This Row],[PreGmRate]]+Games[[#This Row],[RatingChange]])</f>
        <v>1484.7828657310372</v>
      </c>
      <c r="AM404">
        <f>IF(Games[[#This Row],[Team]]="","",IF(Games[[#This Row],[Type]]="R",IF(Games[[#This Row],[Result]]&gt;0.5,1,0),0))</f>
        <v>1</v>
      </c>
      <c r="AN404">
        <f>IF(Games[[#This Row],[Team]]="","",IF(Games[[#This Row],[Type]]="R",IF(Games[[#This Row],[Result]]&lt;0.5,1,0),0))</f>
        <v>0</v>
      </c>
      <c r="AO404">
        <f>IF(Games[[#This Row],[Team]]="","",IF(Games[[#This Row],[Type]]="R",IF(Games[[#This Row],[Result]]=0.5,1,0),0))</f>
        <v>0</v>
      </c>
    </row>
    <row r="405" spans="1:41" x14ac:dyDescent="0.35">
      <c r="A405" s="8">
        <v>35407</v>
      </c>
      <c r="B405">
        <v>1996</v>
      </c>
      <c r="C405" t="s">
        <v>197</v>
      </c>
      <c r="D405" t="s">
        <v>199</v>
      </c>
      <c r="E405" t="s">
        <v>128</v>
      </c>
      <c r="F405" t="s">
        <v>136</v>
      </c>
      <c r="G405" t="s">
        <v>200</v>
      </c>
      <c r="H405">
        <v>7</v>
      </c>
      <c r="I405">
        <v>17</v>
      </c>
      <c r="J405">
        <v>0</v>
      </c>
      <c r="K40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0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0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0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05">
        <f>IF(Games[[#This Row],[Team]]="","",IF(Games[[#This Row],[Conf]]=Games[[#This Row],[OppConf]],1,0))</f>
        <v>0</v>
      </c>
      <c r="P405">
        <f>IF(Games[[#This Row],[Team]]="","",IF(AND(Games[[#This Row],[Conf]]=Games[[#This Row],[OppConf]],Games[[#This Row],[Div]]=Games[[#This Row],[OppDiv]]),1,0))</f>
        <v>0</v>
      </c>
      <c r="Q405">
        <f>IF(Games[[#This Row],[Team]]="","",_xlfn.MINIFS(Games[Date],Games[Season],Games[[#This Row],[Season]]))</f>
        <v>35309</v>
      </c>
      <c r="R405">
        <f>IF(Games[[#This Row],[Team]]="","",INT((Games[[#This Row],[Date]]-(Games[[#This Row],[SeasonStart]]-MOD(WEEKDAY(Games[[#This Row],[SeasonStart]],2)-2,7)))/7)+1)</f>
        <v>15</v>
      </c>
      <c r="S405">
        <f>IF(Games[[#This Row],[Team]]="","",COUNTIFS(Games[Team],Games[[#This Row],[Team]],Games[Season],Games[[#This Row],[Season]],Games[Week],"&lt;="&amp;Games[[#This Row],[Week]]))</f>
        <v>14</v>
      </c>
      <c r="T405">
        <f>IF(Games[[#This Row],[Team]]="","",_xlfn.MAXIFS(Games[Week],Games[Team],Games[[#This Row],[Team]],Games[Season],Games[[#This Row],[Season]],Games[Week],"&lt;"&amp;Games[[#This Row],[Week]]))</f>
        <v>14</v>
      </c>
      <c r="U405">
        <f>IF(Games[[#This Row],[Team]]="","",_xlfn.MAXIFS(Games[Week],Games[Team],Games[[#This Row],[Opponent]],Games[Season],Games[[#This Row],[Season]],Games[Week],"&lt;"&amp;Games[[#This Row],[Week]]))</f>
        <v>14</v>
      </c>
      <c r="V40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0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1511.9116611987731</v>
      </c>
      <c r="Z40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1459.7499526635777</v>
      </c>
      <c r="AA40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0.67144596916113708</v>
      </c>
      <c r="AB405">
        <f>IF(Games[[#This Row],[Team]]="","",Games[[#This Row],[PointsFor]]-Games[[#This Row],[PointsAgainst]])</f>
        <v>-10</v>
      </c>
      <c r="AC405">
        <f>IF(Games[[#This Row],[Team]]="","",IF(Games[[#This Row],[MOV]]&gt;0,1,IF(Games[[#This Row],[MOV]]=0,0.5,0)))</f>
        <v>0</v>
      </c>
      <c r="AD405">
        <f>IF(Games[[#This Row],[Team]]="","",--(OR(AND(Games[[#This Row],[ExpectedWin]]&gt;=0.5,Games[[#This Row],[Result]]=1),AND(Games[[#This Row],[ExpectedWin]]&lt;0.5,Games[[#This Row],[Result]]=0))))</f>
        <v>0</v>
      </c>
      <c r="AE405">
        <f>IF(Games[[#This Row],[Team]]="","",-(Games[[#This Row],[Result]]*LN(Games[[#This Row],[ExpectedWin]])+(1-Games[[#This Row],[Result]])*LN(1-Games[[#This Row],[ExpectedWin]])))</f>
        <v>1.113053977142942</v>
      </c>
      <c r="AF405">
        <f>IF(Games[[#This Row],[Team]]="","",IF(Games[[#This Row],[Season]]&gt;=2021,17,16))</f>
        <v>16</v>
      </c>
      <c r="AG405">
        <f>IF(Games[[#This Row],[Team]]="","",KMax-(KMax-KFloor)*MIN(Games[[#This Row],[GamesPlayed]],Games[[#This Row],[SeasonLen]])/Games[[#This Row],[SeasonLen]])</f>
        <v>37.425000000000004</v>
      </c>
      <c r="AH405">
        <f>IF(Games[[#This Row],[Team]]="","",((ABS(Games[[#This Row],[MOV]])+3)^0.8)/(7.5+0.006*ABS(Games[[#This Row],[PreGmRate]]-Games[[#This Row],[OppPreGmRate]]))*IF(Games[[#This Row],[OT]]=1,0.7,1))</f>
        <v>0.99618158930439071</v>
      </c>
      <c r="AI40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5">
        <f>IF(Games[[#This Row],[Team]]="","",Games[[#This Row],[K]]*IF(Games[[#This Row],[DivG]]=1,DivMult,1)*IF(Games[[#This Row],[ConfG]]=1,ConfMult,1)*Games[[#This Row],[POMult]])</f>
        <v>37.425000000000004</v>
      </c>
      <c r="AK405">
        <f>IF(Games[[#This Row],[Team]]="","",(Games[[#This Row],[Keff]]*Games[[#This Row],[MOVMult]])*(Games[[#This Row],[Result]]-Games[[#This Row],[ExpectedWin]]))</f>
        <v>-25.0329130674595</v>
      </c>
      <c r="AL405">
        <f>IF(Games[[#This Row],[Team]]="","",Games[[#This Row],[PreGmRate]]+Games[[#This Row],[RatingChange]])</f>
        <v>1486.8787481313136</v>
      </c>
      <c r="AM405">
        <f>IF(Games[[#This Row],[Team]]="","",IF(Games[[#This Row],[Type]]="R",IF(Games[[#This Row],[Result]]&gt;0.5,1,0),0))</f>
        <v>0</v>
      </c>
      <c r="AN405">
        <f>IF(Games[[#This Row],[Team]]="","",IF(Games[[#This Row],[Type]]="R",IF(Games[[#This Row],[Result]]&lt;0.5,1,0),0))</f>
        <v>1</v>
      </c>
      <c r="AO405">
        <f>IF(Games[[#This Row],[Team]]="","",IF(Games[[#This Row],[Type]]="R",IF(Games[[#This Row],[Result]]=0.5,1,0),0))</f>
        <v>0</v>
      </c>
    </row>
    <row r="406" spans="1:41" x14ac:dyDescent="0.35">
      <c r="A406" s="8">
        <v>35407</v>
      </c>
      <c r="B406">
        <v>1996</v>
      </c>
      <c r="C406" t="s">
        <v>197</v>
      </c>
      <c r="D406" t="s">
        <v>199</v>
      </c>
      <c r="E406" t="s">
        <v>143</v>
      </c>
      <c r="F406" t="s">
        <v>145</v>
      </c>
      <c r="G406" t="s">
        <v>200</v>
      </c>
      <c r="H406">
        <v>16</v>
      </c>
      <c r="I406">
        <v>3</v>
      </c>
      <c r="J406">
        <v>0</v>
      </c>
      <c r="K40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0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0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0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06">
        <f>IF(Games[[#This Row],[Team]]="","",IF(Games[[#This Row],[Conf]]=Games[[#This Row],[OppConf]],1,0))</f>
        <v>1</v>
      </c>
      <c r="P406">
        <f>IF(Games[[#This Row],[Team]]="","",IF(AND(Games[[#This Row],[Conf]]=Games[[#This Row],[OppConf]],Games[[#This Row],[Div]]=Games[[#This Row],[OppDiv]]),1,0))</f>
        <v>0</v>
      </c>
      <c r="Q406">
        <f>IF(Games[[#This Row],[Team]]="","",_xlfn.MINIFS(Games[Date],Games[Season],Games[[#This Row],[Season]]))</f>
        <v>35309</v>
      </c>
      <c r="R406">
        <f>IF(Games[[#This Row],[Team]]="","",INT((Games[[#This Row],[Date]]-(Games[[#This Row],[SeasonStart]]-MOD(WEEKDAY(Games[[#This Row],[SeasonStart]],2)-2,7)))/7)+1)</f>
        <v>15</v>
      </c>
      <c r="S406">
        <f>IF(Games[[#This Row],[Team]]="","",COUNTIFS(Games[Team],Games[[#This Row],[Team]],Games[Season],Games[[#This Row],[Season]],Games[Week],"&lt;="&amp;Games[[#This Row],[Week]]))</f>
        <v>14</v>
      </c>
      <c r="T406">
        <f>IF(Games[[#This Row],[Team]]="","",_xlfn.MAXIFS(Games[Week],Games[Team],Games[[#This Row],[Team]],Games[Season],Games[[#This Row],[Season]],Games[Week],"&lt;"&amp;Games[[#This Row],[Week]]))</f>
        <v>14</v>
      </c>
      <c r="U406">
        <f>IF(Games[[#This Row],[Team]]="","",_xlfn.MAXIFS(Games[Week],Games[Team],Games[[#This Row],[Opponent]],Games[Season],Games[[#This Row],[Season]],Games[Week],"&lt;"&amp;Games[[#This Row],[Week]]))</f>
        <v>14</v>
      </c>
      <c r="V40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0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1577.6249562158141</v>
      </c>
      <c r="Z40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1463.1719612855409</v>
      </c>
      <c r="AA40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0.74522582271810822</v>
      </c>
      <c r="AB406">
        <f>IF(Games[[#This Row],[Team]]="","",Games[[#This Row],[PointsFor]]-Games[[#This Row],[PointsAgainst]])</f>
        <v>13</v>
      </c>
      <c r="AC406">
        <f>IF(Games[[#This Row],[Team]]="","",IF(Games[[#This Row],[MOV]]&gt;0,1,IF(Games[[#This Row],[MOV]]=0,0.5,0)))</f>
        <v>1</v>
      </c>
      <c r="AD406">
        <f>IF(Games[[#This Row],[Team]]="","",--(OR(AND(Games[[#This Row],[ExpectedWin]]&gt;=0.5,Games[[#This Row],[Result]]=1),AND(Games[[#This Row],[ExpectedWin]]&lt;0.5,Games[[#This Row],[Result]]=0))))</f>
        <v>1</v>
      </c>
      <c r="AE406">
        <f>IF(Games[[#This Row],[Team]]="","",-(Games[[#This Row],[Result]]*LN(Games[[#This Row],[ExpectedWin]])+(1-Games[[#This Row],[Result]])*LN(1-Games[[#This Row],[ExpectedWin]])))</f>
        <v>0.29406798879105189</v>
      </c>
      <c r="AF406">
        <f>IF(Games[[#This Row],[Team]]="","",IF(Games[[#This Row],[Season]]&gt;=2021,17,16))</f>
        <v>16</v>
      </c>
      <c r="AG406">
        <f>IF(Games[[#This Row],[Team]]="","",KMax-(KMax-KFloor)*MIN(Games[[#This Row],[GamesPlayed]],Games[[#This Row],[SeasonLen]])/Games[[#This Row],[SeasonLen]])</f>
        <v>37.425000000000004</v>
      </c>
      <c r="AH406">
        <f>IF(Games[[#This Row],[Team]]="","",((ABS(Games[[#This Row],[MOV]])+3)^0.8)/(7.5+0.006*ABS(Games[[#This Row],[PreGmRate]]-Games[[#This Row],[OppPreGmRate]]))*IF(Games[[#This Row],[OT]]=1,0.7,1))</f>
        <v>1.122499501524405</v>
      </c>
      <c r="AI40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6">
        <f>IF(Games[[#This Row],[Team]]="","",Games[[#This Row],[K]]*IF(Games[[#This Row],[DivG]]=1,DivMult,1)*IF(Games[[#This Row],[ConfG]]=1,ConfMult,1)*Games[[#This Row],[POMult]])</f>
        <v>38.173500000000004</v>
      </c>
      <c r="AK406">
        <f>IF(Games[[#This Row],[Team]]="","",(Games[[#This Row],[Keff]]*Games[[#This Row],[MOVMult]])*(Games[[#This Row],[Result]]-Games[[#This Row],[ExpectedWin]]))</f>
        <v>10.917005910402667</v>
      </c>
      <c r="AL406">
        <f>IF(Games[[#This Row],[Team]]="","",Games[[#This Row],[PreGmRate]]+Games[[#This Row],[RatingChange]])</f>
        <v>1588.5419621262167</v>
      </c>
      <c r="AM406">
        <f>IF(Games[[#This Row],[Team]]="","",IF(Games[[#This Row],[Type]]="R",IF(Games[[#This Row],[Result]]&gt;0.5,1,0),0))</f>
        <v>1</v>
      </c>
      <c r="AN406">
        <f>IF(Games[[#This Row],[Team]]="","",IF(Games[[#This Row],[Type]]="R",IF(Games[[#This Row],[Result]]&lt;0.5,1,0),0))</f>
        <v>0</v>
      </c>
      <c r="AO406">
        <f>IF(Games[[#This Row],[Team]]="","",IF(Games[[#This Row],[Type]]="R",IF(Games[[#This Row],[Result]]=0.5,1,0),0))</f>
        <v>0</v>
      </c>
    </row>
    <row r="407" spans="1:41" x14ac:dyDescent="0.35">
      <c r="A407" s="8">
        <v>35407</v>
      </c>
      <c r="B407">
        <v>1996</v>
      </c>
      <c r="C407" t="s">
        <v>197</v>
      </c>
      <c r="D407" t="s">
        <v>199</v>
      </c>
      <c r="E407" t="s">
        <v>145</v>
      </c>
      <c r="F407" t="s">
        <v>143</v>
      </c>
      <c r="G407" t="s">
        <v>201</v>
      </c>
      <c r="H407">
        <v>3</v>
      </c>
      <c r="I407">
        <v>16</v>
      </c>
      <c r="J407">
        <v>0</v>
      </c>
      <c r="K40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0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0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0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07">
        <f>IF(Games[[#This Row],[Team]]="","",IF(Games[[#This Row],[Conf]]=Games[[#This Row],[OppConf]],1,0))</f>
        <v>1</v>
      </c>
      <c r="P407">
        <f>IF(Games[[#This Row],[Team]]="","",IF(AND(Games[[#This Row],[Conf]]=Games[[#This Row],[OppConf]],Games[[#This Row],[Div]]=Games[[#This Row],[OppDiv]]),1,0))</f>
        <v>0</v>
      </c>
      <c r="Q407">
        <f>IF(Games[[#This Row],[Team]]="","",_xlfn.MINIFS(Games[Date],Games[Season],Games[[#This Row],[Season]]))</f>
        <v>35309</v>
      </c>
      <c r="R407">
        <f>IF(Games[[#This Row],[Team]]="","",INT((Games[[#This Row],[Date]]-(Games[[#This Row],[SeasonStart]]-MOD(WEEKDAY(Games[[#This Row],[SeasonStart]],2)-2,7)))/7)+1)</f>
        <v>15</v>
      </c>
      <c r="S407">
        <f>IF(Games[[#This Row],[Team]]="","",COUNTIFS(Games[Team],Games[[#This Row],[Team]],Games[Season],Games[[#This Row],[Season]],Games[Week],"&lt;="&amp;Games[[#This Row],[Week]]))</f>
        <v>14</v>
      </c>
      <c r="T407">
        <f>IF(Games[[#This Row],[Team]]="","",_xlfn.MAXIFS(Games[Week],Games[Team],Games[[#This Row],[Team]],Games[Season],Games[[#This Row],[Season]],Games[Week],"&lt;"&amp;Games[[#This Row],[Week]]))</f>
        <v>14</v>
      </c>
      <c r="U407">
        <f>IF(Games[[#This Row],[Team]]="","",_xlfn.MAXIFS(Games[Week],Games[Team],Games[[#This Row],[Opponent]],Games[Season],Games[[#This Row],[Season]],Games[Week],"&lt;"&amp;Games[[#This Row],[Week]]))</f>
        <v>14</v>
      </c>
      <c r="V40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0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1463.1719612855409</v>
      </c>
      <c r="Z40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1577.6249562158141</v>
      </c>
      <c r="AA40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0.25477417728189178</v>
      </c>
      <c r="AB407">
        <f>IF(Games[[#This Row],[Team]]="","",Games[[#This Row],[PointsFor]]-Games[[#This Row],[PointsAgainst]])</f>
        <v>-13</v>
      </c>
      <c r="AC407">
        <f>IF(Games[[#This Row],[Team]]="","",IF(Games[[#This Row],[MOV]]&gt;0,1,IF(Games[[#This Row],[MOV]]=0,0.5,0)))</f>
        <v>0</v>
      </c>
      <c r="AD407">
        <f>IF(Games[[#This Row],[Team]]="","",--(OR(AND(Games[[#This Row],[ExpectedWin]]&gt;=0.5,Games[[#This Row],[Result]]=1),AND(Games[[#This Row],[ExpectedWin]]&lt;0.5,Games[[#This Row],[Result]]=0))))</f>
        <v>1</v>
      </c>
      <c r="AE407">
        <f>IF(Games[[#This Row],[Team]]="","",-(Games[[#This Row],[Result]]*LN(Games[[#This Row],[ExpectedWin]])+(1-Games[[#This Row],[Result]])*LN(1-Games[[#This Row],[ExpectedWin]])))</f>
        <v>0.29406798879105189</v>
      </c>
      <c r="AF407">
        <f>IF(Games[[#This Row],[Team]]="","",IF(Games[[#This Row],[Season]]&gt;=2021,17,16))</f>
        <v>16</v>
      </c>
      <c r="AG407">
        <f>IF(Games[[#This Row],[Team]]="","",KMax-(KMax-KFloor)*MIN(Games[[#This Row],[GamesPlayed]],Games[[#This Row],[SeasonLen]])/Games[[#This Row],[SeasonLen]])</f>
        <v>37.425000000000004</v>
      </c>
      <c r="AH407">
        <f>IF(Games[[#This Row],[Team]]="","",((ABS(Games[[#This Row],[MOV]])+3)^0.8)/(7.5+0.006*ABS(Games[[#This Row],[PreGmRate]]-Games[[#This Row],[OppPreGmRate]]))*IF(Games[[#This Row],[OT]]=1,0.7,1))</f>
        <v>1.122499501524405</v>
      </c>
      <c r="AI40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7">
        <f>IF(Games[[#This Row],[Team]]="","",Games[[#This Row],[K]]*IF(Games[[#This Row],[DivG]]=1,DivMult,1)*IF(Games[[#This Row],[ConfG]]=1,ConfMult,1)*Games[[#This Row],[POMult]])</f>
        <v>38.173500000000004</v>
      </c>
      <c r="AK407">
        <f>IF(Games[[#This Row],[Team]]="","",(Games[[#This Row],[Keff]]*Games[[#This Row],[MOVMult]])*(Games[[#This Row],[Result]]-Games[[#This Row],[ExpectedWin]]))</f>
        <v>-10.917005910402667</v>
      </c>
      <c r="AL407">
        <f>IF(Games[[#This Row],[Team]]="","",Games[[#This Row],[PreGmRate]]+Games[[#This Row],[RatingChange]])</f>
        <v>1452.2549553751383</v>
      </c>
      <c r="AM407">
        <f>IF(Games[[#This Row],[Team]]="","",IF(Games[[#This Row],[Type]]="R",IF(Games[[#This Row],[Result]]&gt;0.5,1,0),0))</f>
        <v>0</v>
      </c>
      <c r="AN407">
        <f>IF(Games[[#This Row],[Team]]="","",IF(Games[[#This Row],[Type]]="R",IF(Games[[#This Row],[Result]]&lt;0.5,1,0),0))</f>
        <v>1</v>
      </c>
      <c r="AO407">
        <f>IF(Games[[#This Row],[Team]]="","",IF(Games[[#This Row],[Type]]="R",IF(Games[[#This Row],[Result]]=0.5,1,0),0))</f>
        <v>0</v>
      </c>
    </row>
    <row r="408" spans="1:41" x14ac:dyDescent="0.35">
      <c r="A408" s="8">
        <v>35407</v>
      </c>
      <c r="B408">
        <v>1996</v>
      </c>
      <c r="C408" t="s">
        <v>197</v>
      </c>
      <c r="D408" t="s">
        <v>199</v>
      </c>
      <c r="E408" t="s">
        <v>151</v>
      </c>
      <c r="F408" t="s">
        <v>154</v>
      </c>
      <c r="G408" t="s">
        <v>200</v>
      </c>
      <c r="H408">
        <v>24</v>
      </c>
      <c r="I408">
        <v>10</v>
      </c>
      <c r="J408">
        <v>0</v>
      </c>
      <c r="K40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0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0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0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08">
        <f>IF(Games[[#This Row],[Team]]="","",IF(Games[[#This Row],[Conf]]=Games[[#This Row],[OppConf]],1,0))</f>
        <v>1</v>
      </c>
      <c r="P408">
        <f>IF(Games[[#This Row],[Team]]="","",IF(AND(Games[[#This Row],[Conf]]=Games[[#This Row],[OppConf]],Games[[#This Row],[Div]]=Games[[#This Row],[OppDiv]]),1,0))</f>
        <v>0</v>
      </c>
      <c r="Q408">
        <f>IF(Games[[#This Row],[Team]]="","",_xlfn.MINIFS(Games[Date],Games[Season],Games[[#This Row],[Season]]))</f>
        <v>35309</v>
      </c>
      <c r="R408">
        <f>IF(Games[[#This Row],[Team]]="","",INT((Games[[#This Row],[Date]]-(Games[[#This Row],[SeasonStart]]-MOD(WEEKDAY(Games[[#This Row],[SeasonStart]],2)-2,7)))/7)+1)</f>
        <v>15</v>
      </c>
      <c r="S408">
        <f>IF(Games[[#This Row],[Team]]="","",COUNTIFS(Games[Team],Games[[#This Row],[Team]],Games[Season],Games[[#This Row],[Season]],Games[Week],"&lt;="&amp;Games[[#This Row],[Week]]))</f>
        <v>14</v>
      </c>
      <c r="T408">
        <f>IF(Games[[#This Row],[Team]]="","",_xlfn.MAXIFS(Games[Week],Games[Team],Games[[#This Row],[Team]],Games[Season],Games[[#This Row],[Season]],Games[Week],"&lt;"&amp;Games[[#This Row],[Week]]))</f>
        <v>14</v>
      </c>
      <c r="U408">
        <f>IF(Games[[#This Row],[Team]]="","",_xlfn.MAXIFS(Games[Week],Games[Team],Games[[#This Row],[Opponent]],Games[Season],Games[[#This Row],[Season]],Games[Week],"&lt;"&amp;Games[[#This Row],[Week]]))</f>
        <v>14</v>
      </c>
      <c r="V40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10</v>
      </c>
      <c r="X40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0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1395.9435379693405</v>
      </c>
      <c r="Z40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1549.3294642234598</v>
      </c>
      <c r="AA40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0.37682797332460677</v>
      </c>
      <c r="AB408">
        <f>IF(Games[[#This Row],[Team]]="","",Games[[#This Row],[PointsFor]]-Games[[#This Row],[PointsAgainst]])</f>
        <v>14</v>
      </c>
      <c r="AC408">
        <f>IF(Games[[#This Row],[Team]]="","",IF(Games[[#This Row],[MOV]]&gt;0,1,IF(Games[[#This Row],[MOV]]=0,0.5,0)))</f>
        <v>1</v>
      </c>
      <c r="AD408">
        <f>IF(Games[[#This Row],[Team]]="","",--(OR(AND(Games[[#This Row],[ExpectedWin]]&gt;=0.5,Games[[#This Row],[Result]]=1),AND(Games[[#This Row],[ExpectedWin]]&lt;0.5,Games[[#This Row],[Result]]=0))))</f>
        <v>0</v>
      </c>
      <c r="AE408">
        <f>IF(Games[[#This Row],[Team]]="","",-(Games[[#This Row],[Result]]*LN(Games[[#This Row],[ExpectedWin]])+(1-Games[[#This Row],[Result]])*LN(1-Games[[#This Row],[ExpectedWin]])))</f>
        <v>0.97596649985132033</v>
      </c>
      <c r="AF408">
        <f>IF(Games[[#This Row],[Team]]="","",IF(Games[[#This Row],[Season]]&gt;=2021,17,16))</f>
        <v>16</v>
      </c>
      <c r="AG408">
        <f>IF(Games[[#This Row],[Team]]="","",KMax-(KMax-KFloor)*MIN(Games[[#This Row],[GamesPlayed]],Games[[#This Row],[SeasonLen]])/Games[[#This Row],[SeasonLen]])</f>
        <v>37.425000000000004</v>
      </c>
      <c r="AH408">
        <f>IF(Games[[#This Row],[Team]]="","",((ABS(Games[[#This Row],[MOV]])+3)^0.8)/(7.5+0.006*ABS(Games[[#This Row],[PreGmRate]]-Games[[#This Row],[OppPreGmRate]]))*IF(Games[[#This Row],[OT]]=1,0.7,1))</f>
        <v>1.1455941039877766</v>
      </c>
      <c r="AI40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8">
        <f>IF(Games[[#This Row],[Team]]="","",Games[[#This Row],[K]]*IF(Games[[#This Row],[DivG]]=1,DivMult,1)*IF(Games[[#This Row],[ConfG]]=1,ConfMult,1)*Games[[#This Row],[POMult]])</f>
        <v>38.173500000000004</v>
      </c>
      <c r="AK408">
        <f>IF(Games[[#This Row],[Team]]="","",(Games[[#This Row],[Keff]]*Games[[#This Row],[MOVMult]])*(Games[[#This Row],[Result]]-Games[[#This Row],[ExpectedWin]]))</f>
        <v>27.252145613737234</v>
      </c>
      <c r="AL408">
        <f>IF(Games[[#This Row],[Team]]="","",Games[[#This Row],[PreGmRate]]+Games[[#This Row],[RatingChange]])</f>
        <v>1423.1956835830777</v>
      </c>
      <c r="AM408">
        <f>IF(Games[[#This Row],[Team]]="","",IF(Games[[#This Row],[Type]]="R",IF(Games[[#This Row],[Result]]&gt;0.5,1,0),0))</f>
        <v>1</v>
      </c>
      <c r="AN408">
        <f>IF(Games[[#This Row],[Team]]="","",IF(Games[[#This Row],[Type]]="R",IF(Games[[#This Row],[Result]]&lt;0.5,1,0),0))</f>
        <v>0</v>
      </c>
      <c r="AO408">
        <f>IF(Games[[#This Row],[Team]]="","",IF(Games[[#This Row],[Type]]="R",IF(Games[[#This Row],[Result]]=0.5,1,0),0))</f>
        <v>0</v>
      </c>
    </row>
    <row r="409" spans="1:41" x14ac:dyDescent="0.35">
      <c r="A409" s="8">
        <v>35407</v>
      </c>
      <c r="B409">
        <v>1996</v>
      </c>
      <c r="C409" t="s">
        <v>197</v>
      </c>
      <c r="D409" t="s">
        <v>199</v>
      </c>
      <c r="E409" t="s">
        <v>154</v>
      </c>
      <c r="F409" t="s">
        <v>151</v>
      </c>
      <c r="G409" t="s">
        <v>201</v>
      </c>
      <c r="H409">
        <v>10</v>
      </c>
      <c r="I409">
        <v>24</v>
      </c>
      <c r="J409">
        <v>0</v>
      </c>
      <c r="K40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0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0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0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09">
        <f>IF(Games[[#This Row],[Team]]="","",IF(Games[[#This Row],[Conf]]=Games[[#This Row],[OppConf]],1,0))</f>
        <v>1</v>
      </c>
      <c r="P409">
        <f>IF(Games[[#This Row],[Team]]="","",IF(AND(Games[[#This Row],[Conf]]=Games[[#This Row],[OppConf]],Games[[#This Row],[Div]]=Games[[#This Row],[OppDiv]]),1,0))</f>
        <v>0</v>
      </c>
      <c r="Q409">
        <f>IF(Games[[#This Row],[Team]]="","",_xlfn.MINIFS(Games[Date],Games[Season],Games[[#This Row],[Season]]))</f>
        <v>35309</v>
      </c>
      <c r="R409">
        <f>IF(Games[[#This Row],[Team]]="","",INT((Games[[#This Row],[Date]]-(Games[[#This Row],[SeasonStart]]-MOD(WEEKDAY(Games[[#This Row],[SeasonStart]],2)-2,7)))/7)+1)</f>
        <v>15</v>
      </c>
      <c r="S409">
        <f>IF(Games[[#This Row],[Team]]="","",COUNTIFS(Games[Team],Games[[#This Row],[Team]],Games[Season],Games[[#This Row],[Season]],Games[Week],"&lt;="&amp;Games[[#This Row],[Week]]))</f>
        <v>14</v>
      </c>
      <c r="T409">
        <f>IF(Games[[#This Row],[Team]]="","",_xlfn.MAXIFS(Games[Week],Games[Team],Games[[#This Row],[Team]],Games[Season],Games[[#This Row],[Season]],Games[Week],"&lt;"&amp;Games[[#This Row],[Week]]))</f>
        <v>14</v>
      </c>
      <c r="U409">
        <f>IF(Games[[#This Row],[Team]]="","",_xlfn.MAXIFS(Games[Week],Games[Team],Games[[#This Row],[Opponent]],Games[Season],Games[[#This Row],[Season]],Games[Week],"&lt;"&amp;Games[[#This Row],[Week]]))</f>
        <v>14</v>
      </c>
      <c r="V40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10</v>
      </c>
      <c r="W40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0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1549.3294642234598</v>
      </c>
      <c r="Z40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1395.9435379693405</v>
      </c>
      <c r="AA40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0.62317202667539318</v>
      </c>
      <c r="AB409">
        <f>IF(Games[[#This Row],[Team]]="","",Games[[#This Row],[PointsFor]]-Games[[#This Row],[PointsAgainst]])</f>
        <v>-14</v>
      </c>
      <c r="AC409">
        <f>IF(Games[[#This Row],[Team]]="","",IF(Games[[#This Row],[MOV]]&gt;0,1,IF(Games[[#This Row],[MOV]]=0,0.5,0)))</f>
        <v>0</v>
      </c>
      <c r="AD409">
        <f>IF(Games[[#This Row],[Team]]="","",--(OR(AND(Games[[#This Row],[ExpectedWin]]&gt;=0.5,Games[[#This Row],[Result]]=1),AND(Games[[#This Row],[ExpectedWin]]&lt;0.5,Games[[#This Row],[Result]]=0))))</f>
        <v>0</v>
      </c>
      <c r="AE409">
        <f>IF(Games[[#This Row],[Team]]="","",-(Games[[#This Row],[Result]]*LN(Games[[#This Row],[ExpectedWin]])+(1-Games[[#This Row],[Result]])*LN(1-Games[[#This Row],[ExpectedWin]])))</f>
        <v>0.97596649985132022</v>
      </c>
      <c r="AF409">
        <f>IF(Games[[#This Row],[Team]]="","",IF(Games[[#This Row],[Season]]&gt;=2021,17,16))</f>
        <v>16</v>
      </c>
      <c r="AG409">
        <f>IF(Games[[#This Row],[Team]]="","",KMax-(KMax-KFloor)*MIN(Games[[#This Row],[GamesPlayed]],Games[[#This Row],[SeasonLen]])/Games[[#This Row],[SeasonLen]])</f>
        <v>37.425000000000004</v>
      </c>
      <c r="AH409">
        <f>IF(Games[[#This Row],[Team]]="","",((ABS(Games[[#This Row],[MOV]])+3)^0.8)/(7.5+0.006*ABS(Games[[#This Row],[PreGmRate]]-Games[[#This Row],[OppPreGmRate]]))*IF(Games[[#This Row],[OT]]=1,0.7,1))</f>
        <v>1.1455941039877766</v>
      </c>
      <c r="AI40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9">
        <f>IF(Games[[#This Row],[Team]]="","",Games[[#This Row],[K]]*IF(Games[[#This Row],[DivG]]=1,DivMult,1)*IF(Games[[#This Row],[ConfG]]=1,ConfMult,1)*Games[[#This Row],[POMult]])</f>
        <v>38.173500000000004</v>
      </c>
      <c r="AK409">
        <f>IF(Games[[#This Row],[Team]]="","",(Games[[#This Row],[Keff]]*Games[[#This Row],[MOVMult]])*(Games[[#This Row],[Result]]-Games[[#This Row],[ExpectedWin]]))</f>
        <v>-27.252145613737227</v>
      </c>
      <c r="AL409">
        <f>IF(Games[[#This Row],[Team]]="","",Games[[#This Row],[PreGmRate]]+Games[[#This Row],[RatingChange]])</f>
        <v>1522.0773186097226</v>
      </c>
      <c r="AM409">
        <f>IF(Games[[#This Row],[Team]]="","",IF(Games[[#This Row],[Type]]="R",IF(Games[[#This Row],[Result]]&gt;0.5,1,0),0))</f>
        <v>0</v>
      </c>
      <c r="AN409">
        <f>IF(Games[[#This Row],[Team]]="","",IF(Games[[#This Row],[Type]]="R",IF(Games[[#This Row],[Result]]&lt;0.5,1,0),0))</f>
        <v>1</v>
      </c>
      <c r="AO409">
        <f>IF(Games[[#This Row],[Team]]="","",IF(Games[[#This Row],[Type]]="R",IF(Games[[#This Row],[Result]]=0.5,1,0),0))</f>
        <v>0</v>
      </c>
    </row>
    <row r="410" spans="1:41" x14ac:dyDescent="0.35">
      <c r="A410" s="8">
        <v>35407</v>
      </c>
      <c r="B410">
        <v>1996</v>
      </c>
      <c r="C410" t="s">
        <v>197</v>
      </c>
      <c r="D410" t="s">
        <v>199</v>
      </c>
      <c r="E410" t="s">
        <v>146</v>
      </c>
      <c r="F410" t="s">
        <v>106</v>
      </c>
      <c r="G410" t="s">
        <v>200</v>
      </c>
      <c r="H410">
        <v>26</v>
      </c>
      <c r="I410">
        <v>18</v>
      </c>
      <c r="J410">
        <v>0</v>
      </c>
      <c r="K41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1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1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1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10">
        <f>IF(Games[[#This Row],[Team]]="","",IF(Games[[#This Row],[Conf]]=Games[[#This Row],[OppConf]],1,0))</f>
        <v>1</v>
      </c>
      <c r="P410">
        <f>IF(Games[[#This Row],[Team]]="","",IF(AND(Games[[#This Row],[Conf]]=Games[[#This Row],[OppConf]],Games[[#This Row],[Div]]=Games[[#This Row],[OppDiv]]),1,0))</f>
        <v>0</v>
      </c>
      <c r="Q410">
        <f>IF(Games[[#This Row],[Team]]="","",_xlfn.MINIFS(Games[Date],Games[Season],Games[[#This Row],[Season]]))</f>
        <v>35309</v>
      </c>
      <c r="R410">
        <f>IF(Games[[#This Row],[Team]]="","",INT((Games[[#This Row],[Date]]-(Games[[#This Row],[SeasonStart]]-MOD(WEEKDAY(Games[[#This Row],[SeasonStart]],2)-2,7)))/7)+1)</f>
        <v>15</v>
      </c>
      <c r="S410">
        <f>IF(Games[[#This Row],[Team]]="","",COUNTIFS(Games[Team],Games[[#This Row],[Team]],Games[Season],Games[[#This Row],[Season]],Games[Week],"&lt;="&amp;Games[[#This Row],[Week]]))</f>
        <v>14</v>
      </c>
      <c r="T410">
        <f>IF(Games[[#This Row],[Team]]="","",_xlfn.MAXIFS(Games[Week],Games[Team],Games[[#This Row],[Team]],Games[Season],Games[[#This Row],[Season]],Games[Week],"&lt;"&amp;Games[[#This Row],[Week]]))</f>
        <v>14</v>
      </c>
      <c r="U410">
        <f>IF(Games[[#This Row],[Team]]="","",_xlfn.MAXIFS(Games[Week],Games[Team],Games[[#This Row],[Opponent]],Games[Season],Games[[#This Row],[Season]],Games[Week],"&lt;"&amp;Games[[#This Row],[Week]]))</f>
        <v>14</v>
      </c>
      <c r="V41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1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1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1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1454.4911647747224</v>
      </c>
      <c r="Z41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1565.8069620598183</v>
      </c>
      <c r="AA41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0.44366029445277172</v>
      </c>
      <c r="AB410">
        <f>IF(Games[[#This Row],[Team]]="","",Games[[#This Row],[PointsFor]]-Games[[#This Row],[PointsAgainst]])</f>
        <v>8</v>
      </c>
      <c r="AC410">
        <f>IF(Games[[#This Row],[Team]]="","",IF(Games[[#This Row],[MOV]]&gt;0,1,IF(Games[[#This Row],[MOV]]=0,0.5,0)))</f>
        <v>1</v>
      </c>
      <c r="AD410">
        <f>IF(Games[[#This Row],[Team]]="","",--(OR(AND(Games[[#This Row],[ExpectedWin]]&gt;=0.5,Games[[#This Row],[Result]]=1),AND(Games[[#This Row],[ExpectedWin]]&lt;0.5,Games[[#This Row],[Result]]=0))))</f>
        <v>0</v>
      </c>
      <c r="AE410">
        <f>IF(Games[[#This Row],[Team]]="","",-(Games[[#This Row],[Result]]*LN(Games[[#This Row],[ExpectedWin]])+(1-Games[[#This Row],[Result]])*LN(1-Games[[#This Row],[ExpectedWin]])))</f>
        <v>0.81269611197411984</v>
      </c>
      <c r="AF410">
        <f>IF(Games[[#This Row],[Team]]="","",IF(Games[[#This Row],[Season]]&gt;=2021,17,16))</f>
        <v>16</v>
      </c>
      <c r="AG410">
        <f>IF(Games[[#This Row],[Team]]="","",KMax-(KMax-KFloor)*MIN(Games[[#This Row],[GamesPlayed]],Games[[#This Row],[SeasonLen]])/Games[[#This Row],[SeasonLen]])</f>
        <v>37.425000000000004</v>
      </c>
      <c r="AH410">
        <f>IF(Games[[#This Row],[Team]]="","",((ABS(Games[[#This Row],[MOV]])+3)^0.8)/(7.5+0.006*ABS(Games[[#This Row],[PreGmRate]]-Games[[#This Row],[OppPreGmRate]]))*IF(Games[[#This Row],[OT]]=1,0.7,1))</f>
        <v>0.83368888897817517</v>
      </c>
      <c r="AI41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0">
        <f>IF(Games[[#This Row],[Team]]="","",Games[[#This Row],[K]]*IF(Games[[#This Row],[DivG]]=1,DivMult,1)*IF(Games[[#This Row],[ConfG]]=1,ConfMult,1)*Games[[#This Row],[POMult]])</f>
        <v>38.173500000000004</v>
      </c>
      <c r="AK410">
        <f>IF(Games[[#This Row],[Team]]="","",(Games[[#This Row],[Keff]]*Games[[#This Row],[MOVMult]])*(Games[[#This Row],[Result]]-Games[[#This Row],[ExpectedWin]]))</f>
        <v>17.705412547540931</v>
      </c>
      <c r="AL410">
        <f>IF(Games[[#This Row],[Team]]="","",Games[[#This Row],[PreGmRate]]+Games[[#This Row],[RatingChange]])</f>
        <v>1472.1965773222632</v>
      </c>
      <c r="AM410">
        <f>IF(Games[[#This Row],[Team]]="","",IF(Games[[#This Row],[Type]]="R",IF(Games[[#This Row],[Result]]&gt;0.5,1,0),0))</f>
        <v>1</v>
      </c>
      <c r="AN410">
        <f>IF(Games[[#This Row],[Team]]="","",IF(Games[[#This Row],[Type]]="R",IF(Games[[#This Row],[Result]]&lt;0.5,1,0),0))</f>
        <v>0</v>
      </c>
      <c r="AO410">
        <f>IF(Games[[#This Row],[Team]]="","",IF(Games[[#This Row],[Type]]="R",IF(Games[[#This Row],[Result]]=0.5,1,0),0))</f>
        <v>0</v>
      </c>
    </row>
    <row r="411" spans="1:41" x14ac:dyDescent="0.35">
      <c r="A411" s="8">
        <v>35407</v>
      </c>
      <c r="B411">
        <v>1996</v>
      </c>
      <c r="C411" t="s">
        <v>197</v>
      </c>
      <c r="D411" t="s">
        <v>199</v>
      </c>
      <c r="E411" t="s">
        <v>106</v>
      </c>
      <c r="F411" t="s">
        <v>146</v>
      </c>
      <c r="G411" t="s">
        <v>201</v>
      </c>
      <c r="H411">
        <v>18</v>
      </c>
      <c r="I411">
        <v>26</v>
      </c>
      <c r="J411">
        <v>0</v>
      </c>
      <c r="K41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1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1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1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11">
        <f>IF(Games[[#This Row],[Team]]="","",IF(Games[[#This Row],[Conf]]=Games[[#This Row],[OppConf]],1,0))</f>
        <v>1</v>
      </c>
      <c r="P411">
        <f>IF(Games[[#This Row],[Team]]="","",IF(AND(Games[[#This Row],[Conf]]=Games[[#This Row],[OppConf]],Games[[#This Row],[Div]]=Games[[#This Row],[OppDiv]]),1,0))</f>
        <v>0</v>
      </c>
      <c r="Q411">
        <f>IF(Games[[#This Row],[Team]]="","",_xlfn.MINIFS(Games[Date],Games[Season],Games[[#This Row],[Season]]))</f>
        <v>35309</v>
      </c>
      <c r="R411">
        <f>IF(Games[[#This Row],[Team]]="","",INT((Games[[#This Row],[Date]]-(Games[[#This Row],[SeasonStart]]-MOD(WEEKDAY(Games[[#This Row],[SeasonStart]],2)-2,7)))/7)+1)</f>
        <v>15</v>
      </c>
      <c r="S411">
        <f>IF(Games[[#This Row],[Team]]="","",COUNTIFS(Games[Team],Games[[#This Row],[Team]],Games[Season],Games[[#This Row],[Season]],Games[Week],"&lt;="&amp;Games[[#This Row],[Week]]))</f>
        <v>14</v>
      </c>
      <c r="T411">
        <f>IF(Games[[#This Row],[Team]]="","",_xlfn.MAXIFS(Games[Week],Games[Team],Games[[#This Row],[Team]],Games[Season],Games[[#This Row],[Season]],Games[Week],"&lt;"&amp;Games[[#This Row],[Week]]))</f>
        <v>14</v>
      </c>
      <c r="U411">
        <f>IF(Games[[#This Row],[Team]]="","",_xlfn.MAXIFS(Games[Week],Games[Team],Games[[#This Row],[Opponent]],Games[Season],Games[[#This Row],[Season]],Games[Week],"&lt;"&amp;Games[[#This Row],[Week]]))</f>
        <v>14</v>
      </c>
      <c r="V41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1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1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1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1565.8069620598183</v>
      </c>
      <c r="Z41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1454.4911647747224</v>
      </c>
      <c r="AA41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0.55633970554722834</v>
      </c>
      <c r="AB411">
        <f>IF(Games[[#This Row],[Team]]="","",Games[[#This Row],[PointsFor]]-Games[[#This Row],[PointsAgainst]])</f>
        <v>-8</v>
      </c>
      <c r="AC411">
        <f>IF(Games[[#This Row],[Team]]="","",IF(Games[[#This Row],[MOV]]&gt;0,1,IF(Games[[#This Row],[MOV]]=0,0.5,0)))</f>
        <v>0</v>
      </c>
      <c r="AD411">
        <f>IF(Games[[#This Row],[Team]]="","",--(OR(AND(Games[[#This Row],[ExpectedWin]]&gt;=0.5,Games[[#This Row],[Result]]=1),AND(Games[[#This Row],[ExpectedWin]]&lt;0.5,Games[[#This Row],[Result]]=0))))</f>
        <v>0</v>
      </c>
      <c r="AE411">
        <f>IF(Games[[#This Row],[Team]]="","",-(Games[[#This Row],[Result]]*LN(Games[[#This Row],[ExpectedWin]])+(1-Games[[#This Row],[Result]])*LN(1-Games[[#This Row],[ExpectedWin]])))</f>
        <v>0.81269611197411995</v>
      </c>
      <c r="AF411">
        <f>IF(Games[[#This Row],[Team]]="","",IF(Games[[#This Row],[Season]]&gt;=2021,17,16))</f>
        <v>16</v>
      </c>
      <c r="AG411">
        <f>IF(Games[[#This Row],[Team]]="","",KMax-(KMax-KFloor)*MIN(Games[[#This Row],[GamesPlayed]],Games[[#This Row],[SeasonLen]])/Games[[#This Row],[SeasonLen]])</f>
        <v>37.425000000000004</v>
      </c>
      <c r="AH411">
        <f>IF(Games[[#This Row],[Team]]="","",((ABS(Games[[#This Row],[MOV]])+3)^0.8)/(7.5+0.006*ABS(Games[[#This Row],[PreGmRate]]-Games[[#This Row],[OppPreGmRate]]))*IF(Games[[#This Row],[OT]]=1,0.7,1))</f>
        <v>0.83368888897817517</v>
      </c>
      <c r="AI41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1">
        <f>IF(Games[[#This Row],[Team]]="","",Games[[#This Row],[K]]*IF(Games[[#This Row],[DivG]]=1,DivMult,1)*IF(Games[[#This Row],[ConfG]]=1,ConfMult,1)*Games[[#This Row],[POMult]])</f>
        <v>38.173500000000004</v>
      </c>
      <c r="AK411">
        <f>IF(Games[[#This Row],[Team]]="","",(Games[[#This Row],[Keff]]*Games[[#This Row],[MOVMult]])*(Games[[#This Row],[Result]]-Games[[#This Row],[ExpectedWin]]))</f>
        <v>-17.705412547540931</v>
      </c>
      <c r="AL411">
        <f>IF(Games[[#This Row],[Team]]="","",Games[[#This Row],[PreGmRate]]+Games[[#This Row],[RatingChange]])</f>
        <v>1548.1015495122774</v>
      </c>
      <c r="AM411">
        <f>IF(Games[[#This Row],[Team]]="","",IF(Games[[#This Row],[Type]]="R",IF(Games[[#This Row],[Result]]&gt;0.5,1,0),0))</f>
        <v>0</v>
      </c>
      <c r="AN411">
        <f>IF(Games[[#This Row],[Team]]="","",IF(Games[[#This Row],[Type]]="R",IF(Games[[#This Row],[Result]]&lt;0.5,1,0),0))</f>
        <v>1</v>
      </c>
      <c r="AO411">
        <f>IF(Games[[#This Row],[Team]]="","",IF(Games[[#This Row],[Type]]="R",IF(Games[[#This Row],[Result]]=0.5,1,0),0))</f>
        <v>0</v>
      </c>
    </row>
    <row r="412" spans="1:41" x14ac:dyDescent="0.35">
      <c r="A412" s="8">
        <v>35407</v>
      </c>
      <c r="B412">
        <v>1996</v>
      </c>
      <c r="C412" t="s">
        <v>197</v>
      </c>
      <c r="D412" t="s">
        <v>199</v>
      </c>
      <c r="E412" t="s">
        <v>108</v>
      </c>
      <c r="F412" t="s">
        <v>148</v>
      </c>
      <c r="G412" t="s">
        <v>201</v>
      </c>
      <c r="H412">
        <v>30</v>
      </c>
      <c r="I412">
        <v>24</v>
      </c>
      <c r="J412">
        <v>0</v>
      </c>
      <c r="K41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1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1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1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12">
        <f>IF(Games[[#This Row],[Team]]="","",IF(Games[[#This Row],[Conf]]=Games[[#This Row],[OppConf]],1,0))</f>
        <v>1</v>
      </c>
      <c r="P412">
        <f>IF(Games[[#This Row],[Team]]="","",IF(AND(Games[[#This Row],[Conf]]=Games[[#This Row],[OppConf]],Games[[#This Row],[Div]]=Games[[#This Row],[OppDiv]]),1,0))</f>
        <v>1</v>
      </c>
      <c r="Q412">
        <f>IF(Games[[#This Row],[Team]]="","",_xlfn.MINIFS(Games[Date],Games[Season],Games[[#This Row],[Season]]))</f>
        <v>35309</v>
      </c>
      <c r="R412">
        <f>IF(Games[[#This Row],[Team]]="","",INT((Games[[#This Row],[Date]]-(Games[[#This Row],[SeasonStart]]-MOD(WEEKDAY(Games[[#This Row],[SeasonStart]],2)-2,7)))/7)+1)</f>
        <v>15</v>
      </c>
      <c r="S412">
        <f>IF(Games[[#This Row],[Team]]="","",COUNTIFS(Games[Team],Games[[#This Row],[Team]],Games[Season],Games[[#This Row],[Season]],Games[Week],"&lt;="&amp;Games[[#This Row],[Week]]))</f>
        <v>14</v>
      </c>
      <c r="T412">
        <f>IF(Games[[#This Row],[Team]]="","",_xlfn.MAXIFS(Games[Week],Games[Team],Games[[#This Row],[Team]],Games[Season],Games[[#This Row],[Season]],Games[Week],"&lt;"&amp;Games[[#This Row],[Week]]))</f>
        <v>14</v>
      </c>
      <c r="U412">
        <f>IF(Games[[#This Row],[Team]]="","",_xlfn.MAXIFS(Games[Week],Games[Team],Games[[#This Row],[Opponent]],Games[Season],Games[[#This Row],[Season]],Games[Week],"&lt;"&amp;Games[[#This Row],[Week]]))</f>
        <v>14</v>
      </c>
      <c r="V41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1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1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1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1626.6178893916353</v>
      </c>
      <c r="Z41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1636.3310941310926</v>
      </c>
      <c r="AA41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0.39273260158275214</v>
      </c>
      <c r="AB412">
        <f>IF(Games[[#This Row],[Team]]="","",Games[[#This Row],[PointsFor]]-Games[[#This Row],[PointsAgainst]])</f>
        <v>6</v>
      </c>
      <c r="AC412">
        <f>IF(Games[[#This Row],[Team]]="","",IF(Games[[#This Row],[MOV]]&gt;0,1,IF(Games[[#This Row],[MOV]]=0,0.5,0)))</f>
        <v>1</v>
      </c>
      <c r="AD412">
        <f>IF(Games[[#This Row],[Team]]="","",--(OR(AND(Games[[#This Row],[ExpectedWin]]&gt;=0.5,Games[[#This Row],[Result]]=1),AND(Games[[#This Row],[ExpectedWin]]&lt;0.5,Games[[#This Row],[Result]]=0))))</f>
        <v>0</v>
      </c>
      <c r="AE412">
        <f>IF(Games[[#This Row],[Team]]="","",-(Games[[#This Row],[Result]]*LN(Games[[#This Row],[ExpectedWin]])+(1-Games[[#This Row],[Result]])*LN(1-Games[[#This Row],[ExpectedWin]])))</f>
        <v>0.93462630178943684</v>
      </c>
      <c r="AF412">
        <f>IF(Games[[#This Row],[Team]]="","",IF(Games[[#This Row],[Season]]&gt;=2021,17,16))</f>
        <v>16</v>
      </c>
      <c r="AG412">
        <f>IF(Games[[#This Row],[Team]]="","",KMax-(KMax-KFloor)*MIN(Games[[#This Row],[GamesPlayed]],Games[[#This Row],[SeasonLen]])/Games[[#This Row],[SeasonLen]])</f>
        <v>37.425000000000004</v>
      </c>
      <c r="AH412">
        <f>IF(Games[[#This Row],[Team]]="","",((ABS(Games[[#This Row],[MOV]])+3)^0.8)/(7.5+0.006*ABS(Games[[#This Row],[PreGmRate]]-Games[[#This Row],[OppPreGmRate]]))*IF(Games[[#This Row],[OT]]=1,0.7,1))</f>
        <v>0.76731038368832427</v>
      </c>
      <c r="AI41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2">
        <f>IF(Games[[#This Row],[Team]]="","",Games[[#This Row],[K]]*IF(Games[[#This Row],[DivG]]=1,DivMult,1)*IF(Games[[#This Row],[ConfG]]=1,ConfMult,1)*Games[[#This Row],[POMult]])</f>
        <v>41.990850000000009</v>
      </c>
      <c r="AK412">
        <f>IF(Games[[#This Row],[Team]]="","",(Games[[#This Row],[Keff]]*Games[[#This Row],[MOVMult]])*(Games[[#This Row],[Result]]-Games[[#This Row],[ExpectedWin]]))</f>
        <v>19.566164822588462</v>
      </c>
      <c r="AL412">
        <f>IF(Games[[#This Row],[Team]]="","",Games[[#This Row],[PreGmRate]]+Games[[#This Row],[RatingChange]])</f>
        <v>1646.1840542142238</v>
      </c>
      <c r="AM412">
        <f>IF(Games[[#This Row],[Team]]="","",IF(Games[[#This Row],[Type]]="R",IF(Games[[#This Row],[Result]]&gt;0.5,1,0),0))</f>
        <v>1</v>
      </c>
      <c r="AN412">
        <f>IF(Games[[#This Row],[Team]]="","",IF(Games[[#This Row],[Type]]="R",IF(Games[[#This Row],[Result]]&lt;0.5,1,0),0))</f>
        <v>0</v>
      </c>
      <c r="AO412">
        <f>IF(Games[[#This Row],[Team]]="","",IF(Games[[#This Row],[Type]]="R",IF(Games[[#This Row],[Result]]=0.5,1,0),0))</f>
        <v>0</v>
      </c>
    </row>
    <row r="413" spans="1:41" x14ac:dyDescent="0.35">
      <c r="A413" s="8">
        <v>35407</v>
      </c>
      <c r="B413">
        <v>1996</v>
      </c>
      <c r="C413" t="s">
        <v>197</v>
      </c>
      <c r="D413" t="s">
        <v>199</v>
      </c>
      <c r="E413" t="s">
        <v>148</v>
      </c>
      <c r="F413" t="s">
        <v>108</v>
      </c>
      <c r="G413" t="s">
        <v>200</v>
      </c>
      <c r="H413">
        <v>24</v>
      </c>
      <c r="I413">
        <v>30</v>
      </c>
      <c r="J413">
        <v>0</v>
      </c>
      <c r="K41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1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1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1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13">
        <f>IF(Games[[#This Row],[Team]]="","",IF(Games[[#This Row],[Conf]]=Games[[#This Row],[OppConf]],1,0))</f>
        <v>1</v>
      </c>
      <c r="P413">
        <f>IF(Games[[#This Row],[Team]]="","",IF(AND(Games[[#This Row],[Conf]]=Games[[#This Row],[OppConf]],Games[[#This Row],[Div]]=Games[[#This Row],[OppDiv]]),1,0))</f>
        <v>1</v>
      </c>
      <c r="Q413">
        <f>IF(Games[[#This Row],[Team]]="","",_xlfn.MINIFS(Games[Date],Games[Season],Games[[#This Row],[Season]]))</f>
        <v>35309</v>
      </c>
      <c r="R413">
        <f>IF(Games[[#This Row],[Team]]="","",INT((Games[[#This Row],[Date]]-(Games[[#This Row],[SeasonStart]]-MOD(WEEKDAY(Games[[#This Row],[SeasonStart]],2)-2,7)))/7)+1)</f>
        <v>15</v>
      </c>
      <c r="S413">
        <f>IF(Games[[#This Row],[Team]]="","",COUNTIFS(Games[Team],Games[[#This Row],[Team]],Games[Season],Games[[#This Row],[Season]],Games[Week],"&lt;="&amp;Games[[#This Row],[Week]]))</f>
        <v>14</v>
      </c>
      <c r="T413">
        <f>IF(Games[[#This Row],[Team]]="","",_xlfn.MAXIFS(Games[Week],Games[Team],Games[[#This Row],[Team]],Games[Season],Games[[#This Row],[Season]],Games[Week],"&lt;"&amp;Games[[#This Row],[Week]]))</f>
        <v>14</v>
      </c>
      <c r="U413">
        <f>IF(Games[[#This Row],[Team]]="","",_xlfn.MAXIFS(Games[Week],Games[Team],Games[[#This Row],[Opponent]],Games[Season],Games[[#This Row],[Season]],Games[Week],"&lt;"&amp;Games[[#This Row],[Week]]))</f>
        <v>14</v>
      </c>
      <c r="V41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1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1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1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1636.3310941310926</v>
      </c>
      <c r="Z41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1626.6178893916353</v>
      </c>
      <c r="AA41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0.60726739841724786</v>
      </c>
      <c r="AB413">
        <f>IF(Games[[#This Row],[Team]]="","",Games[[#This Row],[PointsFor]]-Games[[#This Row],[PointsAgainst]])</f>
        <v>-6</v>
      </c>
      <c r="AC413">
        <f>IF(Games[[#This Row],[Team]]="","",IF(Games[[#This Row],[MOV]]&gt;0,1,IF(Games[[#This Row],[MOV]]=0,0.5,0)))</f>
        <v>0</v>
      </c>
      <c r="AD413">
        <f>IF(Games[[#This Row],[Team]]="","",--(OR(AND(Games[[#This Row],[ExpectedWin]]&gt;=0.5,Games[[#This Row],[Result]]=1),AND(Games[[#This Row],[ExpectedWin]]&lt;0.5,Games[[#This Row],[Result]]=0))))</f>
        <v>0</v>
      </c>
      <c r="AE413">
        <f>IF(Games[[#This Row],[Team]]="","",-(Games[[#This Row],[Result]]*LN(Games[[#This Row],[ExpectedWin]])+(1-Games[[#This Row],[Result]])*LN(1-Games[[#This Row],[ExpectedWin]])))</f>
        <v>0.93462630178943684</v>
      </c>
      <c r="AF413">
        <f>IF(Games[[#This Row],[Team]]="","",IF(Games[[#This Row],[Season]]&gt;=2021,17,16))</f>
        <v>16</v>
      </c>
      <c r="AG413">
        <f>IF(Games[[#This Row],[Team]]="","",KMax-(KMax-KFloor)*MIN(Games[[#This Row],[GamesPlayed]],Games[[#This Row],[SeasonLen]])/Games[[#This Row],[SeasonLen]])</f>
        <v>37.425000000000004</v>
      </c>
      <c r="AH413">
        <f>IF(Games[[#This Row],[Team]]="","",((ABS(Games[[#This Row],[MOV]])+3)^0.8)/(7.5+0.006*ABS(Games[[#This Row],[PreGmRate]]-Games[[#This Row],[OppPreGmRate]]))*IF(Games[[#This Row],[OT]]=1,0.7,1))</f>
        <v>0.76731038368832427</v>
      </c>
      <c r="AI41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3">
        <f>IF(Games[[#This Row],[Team]]="","",Games[[#This Row],[K]]*IF(Games[[#This Row],[DivG]]=1,DivMult,1)*IF(Games[[#This Row],[ConfG]]=1,ConfMult,1)*Games[[#This Row],[POMult]])</f>
        <v>41.990850000000009</v>
      </c>
      <c r="AK413">
        <f>IF(Games[[#This Row],[Team]]="","",(Games[[#This Row],[Keff]]*Games[[#This Row],[MOVMult]])*(Games[[#This Row],[Result]]-Games[[#This Row],[ExpectedWin]]))</f>
        <v>-19.566164822588462</v>
      </c>
      <c r="AL413">
        <f>IF(Games[[#This Row],[Team]]="","",Games[[#This Row],[PreGmRate]]+Games[[#This Row],[RatingChange]])</f>
        <v>1616.7649293085042</v>
      </c>
      <c r="AM413">
        <f>IF(Games[[#This Row],[Team]]="","",IF(Games[[#This Row],[Type]]="R",IF(Games[[#This Row],[Result]]&gt;0.5,1,0),0))</f>
        <v>0</v>
      </c>
      <c r="AN413">
        <f>IF(Games[[#This Row],[Team]]="","",IF(Games[[#This Row],[Type]]="R",IF(Games[[#This Row],[Result]]&lt;0.5,1,0),0))</f>
        <v>1</v>
      </c>
      <c r="AO413">
        <f>IF(Games[[#This Row],[Team]]="","",IF(Games[[#This Row],[Type]]="R",IF(Games[[#This Row],[Result]]=0.5,1,0),0))</f>
        <v>0</v>
      </c>
    </row>
    <row r="414" spans="1:41" x14ac:dyDescent="0.35">
      <c r="A414" s="8">
        <v>35407</v>
      </c>
      <c r="B414">
        <v>1996</v>
      </c>
      <c r="C414" t="s">
        <v>197</v>
      </c>
      <c r="D414" t="s">
        <v>199</v>
      </c>
      <c r="E414" t="s">
        <v>114</v>
      </c>
      <c r="F414" t="s">
        <v>93</v>
      </c>
      <c r="G414" t="s">
        <v>201</v>
      </c>
      <c r="H414">
        <v>10</v>
      </c>
      <c r="I414">
        <v>6</v>
      </c>
      <c r="J414">
        <v>0</v>
      </c>
      <c r="K41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1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1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1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14">
        <f>IF(Games[[#This Row],[Team]]="","",IF(Games[[#This Row],[Conf]]=Games[[#This Row],[OppConf]],1,0))</f>
        <v>1</v>
      </c>
      <c r="P414">
        <f>IF(Games[[#This Row],[Team]]="","",IF(AND(Games[[#This Row],[Conf]]=Games[[#This Row],[OppConf]],Games[[#This Row],[Div]]=Games[[#This Row],[OppDiv]]),1,0))</f>
        <v>1</v>
      </c>
      <c r="Q414">
        <f>IF(Games[[#This Row],[Team]]="","",_xlfn.MINIFS(Games[Date],Games[Season],Games[[#This Row],[Season]]))</f>
        <v>35309</v>
      </c>
      <c r="R414">
        <f>IF(Games[[#This Row],[Team]]="","",INT((Games[[#This Row],[Date]]-(Games[[#This Row],[SeasonStart]]-MOD(WEEKDAY(Games[[#This Row],[SeasonStart]],2)-2,7)))/7)+1)</f>
        <v>15</v>
      </c>
      <c r="S414">
        <f>IF(Games[[#This Row],[Team]]="","",COUNTIFS(Games[Team],Games[[#This Row],[Team]],Games[Season],Games[[#This Row],[Season]],Games[Week],"&lt;="&amp;Games[[#This Row],[Week]]))</f>
        <v>14</v>
      </c>
      <c r="T414">
        <f>IF(Games[[#This Row],[Team]]="","",_xlfn.MAXIFS(Games[Week],Games[Team],Games[[#This Row],[Team]],Games[Season],Games[[#This Row],[Season]],Games[Week],"&lt;"&amp;Games[[#This Row],[Week]]))</f>
        <v>14</v>
      </c>
      <c r="U414">
        <f>IF(Games[[#This Row],[Team]]="","",_xlfn.MAXIFS(Games[Week],Games[Team],Games[[#This Row],[Opponent]],Games[Season],Games[[#This Row],[Season]],Games[Week],"&lt;"&amp;Games[[#This Row],[Week]]))</f>
        <v>14</v>
      </c>
      <c r="V41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10</v>
      </c>
      <c r="W41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1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1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1578.5018986187506</v>
      </c>
      <c r="Z41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1416.8515173298754</v>
      </c>
      <c r="AA41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0.63427660656980323</v>
      </c>
      <c r="AB414">
        <f>IF(Games[[#This Row],[Team]]="","",Games[[#This Row],[PointsFor]]-Games[[#This Row],[PointsAgainst]])</f>
        <v>4</v>
      </c>
      <c r="AC414">
        <f>IF(Games[[#This Row],[Team]]="","",IF(Games[[#This Row],[MOV]]&gt;0,1,IF(Games[[#This Row],[MOV]]=0,0.5,0)))</f>
        <v>1</v>
      </c>
      <c r="AD414">
        <f>IF(Games[[#This Row],[Team]]="","",--(OR(AND(Games[[#This Row],[ExpectedWin]]&gt;=0.5,Games[[#This Row],[Result]]=1),AND(Games[[#This Row],[ExpectedWin]]&lt;0.5,Games[[#This Row],[Result]]=0))))</f>
        <v>1</v>
      </c>
      <c r="AE414">
        <f>IF(Games[[#This Row],[Team]]="","",-(Games[[#This Row],[Result]]*LN(Games[[#This Row],[ExpectedWin]])+(1-Games[[#This Row],[Result]])*LN(1-Games[[#This Row],[ExpectedWin]])))</f>
        <v>0.45527013172584302</v>
      </c>
      <c r="AF414">
        <f>IF(Games[[#This Row],[Team]]="","",IF(Games[[#This Row],[Season]]&gt;=2021,17,16))</f>
        <v>16</v>
      </c>
      <c r="AG414">
        <f>IF(Games[[#This Row],[Team]]="","",KMax-(KMax-KFloor)*MIN(Games[[#This Row],[GamesPlayed]],Games[[#This Row],[SeasonLen]])/Games[[#This Row],[SeasonLen]])</f>
        <v>37.425000000000004</v>
      </c>
      <c r="AH414">
        <f>IF(Games[[#This Row],[Team]]="","",((ABS(Games[[#This Row],[MOV]])+3)^0.8)/(7.5+0.006*ABS(Games[[#This Row],[PreGmRate]]-Games[[#This Row],[OppPreGmRate]]))*IF(Games[[#This Row],[OT]]=1,0.7,1))</f>
        <v>0.56001547983297706</v>
      </c>
      <c r="AI41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4">
        <f>IF(Games[[#This Row],[Team]]="","",Games[[#This Row],[K]]*IF(Games[[#This Row],[DivG]]=1,DivMult,1)*IF(Games[[#This Row],[ConfG]]=1,ConfMult,1)*Games[[#This Row],[POMult]])</f>
        <v>41.990850000000009</v>
      </c>
      <c r="AK414">
        <f>IF(Games[[#This Row],[Team]]="","",(Games[[#This Row],[Keff]]*Games[[#This Row],[MOVMult]])*(Games[[#This Row],[Result]]-Games[[#This Row],[ExpectedWin]]))</f>
        <v>8.6001779711649959</v>
      </c>
      <c r="AL414">
        <f>IF(Games[[#This Row],[Team]]="","",Games[[#This Row],[PreGmRate]]+Games[[#This Row],[RatingChange]])</f>
        <v>1587.1020765899157</v>
      </c>
      <c r="AM414">
        <f>IF(Games[[#This Row],[Team]]="","",IF(Games[[#This Row],[Type]]="R",IF(Games[[#This Row],[Result]]&gt;0.5,1,0),0))</f>
        <v>1</v>
      </c>
      <c r="AN414">
        <f>IF(Games[[#This Row],[Team]]="","",IF(Games[[#This Row],[Type]]="R",IF(Games[[#This Row],[Result]]&lt;0.5,1,0),0))</f>
        <v>0</v>
      </c>
      <c r="AO414">
        <f>IF(Games[[#This Row],[Team]]="","",IF(Games[[#This Row],[Type]]="R",IF(Games[[#This Row],[Result]]=0.5,1,0),0))</f>
        <v>0</v>
      </c>
    </row>
    <row r="415" spans="1:41" x14ac:dyDescent="0.35">
      <c r="A415" s="8">
        <v>35407</v>
      </c>
      <c r="B415">
        <v>1996</v>
      </c>
      <c r="C415" t="s">
        <v>197</v>
      </c>
      <c r="D415" t="s">
        <v>199</v>
      </c>
      <c r="E415" t="s">
        <v>93</v>
      </c>
      <c r="F415" t="s">
        <v>114</v>
      </c>
      <c r="G415" t="s">
        <v>200</v>
      </c>
      <c r="H415">
        <v>6</v>
      </c>
      <c r="I415">
        <v>10</v>
      </c>
      <c r="J415">
        <v>0</v>
      </c>
      <c r="K41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1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1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1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15">
        <f>IF(Games[[#This Row],[Team]]="","",IF(Games[[#This Row],[Conf]]=Games[[#This Row],[OppConf]],1,0))</f>
        <v>1</v>
      </c>
      <c r="P415">
        <f>IF(Games[[#This Row],[Team]]="","",IF(AND(Games[[#This Row],[Conf]]=Games[[#This Row],[OppConf]],Games[[#This Row],[Div]]=Games[[#This Row],[OppDiv]]),1,0))</f>
        <v>1</v>
      </c>
      <c r="Q415">
        <f>IF(Games[[#This Row],[Team]]="","",_xlfn.MINIFS(Games[Date],Games[Season],Games[[#This Row],[Season]]))</f>
        <v>35309</v>
      </c>
      <c r="R415">
        <f>IF(Games[[#This Row],[Team]]="","",INT((Games[[#This Row],[Date]]-(Games[[#This Row],[SeasonStart]]-MOD(WEEKDAY(Games[[#This Row],[SeasonStart]],2)-2,7)))/7)+1)</f>
        <v>15</v>
      </c>
      <c r="S415">
        <f>IF(Games[[#This Row],[Team]]="","",COUNTIFS(Games[Team],Games[[#This Row],[Team]],Games[Season],Games[[#This Row],[Season]],Games[Week],"&lt;="&amp;Games[[#This Row],[Week]]))</f>
        <v>14</v>
      </c>
      <c r="T415">
        <f>IF(Games[[#This Row],[Team]]="","",_xlfn.MAXIFS(Games[Week],Games[Team],Games[[#This Row],[Team]],Games[Season],Games[[#This Row],[Season]],Games[Week],"&lt;"&amp;Games[[#This Row],[Week]]))</f>
        <v>14</v>
      </c>
      <c r="U415">
        <f>IF(Games[[#This Row],[Team]]="","",_xlfn.MAXIFS(Games[Week],Games[Team],Games[[#This Row],[Opponent]],Games[Season],Games[[#This Row],[Season]],Games[Week],"&lt;"&amp;Games[[#This Row],[Week]]))</f>
        <v>14</v>
      </c>
      <c r="V41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1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10</v>
      </c>
      <c r="X41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1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1416.8515173298754</v>
      </c>
      <c r="Z41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1578.5018986187506</v>
      </c>
      <c r="AA41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0.36572339343019683</v>
      </c>
      <c r="AB415">
        <f>IF(Games[[#This Row],[Team]]="","",Games[[#This Row],[PointsFor]]-Games[[#This Row],[PointsAgainst]])</f>
        <v>-4</v>
      </c>
      <c r="AC415">
        <f>IF(Games[[#This Row],[Team]]="","",IF(Games[[#This Row],[MOV]]&gt;0,1,IF(Games[[#This Row],[MOV]]=0,0.5,0)))</f>
        <v>0</v>
      </c>
      <c r="AD415">
        <f>IF(Games[[#This Row],[Team]]="","",--(OR(AND(Games[[#This Row],[ExpectedWin]]&gt;=0.5,Games[[#This Row],[Result]]=1),AND(Games[[#This Row],[ExpectedWin]]&lt;0.5,Games[[#This Row],[Result]]=0))))</f>
        <v>1</v>
      </c>
      <c r="AE415">
        <f>IF(Games[[#This Row],[Team]]="","",-(Games[[#This Row],[Result]]*LN(Games[[#This Row],[ExpectedWin]])+(1-Games[[#This Row],[Result]])*LN(1-Games[[#This Row],[ExpectedWin]])))</f>
        <v>0.45527013172584319</v>
      </c>
      <c r="AF415">
        <f>IF(Games[[#This Row],[Team]]="","",IF(Games[[#This Row],[Season]]&gt;=2021,17,16))</f>
        <v>16</v>
      </c>
      <c r="AG415">
        <f>IF(Games[[#This Row],[Team]]="","",KMax-(KMax-KFloor)*MIN(Games[[#This Row],[GamesPlayed]],Games[[#This Row],[SeasonLen]])/Games[[#This Row],[SeasonLen]])</f>
        <v>37.425000000000004</v>
      </c>
      <c r="AH415">
        <f>IF(Games[[#This Row],[Team]]="","",((ABS(Games[[#This Row],[MOV]])+3)^0.8)/(7.5+0.006*ABS(Games[[#This Row],[PreGmRate]]-Games[[#This Row],[OppPreGmRate]]))*IF(Games[[#This Row],[OT]]=1,0.7,1))</f>
        <v>0.56001547983297706</v>
      </c>
      <c r="AI41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5">
        <f>IF(Games[[#This Row],[Team]]="","",Games[[#This Row],[K]]*IF(Games[[#This Row],[DivG]]=1,DivMult,1)*IF(Games[[#This Row],[ConfG]]=1,ConfMult,1)*Games[[#This Row],[POMult]])</f>
        <v>41.990850000000009</v>
      </c>
      <c r="AK415">
        <f>IF(Games[[#This Row],[Team]]="","",(Games[[#This Row],[Keff]]*Games[[#This Row],[MOVMult]])*(Games[[#This Row],[Result]]-Games[[#This Row],[ExpectedWin]]))</f>
        <v>-8.6001779711649977</v>
      </c>
      <c r="AL415">
        <f>IF(Games[[#This Row],[Team]]="","",Games[[#This Row],[PreGmRate]]+Games[[#This Row],[RatingChange]])</f>
        <v>1408.2513393587103</v>
      </c>
      <c r="AM415">
        <f>IF(Games[[#This Row],[Team]]="","",IF(Games[[#This Row],[Type]]="R",IF(Games[[#This Row],[Result]]&gt;0.5,1,0),0))</f>
        <v>0</v>
      </c>
      <c r="AN415">
        <f>IF(Games[[#This Row],[Team]]="","",IF(Games[[#This Row],[Type]]="R",IF(Games[[#This Row],[Result]]&lt;0.5,1,0),0))</f>
        <v>1</v>
      </c>
      <c r="AO415">
        <f>IF(Games[[#This Row],[Team]]="","",IF(Games[[#This Row],[Type]]="R",IF(Games[[#This Row],[Result]]=0.5,1,0),0))</f>
        <v>0</v>
      </c>
    </row>
    <row r="416" spans="1:41" x14ac:dyDescent="0.35">
      <c r="A416" s="8">
        <v>35407</v>
      </c>
      <c r="B416">
        <v>1996</v>
      </c>
      <c r="C416" t="s">
        <v>197</v>
      </c>
      <c r="D416" t="s">
        <v>199</v>
      </c>
      <c r="E416" t="s">
        <v>132</v>
      </c>
      <c r="F416" t="s">
        <v>138</v>
      </c>
      <c r="G416" t="s">
        <v>200</v>
      </c>
      <c r="H416">
        <v>34</v>
      </c>
      <c r="I416">
        <v>10</v>
      </c>
      <c r="J416">
        <v>0</v>
      </c>
      <c r="K41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1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1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1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16">
        <f>IF(Games[[#This Row],[Team]]="","",IF(Games[[#This Row],[Conf]]=Games[[#This Row],[OppConf]],1,0))</f>
        <v>1</v>
      </c>
      <c r="P416">
        <f>IF(Games[[#This Row],[Team]]="","",IF(AND(Games[[#This Row],[Conf]]=Games[[#This Row],[OppConf]],Games[[#This Row],[Div]]=Games[[#This Row],[OppDiv]]),1,0))</f>
        <v>1</v>
      </c>
      <c r="Q416">
        <f>IF(Games[[#This Row],[Team]]="","",_xlfn.MINIFS(Games[Date],Games[Season],Games[[#This Row],[Season]]))</f>
        <v>35309</v>
      </c>
      <c r="R416">
        <f>IF(Games[[#This Row],[Team]]="","",INT((Games[[#This Row],[Date]]-(Games[[#This Row],[SeasonStart]]-MOD(WEEKDAY(Games[[#This Row],[SeasonStart]],2)-2,7)))/7)+1)</f>
        <v>15</v>
      </c>
      <c r="S416">
        <f>IF(Games[[#This Row],[Team]]="","",COUNTIFS(Games[Team],Games[[#This Row],[Team]],Games[Season],Games[[#This Row],[Season]],Games[Week],"&lt;="&amp;Games[[#This Row],[Week]]))</f>
        <v>14</v>
      </c>
      <c r="T416">
        <f>IF(Games[[#This Row],[Team]]="","",_xlfn.MAXIFS(Games[Week],Games[Team],Games[[#This Row],[Team]],Games[Season],Games[[#This Row],[Season]],Games[Week],"&lt;"&amp;Games[[#This Row],[Week]]))</f>
        <v>14</v>
      </c>
      <c r="U416">
        <f>IF(Games[[#This Row],[Team]]="","",_xlfn.MAXIFS(Games[Week],Games[Team],Games[[#This Row],[Opponent]],Games[Season],Games[[#This Row],[Season]],Games[Week],"&lt;"&amp;Games[[#This Row],[Week]]))</f>
        <v>14</v>
      </c>
      <c r="V41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1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1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1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1618.6661586908831</v>
      </c>
      <c r="Z41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1314.634664743736</v>
      </c>
      <c r="AA41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0.89702627370981058</v>
      </c>
      <c r="AB416">
        <f>IF(Games[[#This Row],[Team]]="","",Games[[#This Row],[PointsFor]]-Games[[#This Row],[PointsAgainst]])</f>
        <v>24</v>
      </c>
      <c r="AC416">
        <f>IF(Games[[#This Row],[Team]]="","",IF(Games[[#This Row],[MOV]]&gt;0,1,IF(Games[[#This Row],[MOV]]=0,0.5,0)))</f>
        <v>1</v>
      </c>
      <c r="AD416">
        <f>IF(Games[[#This Row],[Team]]="","",--(OR(AND(Games[[#This Row],[ExpectedWin]]&gt;=0.5,Games[[#This Row],[Result]]=1),AND(Games[[#This Row],[ExpectedWin]]&lt;0.5,Games[[#This Row],[Result]]=0))))</f>
        <v>1</v>
      </c>
      <c r="AE416">
        <f>IF(Games[[#This Row],[Team]]="","",-(Games[[#This Row],[Result]]*LN(Games[[#This Row],[ExpectedWin]])+(1-Games[[#This Row],[Result]])*LN(1-Games[[#This Row],[ExpectedWin]])))</f>
        <v>0.10867012670591493</v>
      </c>
      <c r="AF416">
        <f>IF(Games[[#This Row],[Team]]="","",IF(Games[[#This Row],[Season]]&gt;=2021,17,16))</f>
        <v>16</v>
      </c>
      <c r="AG416">
        <f>IF(Games[[#This Row],[Team]]="","",KMax-(KMax-KFloor)*MIN(Games[[#This Row],[GamesPlayed]],Games[[#This Row],[SeasonLen]])/Games[[#This Row],[SeasonLen]])</f>
        <v>37.425000000000004</v>
      </c>
      <c r="AH416">
        <f>IF(Games[[#This Row],[Team]]="","",((ABS(Games[[#This Row],[MOV]])+3)^0.8)/(7.5+0.006*ABS(Games[[#This Row],[PreGmRate]]-Games[[#This Row],[OppPreGmRate]]))*IF(Games[[#This Row],[OT]]=1,0.7,1))</f>
        <v>1.4978900813397593</v>
      </c>
      <c r="AI41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6">
        <f>IF(Games[[#This Row],[Team]]="","",Games[[#This Row],[K]]*IF(Games[[#This Row],[DivG]]=1,DivMult,1)*IF(Games[[#This Row],[ConfG]]=1,ConfMult,1)*Games[[#This Row],[POMult]])</f>
        <v>41.990850000000009</v>
      </c>
      <c r="AK416">
        <f>IF(Games[[#This Row],[Team]]="","",(Games[[#This Row],[Keff]]*Games[[#This Row],[MOVMult]])*(Games[[#This Row],[Result]]-Games[[#This Row],[ExpectedWin]]))</f>
        <v>6.4768082500364139</v>
      </c>
      <c r="AL416">
        <f>IF(Games[[#This Row],[Team]]="","",Games[[#This Row],[PreGmRate]]+Games[[#This Row],[RatingChange]])</f>
        <v>1625.1429669409195</v>
      </c>
      <c r="AM416">
        <f>IF(Games[[#This Row],[Team]]="","",IF(Games[[#This Row],[Type]]="R",IF(Games[[#This Row],[Result]]&gt;0.5,1,0),0))</f>
        <v>1</v>
      </c>
      <c r="AN416">
        <f>IF(Games[[#This Row],[Team]]="","",IF(Games[[#This Row],[Type]]="R",IF(Games[[#This Row],[Result]]&lt;0.5,1,0),0))</f>
        <v>0</v>
      </c>
      <c r="AO416">
        <f>IF(Games[[#This Row],[Team]]="","",IF(Games[[#This Row],[Type]]="R",IF(Games[[#This Row],[Result]]=0.5,1,0),0))</f>
        <v>0</v>
      </c>
    </row>
    <row r="417" spans="1:41" x14ac:dyDescent="0.35">
      <c r="A417" s="8">
        <v>35407</v>
      </c>
      <c r="B417">
        <v>1996</v>
      </c>
      <c r="C417" t="s">
        <v>197</v>
      </c>
      <c r="D417" t="s">
        <v>199</v>
      </c>
      <c r="E417" t="s">
        <v>138</v>
      </c>
      <c r="F417" t="s">
        <v>132</v>
      </c>
      <c r="G417" t="s">
        <v>201</v>
      </c>
      <c r="H417">
        <v>10</v>
      </c>
      <c r="I417">
        <v>34</v>
      </c>
      <c r="J417">
        <v>0</v>
      </c>
      <c r="K41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1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1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1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17">
        <f>IF(Games[[#This Row],[Team]]="","",IF(Games[[#This Row],[Conf]]=Games[[#This Row],[OppConf]],1,0))</f>
        <v>1</v>
      </c>
      <c r="P417">
        <f>IF(Games[[#This Row],[Team]]="","",IF(AND(Games[[#This Row],[Conf]]=Games[[#This Row],[OppConf]],Games[[#This Row],[Div]]=Games[[#This Row],[OppDiv]]),1,0))</f>
        <v>1</v>
      </c>
      <c r="Q417">
        <f>IF(Games[[#This Row],[Team]]="","",_xlfn.MINIFS(Games[Date],Games[Season],Games[[#This Row],[Season]]))</f>
        <v>35309</v>
      </c>
      <c r="R417">
        <f>IF(Games[[#This Row],[Team]]="","",INT((Games[[#This Row],[Date]]-(Games[[#This Row],[SeasonStart]]-MOD(WEEKDAY(Games[[#This Row],[SeasonStart]],2)-2,7)))/7)+1)</f>
        <v>15</v>
      </c>
      <c r="S417">
        <f>IF(Games[[#This Row],[Team]]="","",COUNTIFS(Games[Team],Games[[#This Row],[Team]],Games[Season],Games[[#This Row],[Season]],Games[Week],"&lt;="&amp;Games[[#This Row],[Week]]))</f>
        <v>14</v>
      </c>
      <c r="T417">
        <f>IF(Games[[#This Row],[Team]]="","",_xlfn.MAXIFS(Games[Week],Games[Team],Games[[#This Row],[Team]],Games[Season],Games[[#This Row],[Season]],Games[Week],"&lt;"&amp;Games[[#This Row],[Week]]))</f>
        <v>14</v>
      </c>
      <c r="U417">
        <f>IF(Games[[#This Row],[Team]]="","",_xlfn.MAXIFS(Games[Week],Games[Team],Games[[#This Row],[Opponent]],Games[Season],Games[[#This Row],[Season]],Games[Week],"&lt;"&amp;Games[[#This Row],[Week]]))</f>
        <v>14</v>
      </c>
      <c r="V41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1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1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1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1314.634664743736</v>
      </c>
      <c r="Z41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1618.6661586908831</v>
      </c>
      <c r="AA41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0.10297372629018946</v>
      </c>
      <c r="AB417">
        <f>IF(Games[[#This Row],[Team]]="","",Games[[#This Row],[PointsFor]]-Games[[#This Row],[PointsAgainst]])</f>
        <v>-24</v>
      </c>
      <c r="AC417">
        <f>IF(Games[[#This Row],[Team]]="","",IF(Games[[#This Row],[MOV]]&gt;0,1,IF(Games[[#This Row],[MOV]]=0,0.5,0)))</f>
        <v>0</v>
      </c>
      <c r="AD417">
        <f>IF(Games[[#This Row],[Team]]="","",--(OR(AND(Games[[#This Row],[ExpectedWin]]&gt;=0.5,Games[[#This Row],[Result]]=1),AND(Games[[#This Row],[ExpectedWin]]&lt;0.5,Games[[#This Row],[Result]]=0))))</f>
        <v>1</v>
      </c>
      <c r="AE417">
        <f>IF(Games[[#This Row],[Team]]="","",-(Games[[#This Row],[Result]]*LN(Games[[#This Row],[ExpectedWin]])+(1-Games[[#This Row],[Result]])*LN(1-Games[[#This Row],[ExpectedWin]])))</f>
        <v>0.10867012670591493</v>
      </c>
      <c r="AF417">
        <f>IF(Games[[#This Row],[Team]]="","",IF(Games[[#This Row],[Season]]&gt;=2021,17,16))</f>
        <v>16</v>
      </c>
      <c r="AG417">
        <f>IF(Games[[#This Row],[Team]]="","",KMax-(KMax-KFloor)*MIN(Games[[#This Row],[GamesPlayed]],Games[[#This Row],[SeasonLen]])/Games[[#This Row],[SeasonLen]])</f>
        <v>37.425000000000004</v>
      </c>
      <c r="AH417">
        <f>IF(Games[[#This Row],[Team]]="","",((ABS(Games[[#This Row],[MOV]])+3)^0.8)/(7.5+0.006*ABS(Games[[#This Row],[PreGmRate]]-Games[[#This Row],[OppPreGmRate]]))*IF(Games[[#This Row],[OT]]=1,0.7,1))</f>
        <v>1.4978900813397593</v>
      </c>
      <c r="AI41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7">
        <f>IF(Games[[#This Row],[Team]]="","",Games[[#This Row],[K]]*IF(Games[[#This Row],[DivG]]=1,DivMult,1)*IF(Games[[#This Row],[ConfG]]=1,ConfMult,1)*Games[[#This Row],[POMult]])</f>
        <v>41.990850000000009</v>
      </c>
      <c r="AK417">
        <f>IF(Games[[#This Row],[Team]]="","",(Games[[#This Row],[Keff]]*Games[[#This Row],[MOVMult]])*(Games[[#This Row],[Result]]-Games[[#This Row],[ExpectedWin]]))</f>
        <v>-6.4768082500364166</v>
      </c>
      <c r="AL417">
        <f>IF(Games[[#This Row],[Team]]="","",Games[[#This Row],[PreGmRate]]+Games[[#This Row],[RatingChange]])</f>
        <v>1308.1578564936997</v>
      </c>
      <c r="AM417">
        <f>IF(Games[[#This Row],[Team]]="","",IF(Games[[#This Row],[Type]]="R",IF(Games[[#This Row],[Result]]&gt;0.5,1,0),0))</f>
        <v>0</v>
      </c>
      <c r="AN417">
        <f>IF(Games[[#This Row],[Team]]="","",IF(Games[[#This Row],[Type]]="R",IF(Games[[#This Row],[Result]]&lt;0.5,1,0),0))</f>
        <v>1</v>
      </c>
      <c r="AO417">
        <f>IF(Games[[#This Row],[Team]]="","",IF(Games[[#This Row],[Type]]="R",IF(Games[[#This Row],[Result]]=0.5,1,0),0))</f>
        <v>0</v>
      </c>
    </row>
    <row r="418" spans="1:41" x14ac:dyDescent="0.35">
      <c r="A418" s="8">
        <v>35407</v>
      </c>
      <c r="B418">
        <v>1996</v>
      </c>
      <c r="C418" t="s">
        <v>197</v>
      </c>
      <c r="D418" t="s">
        <v>199</v>
      </c>
      <c r="E418" t="s">
        <v>130</v>
      </c>
      <c r="F418" t="s">
        <v>118</v>
      </c>
      <c r="G418" t="s">
        <v>201</v>
      </c>
      <c r="H418">
        <v>24</v>
      </c>
      <c r="I418">
        <v>22</v>
      </c>
      <c r="J418">
        <v>0</v>
      </c>
      <c r="K41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1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1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1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18">
        <f>IF(Games[[#This Row],[Team]]="","",IF(Games[[#This Row],[Conf]]=Games[[#This Row],[OppConf]],1,0))</f>
        <v>1</v>
      </c>
      <c r="P418">
        <f>IF(Games[[#This Row],[Team]]="","",IF(AND(Games[[#This Row],[Conf]]=Games[[#This Row],[OppConf]],Games[[#This Row],[Div]]=Games[[#This Row],[OppDiv]]),1,0))</f>
        <v>1</v>
      </c>
      <c r="Q418">
        <f>IF(Games[[#This Row],[Team]]="","",_xlfn.MINIFS(Games[Date],Games[Season],Games[[#This Row],[Season]]))</f>
        <v>35309</v>
      </c>
      <c r="R418">
        <f>IF(Games[[#This Row],[Team]]="","",INT((Games[[#This Row],[Date]]-(Games[[#This Row],[SeasonStart]]-MOD(WEEKDAY(Games[[#This Row],[SeasonStart]],2)-2,7)))/7)+1)</f>
        <v>15</v>
      </c>
      <c r="S418">
        <f>IF(Games[[#This Row],[Team]]="","",COUNTIFS(Games[Team],Games[[#This Row],[Team]],Games[Season],Games[[#This Row],[Season]],Games[Week],"&lt;="&amp;Games[[#This Row],[Week]]))</f>
        <v>14</v>
      </c>
      <c r="T418">
        <f>IF(Games[[#This Row],[Team]]="","",_xlfn.MAXIFS(Games[Week],Games[Team],Games[[#This Row],[Team]],Games[Season],Games[[#This Row],[Season]],Games[Week],"&lt;"&amp;Games[[#This Row],[Week]]))</f>
        <v>14</v>
      </c>
      <c r="U418">
        <f>IF(Games[[#This Row],[Team]]="","",_xlfn.MAXIFS(Games[Week],Games[Team],Games[[#This Row],[Opponent]],Games[Season],Games[[#This Row],[Season]],Games[Week],"&lt;"&amp;Games[[#This Row],[Week]]))</f>
        <v>14</v>
      </c>
      <c r="V41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1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10</v>
      </c>
      <c r="X41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1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1492.7697346831478</v>
      </c>
      <c r="Z41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1425.62798789776</v>
      </c>
      <c r="AA41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0.48437880303625569</v>
      </c>
      <c r="AB418">
        <f>IF(Games[[#This Row],[Team]]="","",Games[[#This Row],[PointsFor]]-Games[[#This Row],[PointsAgainst]])</f>
        <v>2</v>
      </c>
      <c r="AC418">
        <f>IF(Games[[#This Row],[Team]]="","",IF(Games[[#This Row],[MOV]]&gt;0,1,IF(Games[[#This Row],[MOV]]=0,0.5,0)))</f>
        <v>1</v>
      </c>
      <c r="AD418">
        <f>IF(Games[[#This Row],[Team]]="","",--(OR(AND(Games[[#This Row],[ExpectedWin]]&gt;=0.5,Games[[#This Row],[Result]]=1),AND(Games[[#This Row],[ExpectedWin]]&lt;0.5,Games[[#This Row],[Result]]=0))))</f>
        <v>0</v>
      </c>
      <c r="AE418">
        <f>IF(Games[[#This Row],[Team]]="","",-(Games[[#This Row],[Result]]*LN(Games[[#This Row],[ExpectedWin]])+(1-Games[[#This Row],[Result]])*LN(1-Games[[#This Row],[ExpectedWin]])))</f>
        <v>0.72488802747565872</v>
      </c>
      <c r="AF418">
        <f>IF(Games[[#This Row],[Team]]="","",IF(Games[[#This Row],[Season]]&gt;=2021,17,16))</f>
        <v>16</v>
      </c>
      <c r="AG418">
        <f>IF(Games[[#This Row],[Team]]="","",KMax-(KMax-KFloor)*MIN(Games[[#This Row],[GamesPlayed]],Games[[#This Row],[SeasonLen]])/Games[[#This Row],[SeasonLen]])</f>
        <v>37.425000000000004</v>
      </c>
      <c r="AH418">
        <f>IF(Games[[#This Row],[Team]]="","",((ABS(Games[[#This Row],[MOV]])+3)^0.8)/(7.5+0.006*ABS(Games[[#This Row],[PreGmRate]]-Games[[#This Row],[OppPreGmRate]]))*IF(Games[[#This Row],[OT]]=1,0.7,1))</f>
        <v>0.45855584984594522</v>
      </c>
      <c r="AI41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8">
        <f>IF(Games[[#This Row],[Team]]="","",Games[[#This Row],[K]]*IF(Games[[#This Row],[DivG]]=1,DivMult,1)*IF(Games[[#This Row],[ConfG]]=1,ConfMult,1)*Games[[#This Row],[POMult]])</f>
        <v>41.990850000000009</v>
      </c>
      <c r="AK418">
        <f>IF(Games[[#This Row],[Team]]="","",(Games[[#This Row],[Keff]]*Games[[#This Row],[MOVMult]])*(Games[[#This Row],[Result]]-Games[[#This Row],[ExpectedWin]]))</f>
        <v>9.9283634430233434</v>
      </c>
      <c r="AL418">
        <f>IF(Games[[#This Row],[Team]]="","",Games[[#This Row],[PreGmRate]]+Games[[#This Row],[RatingChange]])</f>
        <v>1502.6980981261711</v>
      </c>
      <c r="AM418">
        <f>IF(Games[[#This Row],[Team]]="","",IF(Games[[#This Row],[Type]]="R",IF(Games[[#This Row],[Result]]&gt;0.5,1,0),0))</f>
        <v>1</v>
      </c>
      <c r="AN418">
        <f>IF(Games[[#This Row],[Team]]="","",IF(Games[[#This Row],[Type]]="R",IF(Games[[#This Row],[Result]]&lt;0.5,1,0),0))</f>
        <v>0</v>
      </c>
      <c r="AO418">
        <f>IF(Games[[#This Row],[Team]]="","",IF(Games[[#This Row],[Type]]="R",IF(Games[[#This Row],[Result]]=0.5,1,0),0))</f>
        <v>0</v>
      </c>
    </row>
    <row r="419" spans="1:41" x14ac:dyDescent="0.35">
      <c r="A419" s="8">
        <v>35407</v>
      </c>
      <c r="B419">
        <v>1996</v>
      </c>
      <c r="C419" t="s">
        <v>197</v>
      </c>
      <c r="D419" t="s">
        <v>199</v>
      </c>
      <c r="E419" t="s">
        <v>118</v>
      </c>
      <c r="F419" t="s">
        <v>130</v>
      </c>
      <c r="G419" t="s">
        <v>200</v>
      </c>
      <c r="H419">
        <v>22</v>
      </c>
      <c r="I419">
        <v>24</v>
      </c>
      <c r="J419">
        <v>0</v>
      </c>
      <c r="K41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1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1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1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19">
        <f>IF(Games[[#This Row],[Team]]="","",IF(Games[[#This Row],[Conf]]=Games[[#This Row],[OppConf]],1,0))</f>
        <v>1</v>
      </c>
      <c r="P419">
        <f>IF(Games[[#This Row],[Team]]="","",IF(AND(Games[[#This Row],[Conf]]=Games[[#This Row],[OppConf]],Games[[#This Row],[Div]]=Games[[#This Row],[OppDiv]]),1,0))</f>
        <v>1</v>
      </c>
      <c r="Q419">
        <f>IF(Games[[#This Row],[Team]]="","",_xlfn.MINIFS(Games[Date],Games[Season],Games[[#This Row],[Season]]))</f>
        <v>35309</v>
      </c>
      <c r="R419">
        <f>IF(Games[[#This Row],[Team]]="","",INT((Games[[#This Row],[Date]]-(Games[[#This Row],[SeasonStart]]-MOD(WEEKDAY(Games[[#This Row],[SeasonStart]],2)-2,7)))/7)+1)</f>
        <v>15</v>
      </c>
      <c r="S419">
        <f>IF(Games[[#This Row],[Team]]="","",COUNTIFS(Games[Team],Games[[#This Row],[Team]],Games[Season],Games[[#This Row],[Season]],Games[Week],"&lt;="&amp;Games[[#This Row],[Week]]))</f>
        <v>14</v>
      </c>
      <c r="T419">
        <f>IF(Games[[#This Row],[Team]]="","",_xlfn.MAXIFS(Games[Week],Games[Team],Games[[#This Row],[Team]],Games[Season],Games[[#This Row],[Season]],Games[Week],"&lt;"&amp;Games[[#This Row],[Week]]))</f>
        <v>14</v>
      </c>
      <c r="U419">
        <f>IF(Games[[#This Row],[Team]]="","",_xlfn.MAXIFS(Games[Week],Games[Team],Games[[#This Row],[Opponent]],Games[Season],Games[[#This Row],[Season]],Games[Week],"&lt;"&amp;Games[[#This Row],[Week]]))</f>
        <v>14</v>
      </c>
      <c r="V41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10</v>
      </c>
      <c r="W41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1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1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1425.62798789776</v>
      </c>
      <c r="Z41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1492.7697346831478</v>
      </c>
      <c r="AA41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0.51562119696374431</v>
      </c>
      <c r="AB419">
        <f>IF(Games[[#This Row],[Team]]="","",Games[[#This Row],[PointsFor]]-Games[[#This Row],[PointsAgainst]])</f>
        <v>-2</v>
      </c>
      <c r="AC419">
        <f>IF(Games[[#This Row],[Team]]="","",IF(Games[[#This Row],[MOV]]&gt;0,1,IF(Games[[#This Row],[MOV]]=0,0.5,0)))</f>
        <v>0</v>
      </c>
      <c r="AD419">
        <f>IF(Games[[#This Row],[Team]]="","",--(OR(AND(Games[[#This Row],[ExpectedWin]]&gt;=0.5,Games[[#This Row],[Result]]=1),AND(Games[[#This Row],[ExpectedWin]]&lt;0.5,Games[[#This Row],[Result]]=0))))</f>
        <v>0</v>
      </c>
      <c r="AE419">
        <f>IF(Games[[#This Row],[Team]]="","",-(Games[[#This Row],[Result]]*LN(Games[[#This Row],[ExpectedWin]])+(1-Games[[#This Row],[Result]])*LN(1-Games[[#This Row],[ExpectedWin]])))</f>
        <v>0.72488802747565872</v>
      </c>
      <c r="AF419">
        <f>IF(Games[[#This Row],[Team]]="","",IF(Games[[#This Row],[Season]]&gt;=2021,17,16))</f>
        <v>16</v>
      </c>
      <c r="AG419">
        <f>IF(Games[[#This Row],[Team]]="","",KMax-(KMax-KFloor)*MIN(Games[[#This Row],[GamesPlayed]],Games[[#This Row],[SeasonLen]])/Games[[#This Row],[SeasonLen]])</f>
        <v>37.425000000000004</v>
      </c>
      <c r="AH419">
        <f>IF(Games[[#This Row],[Team]]="","",((ABS(Games[[#This Row],[MOV]])+3)^0.8)/(7.5+0.006*ABS(Games[[#This Row],[PreGmRate]]-Games[[#This Row],[OppPreGmRate]]))*IF(Games[[#This Row],[OT]]=1,0.7,1))</f>
        <v>0.45855584984594522</v>
      </c>
      <c r="AI41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9">
        <f>IF(Games[[#This Row],[Team]]="","",Games[[#This Row],[K]]*IF(Games[[#This Row],[DivG]]=1,DivMult,1)*IF(Games[[#This Row],[ConfG]]=1,ConfMult,1)*Games[[#This Row],[POMult]])</f>
        <v>41.990850000000009</v>
      </c>
      <c r="AK419">
        <f>IF(Games[[#This Row],[Team]]="","",(Games[[#This Row],[Keff]]*Games[[#This Row],[MOVMult]])*(Games[[#This Row],[Result]]-Games[[#This Row],[ExpectedWin]]))</f>
        <v>-9.9283634430233434</v>
      </c>
      <c r="AL419">
        <f>IF(Games[[#This Row],[Team]]="","",Games[[#This Row],[PreGmRate]]+Games[[#This Row],[RatingChange]])</f>
        <v>1415.6996244547367</v>
      </c>
      <c r="AM419">
        <f>IF(Games[[#This Row],[Team]]="","",IF(Games[[#This Row],[Type]]="R",IF(Games[[#This Row],[Result]]&gt;0.5,1,0),0))</f>
        <v>0</v>
      </c>
      <c r="AN419">
        <f>IF(Games[[#This Row],[Team]]="","",IF(Games[[#This Row],[Type]]="R",IF(Games[[#This Row],[Result]]&lt;0.5,1,0),0))</f>
        <v>1</v>
      </c>
      <c r="AO419">
        <f>IF(Games[[#This Row],[Team]]="","",IF(Games[[#This Row],[Type]]="R",IF(Games[[#This Row],[Result]]=0.5,1,0),0))</f>
        <v>0</v>
      </c>
    </row>
    <row r="420" spans="1:41" x14ac:dyDescent="0.35">
      <c r="A420" s="8">
        <v>35408</v>
      </c>
      <c r="B420">
        <v>1996</v>
      </c>
      <c r="C420" t="s">
        <v>197</v>
      </c>
      <c r="D420" t="s">
        <v>199</v>
      </c>
      <c r="E420" t="s">
        <v>140</v>
      </c>
      <c r="F420" t="s">
        <v>126</v>
      </c>
      <c r="G420" t="s">
        <v>200</v>
      </c>
      <c r="H420">
        <v>26</v>
      </c>
      <c r="I420">
        <v>7</v>
      </c>
      <c r="J420">
        <v>0</v>
      </c>
      <c r="K42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2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2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2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20">
        <f>IF(Games[[#This Row],[Team]]="","",IF(Games[[#This Row],[Conf]]=Games[[#This Row],[OppConf]],1,0))</f>
        <v>1</v>
      </c>
      <c r="P420">
        <f>IF(Games[[#This Row],[Team]]="","",IF(AND(Games[[#This Row],[Conf]]=Games[[#This Row],[OppConf]],Games[[#This Row],[Div]]=Games[[#This Row],[OppDiv]]),1,0))</f>
        <v>1</v>
      </c>
      <c r="Q420">
        <f>IF(Games[[#This Row],[Team]]="","",_xlfn.MINIFS(Games[Date],Games[Season],Games[[#This Row],[Season]]))</f>
        <v>35309</v>
      </c>
      <c r="R420">
        <f>IF(Games[[#This Row],[Team]]="","",INT((Games[[#This Row],[Date]]-(Games[[#This Row],[SeasonStart]]-MOD(WEEKDAY(Games[[#This Row],[SeasonStart]],2)-2,7)))/7)+1)</f>
        <v>15</v>
      </c>
      <c r="S420">
        <f>IF(Games[[#This Row],[Team]]="","",COUNTIFS(Games[Team],Games[[#This Row],[Team]],Games[Season],Games[[#This Row],[Season]],Games[Week],"&lt;="&amp;Games[[#This Row],[Week]]))</f>
        <v>14</v>
      </c>
      <c r="T420">
        <f>IF(Games[[#This Row],[Team]]="","",_xlfn.MAXIFS(Games[Week],Games[Team],Games[[#This Row],[Team]],Games[Season],Games[[#This Row],[Season]],Games[Week],"&lt;"&amp;Games[[#This Row],[Week]]))</f>
        <v>14</v>
      </c>
      <c r="U420">
        <f>IF(Games[[#This Row],[Team]]="","",_xlfn.MAXIFS(Games[Week],Games[Team],Games[[#This Row],[Opponent]],Games[Season],Games[[#This Row],[Season]],Games[Week],"&lt;"&amp;Games[[#This Row],[Week]]))</f>
        <v>14</v>
      </c>
      <c r="V42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42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11</v>
      </c>
      <c r="X42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2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1554.4360653730046</v>
      </c>
      <c r="Z42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1552.5841054682353</v>
      </c>
      <c r="AA42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0.59642406664639691</v>
      </c>
      <c r="AB420">
        <f>IF(Games[[#This Row],[Team]]="","",Games[[#This Row],[PointsFor]]-Games[[#This Row],[PointsAgainst]])</f>
        <v>19</v>
      </c>
      <c r="AC420">
        <f>IF(Games[[#This Row],[Team]]="","",IF(Games[[#This Row],[MOV]]&gt;0,1,IF(Games[[#This Row],[MOV]]=0,0.5,0)))</f>
        <v>1</v>
      </c>
      <c r="AD420">
        <f>IF(Games[[#This Row],[Team]]="","",--(OR(AND(Games[[#This Row],[ExpectedWin]]&gt;=0.5,Games[[#This Row],[Result]]=1),AND(Games[[#This Row],[ExpectedWin]]&lt;0.5,Games[[#This Row],[Result]]=0))))</f>
        <v>1</v>
      </c>
      <c r="AE420">
        <f>IF(Games[[#This Row],[Team]]="","",-(Games[[#This Row],[Result]]*LN(Games[[#This Row],[ExpectedWin]])+(1-Games[[#This Row],[Result]])*LN(1-Games[[#This Row],[ExpectedWin]])))</f>
        <v>0.51680334370921477</v>
      </c>
      <c r="AF420">
        <f>IF(Games[[#This Row],[Team]]="","",IF(Games[[#This Row],[Season]]&gt;=2021,17,16))</f>
        <v>16</v>
      </c>
      <c r="AG420">
        <f>IF(Games[[#This Row],[Team]]="","",KMax-(KMax-KFloor)*MIN(Games[[#This Row],[GamesPlayed]],Games[[#This Row],[SeasonLen]])/Games[[#This Row],[SeasonLen]])</f>
        <v>37.425000000000004</v>
      </c>
      <c r="AH420">
        <f>IF(Games[[#This Row],[Team]]="","",((ABS(Games[[#This Row],[MOV]])+3)^0.8)/(7.5+0.006*ABS(Games[[#This Row],[PreGmRate]]-Games[[#This Row],[OppPreGmRate]]))*IF(Games[[#This Row],[OT]]=1,0.7,1))</f>
        <v>1.5784612351104064</v>
      </c>
      <c r="AI42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0">
        <f>IF(Games[[#This Row],[Team]]="","",Games[[#This Row],[K]]*IF(Games[[#This Row],[DivG]]=1,DivMult,1)*IF(Games[[#This Row],[ConfG]]=1,ConfMult,1)*Games[[#This Row],[POMult]])</f>
        <v>41.990850000000009</v>
      </c>
      <c r="AK420">
        <f>IF(Games[[#This Row],[Team]]="","",(Games[[#This Row],[Keff]]*Games[[#This Row],[MOVMult]])*(Games[[#This Row],[Result]]-Games[[#This Row],[ExpectedWin]]))</f>
        <v>26.749387766289935</v>
      </c>
      <c r="AL420">
        <f>IF(Games[[#This Row],[Team]]="","",Games[[#This Row],[PreGmRate]]+Games[[#This Row],[RatingChange]])</f>
        <v>1581.1854531392944</v>
      </c>
      <c r="AM420">
        <f>IF(Games[[#This Row],[Team]]="","",IF(Games[[#This Row],[Type]]="R",IF(Games[[#This Row],[Result]]&gt;0.5,1,0),0))</f>
        <v>1</v>
      </c>
      <c r="AN420">
        <f>IF(Games[[#This Row],[Team]]="","",IF(Games[[#This Row],[Type]]="R",IF(Games[[#This Row],[Result]]&lt;0.5,1,0),0))</f>
        <v>0</v>
      </c>
      <c r="AO420">
        <f>IF(Games[[#This Row],[Team]]="","",IF(Games[[#This Row],[Type]]="R",IF(Games[[#This Row],[Result]]=0.5,1,0),0))</f>
        <v>0</v>
      </c>
    </row>
    <row r="421" spans="1:41" x14ac:dyDescent="0.35">
      <c r="A421" s="8">
        <v>35408</v>
      </c>
      <c r="B421">
        <v>1996</v>
      </c>
      <c r="C421" t="s">
        <v>197</v>
      </c>
      <c r="D421" t="s">
        <v>199</v>
      </c>
      <c r="E421" t="s">
        <v>126</v>
      </c>
      <c r="F421" t="s">
        <v>140</v>
      </c>
      <c r="G421" t="s">
        <v>201</v>
      </c>
      <c r="H421">
        <v>7</v>
      </c>
      <c r="I421">
        <v>26</v>
      </c>
      <c r="J421">
        <v>0</v>
      </c>
      <c r="K42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2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2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2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21">
        <f>IF(Games[[#This Row],[Team]]="","",IF(Games[[#This Row],[Conf]]=Games[[#This Row],[OppConf]],1,0))</f>
        <v>1</v>
      </c>
      <c r="P421">
        <f>IF(Games[[#This Row],[Team]]="","",IF(AND(Games[[#This Row],[Conf]]=Games[[#This Row],[OppConf]],Games[[#This Row],[Div]]=Games[[#This Row],[OppDiv]]),1,0))</f>
        <v>1</v>
      </c>
      <c r="Q421">
        <f>IF(Games[[#This Row],[Team]]="","",_xlfn.MINIFS(Games[Date],Games[Season],Games[[#This Row],[Season]]))</f>
        <v>35309</v>
      </c>
      <c r="R421">
        <f>IF(Games[[#This Row],[Team]]="","",INT((Games[[#This Row],[Date]]-(Games[[#This Row],[SeasonStart]]-MOD(WEEKDAY(Games[[#This Row],[SeasonStart]],2)-2,7)))/7)+1)</f>
        <v>15</v>
      </c>
      <c r="S421">
        <f>IF(Games[[#This Row],[Team]]="","",COUNTIFS(Games[Team],Games[[#This Row],[Team]],Games[Season],Games[[#This Row],[Season]],Games[Week],"&lt;="&amp;Games[[#This Row],[Week]]))</f>
        <v>14</v>
      </c>
      <c r="T421">
        <f>IF(Games[[#This Row],[Team]]="","",_xlfn.MAXIFS(Games[Week],Games[Team],Games[[#This Row],[Team]],Games[Season],Games[[#This Row],[Season]],Games[Week],"&lt;"&amp;Games[[#This Row],[Week]]))</f>
        <v>14</v>
      </c>
      <c r="U421">
        <f>IF(Games[[#This Row],[Team]]="","",_xlfn.MAXIFS(Games[Week],Games[Team],Games[[#This Row],[Opponent]],Games[Season],Games[[#This Row],[Season]],Games[Week],"&lt;"&amp;Games[[#This Row],[Week]]))</f>
        <v>14</v>
      </c>
      <c r="V42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11</v>
      </c>
      <c r="W42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42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2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1552.5841054682353</v>
      </c>
      <c r="Z42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1554.4360653730046</v>
      </c>
      <c r="AA42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0.40357593335360303</v>
      </c>
      <c r="AB421">
        <f>IF(Games[[#This Row],[Team]]="","",Games[[#This Row],[PointsFor]]-Games[[#This Row],[PointsAgainst]])</f>
        <v>-19</v>
      </c>
      <c r="AC421">
        <f>IF(Games[[#This Row],[Team]]="","",IF(Games[[#This Row],[MOV]]&gt;0,1,IF(Games[[#This Row],[MOV]]=0,0.5,0)))</f>
        <v>0</v>
      </c>
      <c r="AD421">
        <f>IF(Games[[#This Row],[Team]]="","",--(OR(AND(Games[[#This Row],[ExpectedWin]]&gt;=0.5,Games[[#This Row],[Result]]=1),AND(Games[[#This Row],[ExpectedWin]]&lt;0.5,Games[[#This Row],[Result]]=0))))</f>
        <v>1</v>
      </c>
      <c r="AE421">
        <f>IF(Games[[#This Row],[Team]]="","",-(Games[[#This Row],[Result]]*LN(Games[[#This Row],[ExpectedWin]])+(1-Games[[#This Row],[Result]])*LN(1-Games[[#This Row],[ExpectedWin]])))</f>
        <v>0.51680334370921477</v>
      </c>
      <c r="AF421">
        <f>IF(Games[[#This Row],[Team]]="","",IF(Games[[#This Row],[Season]]&gt;=2021,17,16))</f>
        <v>16</v>
      </c>
      <c r="AG421">
        <f>IF(Games[[#This Row],[Team]]="","",KMax-(KMax-KFloor)*MIN(Games[[#This Row],[GamesPlayed]],Games[[#This Row],[SeasonLen]])/Games[[#This Row],[SeasonLen]])</f>
        <v>37.425000000000004</v>
      </c>
      <c r="AH421">
        <f>IF(Games[[#This Row],[Team]]="","",((ABS(Games[[#This Row],[MOV]])+3)^0.8)/(7.5+0.006*ABS(Games[[#This Row],[PreGmRate]]-Games[[#This Row],[OppPreGmRate]]))*IF(Games[[#This Row],[OT]]=1,0.7,1))</f>
        <v>1.5784612351104064</v>
      </c>
      <c r="AI42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1">
        <f>IF(Games[[#This Row],[Team]]="","",Games[[#This Row],[K]]*IF(Games[[#This Row],[DivG]]=1,DivMult,1)*IF(Games[[#This Row],[ConfG]]=1,ConfMult,1)*Games[[#This Row],[POMult]])</f>
        <v>41.990850000000009</v>
      </c>
      <c r="AK421">
        <f>IF(Games[[#This Row],[Team]]="","",(Games[[#This Row],[Keff]]*Games[[#This Row],[MOVMult]])*(Games[[#This Row],[Result]]-Games[[#This Row],[ExpectedWin]]))</f>
        <v>-26.749387766289932</v>
      </c>
      <c r="AL421">
        <f>IF(Games[[#This Row],[Team]]="","",Games[[#This Row],[PreGmRate]]+Games[[#This Row],[RatingChange]])</f>
        <v>1525.8347177019455</v>
      </c>
      <c r="AM421">
        <f>IF(Games[[#This Row],[Team]]="","",IF(Games[[#This Row],[Type]]="R",IF(Games[[#This Row],[Result]]&gt;0.5,1,0),0))</f>
        <v>0</v>
      </c>
      <c r="AN421">
        <f>IF(Games[[#This Row],[Team]]="","",IF(Games[[#This Row],[Type]]="R",IF(Games[[#This Row],[Result]]&lt;0.5,1,0),0))</f>
        <v>1</v>
      </c>
      <c r="AO421">
        <f>IF(Games[[#This Row],[Team]]="","",IF(Games[[#This Row],[Type]]="R",IF(Games[[#This Row],[Result]]=0.5,1,0),0))</f>
        <v>0</v>
      </c>
    </row>
    <row r="422" spans="1:41" x14ac:dyDescent="0.35">
      <c r="A422" s="8">
        <v>35413</v>
      </c>
      <c r="B422">
        <v>1996</v>
      </c>
      <c r="C422" t="s">
        <v>197</v>
      </c>
      <c r="D422" t="s">
        <v>199</v>
      </c>
      <c r="E422" t="s">
        <v>141</v>
      </c>
      <c r="F422" t="s">
        <v>138</v>
      </c>
      <c r="G422" t="s">
        <v>201</v>
      </c>
      <c r="H422">
        <v>21</v>
      </c>
      <c r="I422">
        <v>20</v>
      </c>
      <c r="J422">
        <v>0</v>
      </c>
      <c r="K42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2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2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2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22">
        <f>IF(Games[[#This Row],[Team]]="","",IF(Games[[#This Row],[Conf]]=Games[[#This Row],[OppConf]],1,0))</f>
        <v>0</v>
      </c>
      <c r="P422">
        <f>IF(Games[[#This Row],[Team]]="","",IF(AND(Games[[#This Row],[Conf]]=Games[[#This Row],[OppConf]],Games[[#This Row],[Div]]=Games[[#This Row],[OppDiv]]),1,0))</f>
        <v>0</v>
      </c>
      <c r="Q422">
        <f>IF(Games[[#This Row],[Team]]="","",_xlfn.MINIFS(Games[Date],Games[Season],Games[[#This Row],[Season]]))</f>
        <v>35309</v>
      </c>
      <c r="R422">
        <f>IF(Games[[#This Row],[Team]]="","",INT((Games[[#This Row],[Date]]-(Games[[#This Row],[SeasonStart]]-MOD(WEEKDAY(Games[[#This Row],[SeasonStart]],2)-2,7)))/7)+1)</f>
        <v>16</v>
      </c>
      <c r="S422">
        <f>IF(Games[[#This Row],[Team]]="","",COUNTIFS(Games[Team],Games[[#This Row],[Team]],Games[Season],Games[[#This Row],[Season]],Games[Week],"&lt;="&amp;Games[[#This Row],[Week]]))</f>
        <v>15</v>
      </c>
      <c r="T422">
        <f>IF(Games[[#This Row],[Team]]="","",_xlfn.MAXIFS(Games[Week],Games[Team],Games[[#This Row],[Team]],Games[Season],Games[[#This Row],[Season]],Games[Week],"&lt;"&amp;Games[[#This Row],[Week]]))</f>
        <v>15</v>
      </c>
      <c r="U422">
        <f>IF(Games[[#This Row],[Team]]="","",_xlfn.MAXIFS(Games[Week],Games[Team],Games[[#This Row],[Opponent]],Games[Season],Games[[#This Row],[Season]],Games[Week],"&lt;"&amp;Games[[#This Row],[Week]]))</f>
        <v>15</v>
      </c>
      <c r="V42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9</v>
      </c>
      <c r="W42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2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2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1528.8686834676946</v>
      </c>
      <c r="Z42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1308.1578564936997</v>
      </c>
      <c r="AA42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0.70901131655553995</v>
      </c>
      <c r="AB422">
        <f>IF(Games[[#This Row],[Team]]="","",Games[[#This Row],[PointsFor]]-Games[[#This Row],[PointsAgainst]])</f>
        <v>1</v>
      </c>
      <c r="AC422">
        <f>IF(Games[[#This Row],[Team]]="","",IF(Games[[#This Row],[MOV]]&gt;0,1,IF(Games[[#This Row],[MOV]]=0,0.5,0)))</f>
        <v>1</v>
      </c>
      <c r="AD422">
        <f>IF(Games[[#This Row],[Team]]="","",--(OR(AND(Games[[#This Row],[ExpectedWin]]&gt;=0.5,Games[[#This Row],[Result]]=1),AND(Games[[#This Row],[ExpectedWin]]&lt;0.5,Games[[#This Row],[Result]]=0))))</f>
        <v>1</v>
      </c>
      <c r="AE422">
        <f>IF(Games[[#This Row],[Team]]="","",-(Games[[#This Row],[Result]]*LN(Games[[#This Row],[ExpectedWin]])+(1-Games[[#This Row],[Result]])*LN(1-Games[[#This Row],[ExpectedWin]])))</f>
        <v>0.34388379128607799</v>
      </c>
      <c r="AF422">
        <f>IF(Games[[#This Row],[Team]]="","",IF(Games[[#This Row],[Season]]&gt;=2021,17,16))</f>
        <v>16</v>
      </c>
      <c r="AG422">
        <f>IF(Games[[#This Row],[Team]]="","",KMax-(KMax-KFloor)*MIN(Games[[#This Row],[GamesPlayed]],Games[[#This Row],[SeasonLen]])/Games[[#This Row],[SeasonLen]])</f>
        <v>36.8125</v>
      </c>
      <c r="AH422">
        <f>IF(Games[[#This Row],[Team]]="","",((ABS(Games[[#This Row],[MOV]])+3)^0.8)/(7.5+0.006*ABS(Games[[#This Row],[PreGmRate]]-Games[[#This Row],[OppPreGmRate]]))*IF(Games[[#This Row],[OT]]=1,0.7,1))</f>
        <v>0.343533783961461</v>
      </c>
      <c r="AI42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2">
        <f>IF(Games[[#This Row],[Team]]="","",Games[[#This Row],[K]]*IF(Games[[#This Row],[DivG]]=1,DivMult,1)*IF(Games[[#This Row],[ConfG]]=1,ConfMult,1)*Games[[#This Row],[POMult]])</f>
        <v>36.8125</v>
      </c>
      <c r="AK422">
        <f>IF(Games[[#This Row],[Team]]="","",(Games[[#This Row],[Keff]]*Games[[#This Row],[MOVMult]])*(Games[[#This Row],[Result]]-Games[[#This Row],[ExpectedWin]]))</f>
        <v>3.6799410768458394</v>
      </c>
      <c r="AL422">
        <f>IF(Games[[#This Row],[Team]]="","",Games[[#This Row],[PreGmRate]]+Games[[#This Row],[RatingChange]])</f>
        <v>1532.5486245445404</v>
      </c>
      <c r="AM422">
        <f>IF(Games[[#This Row],[Team]]="","",IF(Games[[#This Row],[Type]]="R",IF(Games[[#This Row],[Result]]&gt;0.5,1,0),0))</f>
        <v>1</v>
      </c>
      <c r="AN422">
        <f>IF(Games[[#This Row],[Team]]="","",IF(Games[[#This Row],[Type]]="R",IF(Games[[#This Row],[Result]]&lt;0.5,1,0),0))</f>
        <v>0</v>
      </c>
      <c r="AO422">
        <f>IF(Games[[#This Row],[Team]]="","",IF(Games[[#This Row],[Type]]="R",IF(Games[[#This Row],[Result]]=0.5,1,0),0))</f>
        <v>0</v>
      </c>
    </row>
    <row r="423" spans="1:41" x14ac:dyDescent="0.35">
      <c r="A423" s="8">
        <v>35413</v>
      </c>
      <c r="B423">
        <v>1996</v>
      </c>
      <c r="C423" t="s">
        <v>197</v>
      </c>
      <c r="D423" t="s">
        <v>199</v>
      </c>
      <c r="E423" t="s">
        <v>138</v>
      </c>
      <c r="F423" t="s">
        <v>141</v>
      </c>
      <c r="G423" t="s">
        <v>200</v>
      </c>
      <c r="H423">
        <v>20</v>
      </c>
      <c r="I423">
        <v>21</v>
      </c>
      <c r="J423">
        <v>0</v>
      </c>
      <c r="K42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2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2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2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23">
        <f>IF(Games[[#This Row],[Team]]="","",IF(Games[[#This Row],[Conf]]=Games[[#This Row],[OppConf]],1,0))</f>
        <v>0</v>
      </c>
      <c r="P423">
        <f>IF(Games[[#This Row],[Team]]="","",IF(AND(Games[[#This Row],[Conf]]=Games[[#This Row],[OppConf]],Games[[#This Row],[Div]]=Games[[#This Row],[OppDiv]]),1,0))</f>
        <v>0</v>
      </c>
      <c r="Q423">
        <f>IF(Games[[#This Row],[Team]]="","",_xlfn.MINIFS(Games[Date],Games[Season],Games[[#This Row],[Season]]))</f>
        <v>35309</v>
      </c>
      <c r="R423">
        <f>IF(Games[[#This Row],[Team]]="","",INT((Games[[#This Row],[Date]]-(Games[[#This Row],[SeasonStart]]-MOD(WEEKDAY(Games[[#This Row],[SeasonStart]],2)-2,7)))/7)+1)</f>
        <v>16</v>
      </c>
      <c r="S423">
        <f>IF(Games[[#This Row],[Team]]="","",COUNTIFS(Games[Team],Games[[#This Row],[Team]],Games[Season],Games[[#This Row],[Season]],Games[Week],"&lt;="&amp;Games[[#This Row],[Week]]))</f>
        <v>15</v>
      </c>
      <c r="T423">
        <f>IF(Games[[#This Row],[Team]]="","",_xlfn.MAXIFS(Games[Week],Games[Team],Games[[#This Row],[Team]],Games[Season],Games[[#This Row],[Season]],Games[Week],"&lt;"&amp;Games[[#This Row],[Week]]))</f>
        <v>15</v>
      </c>
      <c r="U423">
        <f>IF(Games[[#This Row],[Team]]="","",_xlfn.MAXIFS(Games[Week],Games[Team],Games[[#This Row],[Opponent]],Games[Season],Games[[#This Row],[Season]],Games[Week],"&lt;"&amp;Games[[#This Row],[Week]]))</f>
        <v>15</v>
      </c>
      <c r="V42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2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9</v>
      </c>
      <c r="X42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2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1308.1578564936997</v>
      </c>
      <c r="Z42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1528.8686834676946</v>
      </c>
      <c r="AA42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0.29098868344445999</v>
      </c>
      <c r="AB423">
        <f>IF(Games[[#This Row],[Team]]="","",Games[[#This Row],[PointsFor]]-Games[[#This Row],[PointsAgainst]])</f>
        <v>-1</v>
      </c>
      <c r="AC423">
        <f>IF(Games[[#This Row],[Team]]="","",IF(Games[[#This Row],[MOV]]&gt;0,1,IF(Games[[#This Row],[MOV]]=0,0.5,0)))</f>
        <v>0</v>
      </c>
      <c r="AD423">
        <f>IF(Games[[#This Row],[Team]]="","",--(OR(AND(Games[[#This Row],[ExpectedWin]]&gt;=0.5,Games[[#This Row],[Result]]=1),AND(Games[[#This Row],[ExpectedWin]]&lt;0.5,Games[[#This Row],[Result]]=0))))</f>
        <v>1</v>
      </c>
      <c r="AE423">
        <f>IF(Games[[#This Row],[Team]]="","",-(Games[[#This Row],[Result]]*LN(Games[[#This Row],[ExpectedWin]])+(1-Games[[#This Row],[Result]])*LN(1-Games[[#This Row],[ExpectedWin]])))</f>
        <v>0.34388379128607782</v>
      </c>
      <c r="AF423">
        <f>IF(Games[[#This Row],[Team]]="","",IF(Games[[#This Row],[Season]]&gt;=2021,17,16))</f>
        <v>16</v>
      </c>
      <c r="AG423">
        <f>IF(Games[[#This Row],[Team]]="","",KMax-(KMax-KFloor)*MIN(Games[[#This Row],[GamesPlayed]],Games[[#This Row],[SeasonLen]])/Games[[#This Row],[SeasonLen]])</f>
        <v>36.8125</v>
      </c>
      <c r="AH423">
        <f>IF(Games[[#This Row],[Team]]="","",((ABS(Games[[#This Row],[MOV]])+3)^0.8)/(7.5+0.006*ABS(Games[[#This Row],[PreGmRate]]-Games[[#This Row],[OppPreGmRate]]))*IF(Games[[#This Row],[OT]]=1,0.7,1))</f>
        <v>0.343533783961461</v>
      </c>
      <c r="AI42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3">
        <f>IF(Games[[#This Row],[Team]]="","",Games[[#This Row],[K]]*IF(Games[[#This Row],[DivG]]=1,DivMult,1)*IF(Games[[#This Row],[ConfG]]=1,ConfMult,1)*Games[[#This Row],[POMult]])</f>
        <v>36.8125</v>
      </c>
      <c r="AK423">
        <f>IF(Games[[#This Row],[Team]]="","",(Games[[#This Row],[Keff]]*Games[[#This Row],[MOVMult]])*(Games[[#This Row],[Result]]-Games[[#This Row],[ExpectedWin]]))</f>
        <v>-3.6799410768458385</v>
      </c>
      <c r="AL423">
        <f>IF(Games[[#This Row],[Team]]="","",Games[[#This Row],[PreGmRate]]+Games[[#This Row],[RatingChange]])</f>
        <v>1304.4779154168539</v>
      </c>
      <c r="AM423">
        <f>IF(Games[[#This Row],[Team]]="","",IF(Games[[#This Row],[Type]]="R",IF(Games[[#This Row],[Result]]&gt;0.5,1,0),0))</f>
        <v>0</v>
      </c>
      <c r="AN423">
        <f>IF(Games[[#This Row],[Team]]="","",IF(Games[[#This Row],[Type]]="R",IF(Games[[#This Row],[Result]]&lt;0.5,1,0),0))</f>
        <v>1</v>
      </c>
      <c r="AO423">
        <f>IF(Games[[#This Row],[Team]]="","",IF(Games[[#This Row],[Type]]="R",IF(Games[[#This Row],[Result]]=0.5,1,0),0))</f>
        <v>0</v>
      </c>
    </row>
    <row r="424" spans="1:41" x14ac:dyDescent="0.35">
      <c r="A424" s="8">
        <v>35413</v>
      </c>
      <c r="B424">
        <v>1996</v>
      </c>
      <c r="C424" t="s">
        <v>197</v>
      </c>
      <c r="D424" t="s">
        <v>199</v>
      </c>
      <c r="E424" t="s">
        <v>110</v>
      </c>
      <c r="F424" t="s">
        <v>145</v>
      </c>
      <c r="G424" t="s">
        <v>200</v>
      </c>
      <c r="H424">
        <v>27</v>
      </c>
      <c r="I424">
        <v>14</v>
      </c>
      <c r="J424">
        <v>0</v>
      </c>
      <c r="K42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2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2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2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24">
        <f>IF(Games[[#This Row],[Team]]="","",IF(Games[[#This Row],[Conf]]=Games[[#This Row],[OppConf]],1,0))</f>
        <v>0</v>
      </c>
      <c r="P424">
        <f>IF(Games[[#This Row],[Team]]="","",IF(AND(Games[[#This Row],[Conf]]=Games[[#This Row],[OppConf]],Games[[#This Row],[Div]]=Games[[#This Row],[OppDiv]]),1,0))</f>
        <v>0</v>
      </c>
      <c r="Q424">
        <f>IF(Games[[#This Row],[Team]]="","",_xlfn.MINIFS(Games[Date],Games[Season],Games[[#This Row],[Season]]))</f>
        <v>35309</v>
      </c>
      <c r="R424">
        <f>IF(Games[[#This Row],[Team]]="","",INT((Games[[#This Row],[Date]]-(Games[[#This Row],[SeasonStart]]-MOD(WEEKDAY(Games[[#This Row],[SeasonStart]],2)-2,7)))/7)+1)</f>
        <v>16</v>
      </c>
      <c r="S424">
        <f>IF(Games[[#This Row],[Team]]="","",COUNTIFS(Games[Team],Games[[#This Row],[Team]],Games[Season],Games[[#This Row],[Season]],Games[Week],"&lt;="&amp;Games[[#This Row],[Week]]))</f>
        <v>15</v>
      </c>
      <c r="T424">
        <f>IF(Games[[#This Row],[Team]]="","",_xlfn.MAXIFS(Games[Week],Games[Team],Games[[#This Row],[Team]],Games[Season],Games[[#This Row],[Season]],Games[Week],"&lt;"&amp;Games[[#This Row],[Week]]))</f>
        <v>15</v>
      </c>
      <c r="U424">
        <f>IF(Games[[#This Row],[Team]]="","",_xlfn.MAXIFS(Games[Week],Games[Team],Games[[#This Row],[Opponent]],Games[Season],Games[[#This Row],[Season]],Games[Week],"&lt;"&amp;Games[[#This Row],[Week]]))</f>
        <v>15</v>
      </c>
      <c r="V42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2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2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2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1481.0108485680819</v>
      </c>
      <c r="Z42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1452.2549553751383</v>
      </c>
      <c r="AA42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0.64106684126506697</v>
      </c>
      <c r="AB424">
        <f>IF(Games[[#This Row],[Team]]="","",Games[[#This Row],[PointsFor]]-Games[[#This Row],[PointsAgainst]])</f>
        <v>13</v>
      </c>
      <c r="AC424">
        <f>IF(Games[[#This Row],[Team]]="","",IF(Games[[#This Row],[MOV]]&gt;0,1,IF(Games[[#This Row],[MOV]]=0,0.5,0)))</f>
        <v>1</v>
      </c>
      <c r="AD424">
        <f>IF(Games[[#This Row],[Team]]="","",--(OR(AND(Games[[#This Row],[ExpectedWin]]&gt;=0.5,Games[[#This Row],[Result]]=1),AND(Games[[#This Row],[ExpectedWin]]&lt;0.5,Games[[#This Row],[Result]]=0))))</f>
        <v>1</v>
      </c>
      <c r="AE424">
        <f>IF(Games[[#This Row],[Team]]="","",-(Games[[#This Row],[Result]]*LN(Games[[#This Row],[ExpectedWin]])+(1-Games[[#This Row],[Result]])*LN(1-Games[[#This Row],[ExpectedWin]])))</f>
        <v>0.44462155095332173</v>
      </c>
      <c r="AF424">
        <f>IF(Games[[#This Row],[Team]]="","",IF(Games[[#This Row],[Season]]&gt;=2021,17,16))</f>
        <v>16</v>
      </c>
      <c r="AG424">
        <f>IF(Games[[#This Row],[Team]]="","",KMax-(KMax-KFloor)*MIN(Games[[#This Row],[GamesPlayed]],Games[[#This Row],[SeasonLen]])/Games[[#This Row],[SeasonLen]])</f>
        <v>36.8125</v>
      </c>
      <c r="AH424">
        <f>IF(Games[[#This Row],[Team]]="","",((ABS(Games[[#This Row],[MOV]])+3)^0.8)/(7.5+0.006*ABS(Games[[#This Row],[PreGmRate]]-Games[[#This Row],[OppPreGmRate]]))*IF(Games[[#This Row],[OT]]=1,0.7,1))</f>
        <v>1.1977249253088054</v>
      </c>
      <c r="AI42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4">
        <f>IF(Games[[#This Row],[Team]]="","",Games[[#This Row],[K]]*IF(Games[[#This Row],[DivG]]=1,DivMult,1)*IF(Games[[#This Row],[ConfG]]=1,ConfMult,1)*Games[[#This Row],[POMult]])</f>
        <v>36.8125</v>
      </c>
      <c r="AK424">
        <f>IF(Games[[#This Row],[Team]]="","",(Games[[#This Row],[Keff]]*Games[[#This Row],[MOVMult]])*(Games[[#This Row],[Result]]-Games[[#This Row],[ExpectedWin]]))</f>
        <v>15.825811208992974</v>
      </c>
      <c r="AL424">
        <f>IF(Games[[#This Row],[Team]]="","",Games[[#This Row],[PreGmRate]]+Games[[#This Row],[RatingChange]])</f>
        <v>1496.8366597770748</v>
      </c>
      <c r="AM424">
        <f>IF(Games[[#This Row],[Team]]="","",IF(Games[[#This Row],[Type]]="R",IF(Games[[#This Row],[Result]]&gt;0.5,1,0),0))</f>
        <v>1</v>
      </c>
      <c r="AN424">
        <f>IF(Games[[#This Row],[Team]]="","",IF(Games[[#This Row],[Type]]="R",IF(Games[[#This Row],[Result]]&lt;0.5,1,0),0))</f>
        <v>0</v>
      </c>
      <c r="AO424">
        <f>IF(Games[[#This Row],[Team]]="","",IF(Games[[#This Row],[Type]]="R",IF(Games[[#This Row],[Result]]=0.5,1,0),0))</f>
        <v>0</v>
      </c>
    </row>
    <row r="425" spans="1:41" x14ac:dyDescent="0.35">
      <c r="A425" s="8">
        <v>35413</v>
      </c>
      <c r="B425">
        <v>1996</v>
      </c>
      <c r="C425" t="s">
        <v>197</v>
      </c>
      <c r="D425" t="s">
        <v>199</v>
      </c>
      <c r="E425" t="s">
        <v>145</v>
      </c>
      <c r="F425" t="s">
        <v>110</v>
      </c>
      <c r="G425" t="s">
        <v>201</v>
      </c>
      <c r="H425">
        <v>14</v>
      </c>
      <c r="I425">
        <v>27</v>
      </c>
      <c r="J425">
        <v>0</v>
      </c>
      <c r="K42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2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2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2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25">
        <f>IF(Games[[#This Row],[Team]]="","",IF(Games[[#This Row],[Conf]]=Games[[#This Row],[OppConf]],1,0))</f>
        <v>0</v>
      </c>
      <c r="P425">
        <f>IF(Games[[#This Row],[Team]]="","",IF(AND(Games[[#This Row],[Conf]]=Games[[#This Row],[OppConf]],Games[[#This Row],[Div]]=Games[[#This Row],[OppDiv]]),1,0))</f>
        <v>0</v>
      </c>
      <c r="Q425">
        <f>IF(Games[[#This Row],[Team]]="","",_xlfn.MINIFS(Games[Date],Games[Season],Games[[#This Row],[Season]]))</f>
        <v>35309</v>
      </c>
      <c r="R425">
        <f>IF(Games[[#This Row],[Team]]="","",INT((Games[[#This Row],[Date]]-(Games[[#This Row],[SeasonStart]]-MOD(WEEKDAY(Games[[#This Row],[SeasonStart]],2)-2,7)))/7)+1)</f>
        <v>16</v>
      </c>
      <c r="S425">
        <f>IF(Games[[#This Row],[Team]]="","",COUNTIFS(Games[Team],Games[[#This Row],[Team]],Games[Season],Games[[#This Row],[Season]],Games[Week],"&lt;="&amp;Games[[#This Row],[Week]]))</f>
        <v>15</v>
      </c>
      <c r="T425">
        <f>IF(Games[[#This Row],[Team]]="","",_xlfn.MAXIFS(Games[Week],Games[Team],Games[[#This Row],[Team]],Games[Season],Games[[#This Row],[Season]],Games[Week],"&lt;"&amp;Games[[#This Row],[Week]]))</f>
        <v>15</v>
      </c>
      <c r="U425">
        <f>IF(Games[[#This Row],[Team]]="","",_xlfn.MAXIFS(Games[Week],Games[Team],Games[[#This Row],[Opponent]],Games[Season],Games[[#This Row],[Season]],Games[Week],"&lt;"&amp;Games[[#This Row],[Week]]))</f>
        <v>15</v>
      </c>
      <c r="V42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2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2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2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1452.2549553751383</v>
      </c>
      <c r="Z42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1481.0108485680819</v>
      </c>
      <c r="AA42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0.35893315873493303</v>
      </c>
      <c r="AB425">
        <f>IF(Games[[#This Row],[Team]]="","",Games[[#This Row],[PointsFor]]-Games[[#This Row],[PointsAgainst]])</f>
        <v>-13</v>
      </c>
      <c r="AC425">
        <f>IF(Games[[#This Row],[Team]]="","",IF(Games[[#This Row],[MOV]]&gt;0,1,IF(Games[[#This Row],[MOV]]=0,0.5,0)))</f>
        <v>0</v>
      </c>
      <c r="AD425">
        <f>IF(Games[[#This Row],[Team]]="","",--(OR(AND(Games[[#This Row],[ExpectedWin]]&gt;=0.5,Games[[#This Row],[Result]]=1),AND(Games[[#This Row],[ExpectedWin]]&lt;0.5,Games[[#This Row],[Result]]=0))))</f>
        <v>1</v>
      </c>
      <c r="AE425">
        <f>IF(Games[[#This Row],[Team]]="","",-(Games[[#This Row],[Result]]*LN(Games[[#This Row],[ExpectedWin]])+(1-Games[[#This Row],[Result]])*LN(1-Games[[#This Row],[ExpectedWin]])))</f>
        <v>0.44462155095332173</v>
      </c>
      <c r="AF425">
        <f>IF(Games[[#This Row],[Team]]="","",IF(Games[[#This Row],[Season]]&gt;=2021,17,16))</f>
        <v>16</v>
      </c>
      <c r="AG425">
        <f>IF(Games[[#This Row],[Team]]="","",KMax-(KMax-KFloor)*MIN(Games[[#This Row],[GamesPlayed]],Games[[#This Row],[SeasonLen]])/Games[[#This Row],[SeasonLen]])</f>
        <v>36.8125</v>
      </c>
      <c r="AH425">
        <f>IF(Games[[#This Row],[Team]]="","",((ABS(Games[[#This Row],[MOV]])+3)^0.8)/(7.5+0.006*ABS(Games[[#This Row],[PreGmRate]]-Games[[#This Row],[OppPreGmRate]]))*IF(Games[[#This Row],[OT]]=1,0.7,1))</f>
        <v>1.1977249253088054</v>
      </c>
      <c r="AI42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5">
        <f>IF(Games[[#This Row],[Team]]="","",Games[[#This Row],[K]]*IF(Games[[#This Row],[DivG]]=1,DivMult,1)*IF(Games[[#This Row],[ConfG]]=1,ConfMult,1)*Games[[#This Row],[POMult]])</f>
        <v>36.8125</v>
      </c>
      <c r="AK425">
        <f>IF(Games[[#This Row],[Team]]="","",(Games[[#This Row],[Keff]]*Games[[#This Row],[MOVMult]])*(Games[[#This Row],[Result]]-Games[[#This Row],[ExpectedWin]]))</f>
        <v>-15.825811208992974</v>
      </c>
      <c r="AL425">
        <f>IF(Games[[#This Row],[Team]]="","",Games[[#This Row],[PreGmRate]]+Games[[#This Row],[RatingChange]])</f>
        <v>1436.4291441661453</v>
      </c>
      <c r="AM425">
        <f>IF(Games[[#This Row],[Team]]="","",IF(Games[[#This Row],[Type]]="R",IF(Games[[#This Row],[Result]]&gt;0.5,1,0),0))</f>
        <v>0</v>
      </c>
      <c r="AN425">
        <f>IF(Games[[#This Row],[Team]]="","",IF(Games[[#This Row],[Type]]="R",IF(Games[[#This Row],[Result]]&lt;0.5,1,0),0))</f>
        <v>1</v>
      </c>
      <c r="AO425">
        <f>IF(Games[[#This Row],[Team]]="","",IF(Games[[#This Row],[Type]]="R",IF(Games[[#This Row],[Result]]=0.5,1,0),0))</f>
        <v>0</v>
      </c>
    </row>
    <row r="426" spans="1:41" x14ac:dyDescent="0.35">
      <c r="A426" s="8">
        <v>35414</v>
      </c>
      <c r="B426">
        <v>1996</v>
      </c>
      <c r="C426" t="s">
        <v>197</v>
      </c>
      <c r="D426" t="s">
        <v>199</v>
      </c>
      <c r="E426" t="s">
        <v>150</v>
      </c>
      <c r="F426" t="s">
        <v>98</v>
      </c>
      <c r="G426" t="s">
        <v>201</v>
      </c>
      <c r="H426">
        <v>34</v>
      </c>
      <c r="I426">
        <v>27</v>
      </c>
      <c r="J426">
        <v>0</v>
      </c>
      <c r="K42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2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2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2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26">
        <f>IF(Games[[#This Row],[Team]]="","",IF(Games[[#This Row],[Conf]]=Games[[#This Row],[OppConf]],1,0))</f>
        <v>1</v>
      </c>
      <c r="P426">
        <f>IF(Games[[#This Row],[Team]]="","",IF(AND(Games[[#This Row],[Conf]]=Games[[#This Row],[OppConf]],Games[[#This Row],[Div]]=Games[[#This Row],[OppDiv]]),1,0))</f>
        <v>1</v>
      </c>
      <c r="Q426">
        <f>IF(Games[[#This Row],[Team]]="","",_xlfn.MINIFS(Games[Date],Games[Season],Games[[#This Row],[Season]]))</f>
        <v>35309</v>
      </c>
      <c r="R426">
        <f>IF(Games[[#This Row],[Team]]="","",INT((Games[[#This Row],[Date]]-(Games[[#This Row],[SeasonStart]]-MOD(WEEKDAY(Games[[#This Row],[SeasonStart]],2)-2,7)))/7)+1)</f>
        <v>16</v>
      </c>
      <c r="S426">
        <f>IF(Games[[#This Row],[Team]]="","",COUNTIFS(Games[Team],Games[[#This Row],[Team]],Games[Season],Games[[#This Row],[Season]],Games[Week],"&lt;="&amp;Games[[#This Row],[Week]]))</f>
        <v>15</v>
      </c>
      <c r="T426">
        <f>IF(Games[[#This Row],[Team]]="","",_xlfn.MAXIFS(Games[Week],Games[Team],Games[[#This Row],[Team]],Games[Season],Games[[#This Row],[Season]],Games[Week],"&lt;"&amp;Games[[#This Row],[Week]]))</f>
        <v>15</v>
      </c>
      <c r="U426">
        <f>IF(Games[[#This Row],[Team]]="","",_xlfn.MAXIFS(Games[Week],Games[Team],Games[[#This Row],[Opponent]],Games[Season],Games[[#This Row],[Season]],Games[Week],"&lt;"&amp;Games[[#This Row],[Week]]))</f>
        <v>15</v>
      </c>
      <c r="V42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2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2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2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1403.8029474649952</v>
      </c>
      <c r="Z42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1351.0770456823473</v>
      </c>
      <c r="AA42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0.47229076230354405</v>
      </c>
      <c r="AB426">
        <f>IF(Games[[#This Row],[Team]]="","",Games[[#This Row],[PointsFor]]-Games[[#This Row],[PointsAgainst]])</f>
        <v>7</v>
      </c>
      <c r="AC426">
        <f>IF(Games[[#This Row],[Team]]="","",IF(Games[[#This Row],[MOV]]&gt;0,1,IF(Games[[#This Row],[MOV]]=0,0.5,0)))</f>
        <v>1</v>
      </c>
      <c r="AD426">
        <f>IF(Games[[#This Row],[Team]]="","",--(OR(AND(Games[[#This Row],[ExpectedWin]]&gt;=0.5,Games[[#This Row],[Result]]=1),AND(Games[[#This Row],[ExpectedWin]]&lt;0.5,Games[[#This Row],[Result]]=0))))</f>
        <v>0</v>
      </c>
      <c r="AE426">
        <f>IF(Games[[#This Row],[Team]]="","",-(Games[[#This Row],[Result]]*LN(Games[[#This Row],[ExpectedWin]])+(1-Games[[#This Row],[Result]])*LN(1-Games[[#This Row],[ExpectedWin]])))</f>
        <v>0.75016046123059921</v>
      </c>
      <c r="AF426">
        <f>IF(Games[[#This Row],[Team]]="","",IF(Games[[#This Row],[Season]]&gt;=2021,17,16))</f>
        <v>16</v>
      </c>
      <c r="AG426">
        <f>IF(Games[[#This Row],[Team]]="","",KMax-(KMax-KFloor)*MIN(Games[[#This Row],[GamesPlayed]],Games[[#This Row],[SeasonLen]])/Games[[#This Row],[SeasonLen]])</f>
        <v>36.8125</v>
      </c>
      <c r="AH426">
        <f>IF(Games[[#This Row],[Team]]="","",((ABS(Games[[#This Row],[MOV]])+3)^0.8)/(7.5+0.006*ABS(Games[[#This Row],[PreGmRate]]-Games[[#This Row],[OppPreGmRate]]))*IF(Games[[#This Row],[OT]]=1,0.7,1))</f>
        <v>0.80722704038866044</v>
      </c>
      <c r="AI42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6">
        <f>IF(Games[[#This Row],[Team]]="","",Games[[#This Row],[K]]*IF(Games[[#This Row],[DivG]]=1,DivMult,1)*IF(Games[[#This Row],[ConfG]]=1,ConfMult,1)*Games[[#This Row],[POMult]])</f>
        <v>41.303625000000004</v>
      </c>
      <c r="AK426">
        <f>IF(Games[[#This Row],[Team]]="","",(Games[[#This Row],[Keff]]*Games[[#This Row],[MOVMult]])*(Games[[#This Row],[Result]]-Games[[#This Row],[ExpectedWin]]))</f>
        <v>17.594566342956785</v>
      </c>
      <c r="AL426">
        <f>IF(Games[[#This Row],[Team]]="","",Games[[#This Row],[PreGmRate]]+Games[[#This Row],[RatingChange]])</f>
        <v>1421.397513807952</v>
      </c>
      <c r="AM426">
        <f>IF(Games[[#This Row],[Team]]="","",IF(Games[[#This Row],[Type]]="R",IF(Games[[#This Row],[Result]]&gt;0.5,1,0),0))</f>
        <v>1</v>
      </c>
      <c r="AN426">
        <f>IF(Games[[#This Row],[Team]]="","",IF(Games[[#This Row],[Type]]="R",IF(Games[[#This Row],[Result]]&lt;0.5,1,0),0))</f>
        <v>0</v>
      </c>
      <c r="AO426">
        <f>IF(Games[[#This Row],[Team]]="","",IF(Games[[#This Row],[Type]]="R",IF(Games[[#This Row],[Result]]=0.5,1,0),0))</f>
        <v>0</v>
      </c>
    </row>
    <row r="427" spans="1:41" x14ac:dyDescent="0.35">
      <c r="A427" s="8">
        <v>35414</v>
      </c>
      <c r="B427">
        <v>1996</v>
      </c>
      <c r="C427" t="s">
        <v>197</v>
      </c>
      <c r="D427" t="s">
        <v>199</v>
      </c>
      <c r="E427" t="s">
        <v>98</v>
      </c>
      <c r="F427" t="s">
        <v>150</v>
      </c>
      <c r="G427" t="s">
        <v>200</v>
      </c>
      <c r="H427">
        <v>27</v>
      </c>
      <c r="I427">
        <v>34</v>
      </c>
      <c r="J427">
        <v>0</v>
      </c>
      <c r="K42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2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2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2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27">
        <f>IF(Games[[#This Row],[Team]]="","",IF(Games[[#This Row],[Conf]]=Games[[#This Row],[OppConf]],1,0))</f>
        <v>1</v>
      </c>
      <c r="P427">
        <f>IF(Games[[#This Row],[Team]]="","",IF(AND(Games[[#This Row],[Conf]]=Games[[#This Row],[OppConf]],Games[[#This Row],[Div]]=Games[[#This Row],[OppDiv]]),1,0))</f>
        <v>1</v>
      </c>
      <c r="Q427">
        <f>IF(Games[[#This Row],[Team]]="","",_xlfn.MINIFS(Games[Date],Games[Season],Games[[#This Row],[Season]]))</f>
        <v>35309</v>
      </c>
      <c r="R427">
        <f>IF(Games[[#This Row],[Team]]="","",INT((Games[[#This Row],[Date]]-(Games[[#This Row],[SeasonStart]]-MOD(WEEKDAY(Games[[#This Row],[SeasonStart]],2)-2,7)))/7)+1)</f>
        <v>16</v>
      </c>
      <c r="S427">
        <f>IF(Games[[#This Row],[Team]]="","",COUNTIFS(Games[Team],Games[[#This Row],[Team]],Games[Season],Games[[#This Row],[Season]],Games[Week],"&lt;="&amp;Games[[#This Row],[Week]]))</f>
        <v>15</v>
      </c>
      <c r="T427">
        <f>IF(Games[[#This Row],[Team]]="","",_xlfn.MAXIFS(Games[Week],Games[Team],Games[[#This Row],[Team]],Games[Season],Games[[#This Row],[Season]],Games[Week],"&lt;"&amp;Games[[#This Row],[Week]]))</f>
        <v>15</v>
      </c>
      <c r="U427">
        <f>IF(Games[[#This Row],[Team]]="","",_xlfn.MAXIFS(Games[Week],Games[Team],Games[[#This Row],[Opponent]],Games[Season],Games[[#This Row],[Season]],Games[Week],"&lt;"&amp;Games[[#This Row],[Week]]))</f>
        <v>15</v>
      </c>
      <c r="V42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2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2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2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1351.0770456823473</v>
      </c>
      <c r="Z42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1403.8029474649952</v>
      </c>
      <c r="AA42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0.52770923769645606</v>
      </c>
      <c r="AB427">
        <f>IF(Games[[#This Row],[Team]]="","",Games[[#This Row],[PointsFor]]-Games[[#This Row],[PointsAgainst]])</f>
        <v>-7</v>
      </c>
      <c r="AC427">
        <f>IF(Games[[#This Row],[Team]]="","",IF(Games[[#This Row],[MOV]]&gt;0,1,IF(Games[[#This Row],[MOV]]=0,0.5,0)))</f>
        <v>0</v>
      </c>
      <c r="AD427">
        <f>IF(Games[[#This Row],[Team]]="","",--(OR(AND(Games[[#This Row],[ExpectedWin]]&gt;=0.5,Games[[#This Row],[Result]]=1),AND(Games[[#This Row],[ExpectedWin]]&lt;0.5,Games[[#This Row],[Result]]=0))))</f>
        <v>0</v>
      </c>
      <c r="AE427">
        <f>IF(Games[[#This Row],[Team]]="","",-(Games[[#This Row],[Result]]*LN(Games[[#This Row],[ExpectedWin]])+(1-Games[[#This Row],[Result]])*LN(1-Games[[#This Row],[ExpectedWin]])))</f>
        <v>0.75016046123059943</v>
      </c>
      <c r="AF427">
        <f>IF(Games[[#This Row],[Team]]="","",IF(Games[[#This Row],[Season]]&gt;=2021,17,16))</f>
        <v>16</v>
      </c>
      <c r="AG427">
        <f>IF(Games[[#This Row],[Team]]="","",KMax-(KMax-KFloor)*MIN(Games[[#This Row],[GamesPlayed]],Games[[#This Row],[SeasonLen]])/Games[[#This Row],[SeasonLen]])</f>
        <v>36.8125</v>
      </c>
      <c r="AH427">
        <f>IF(Games[[#This Row],[Team]]="","",((ABS(Games[[#This Row],[MOV]])+3)^0.8)/(7.5+0.006*ABS(Games[[#This Row],[PreGmRate]]-Games[[#This Row],[OppPreGmRate]]))*IF(Games[[#This Row],[OT]]=1,0.7,1))</f>
        <v>0.80722704038866044</v>
      </c>
      <c r="AI42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7">
        <f>IF(Games[[#This Row],[Team]]="","",Games[[#This Row],[K]]*IF(Games[[#This Row],[DivG]]=1,DivMult,1)*IF(Games[[#This Row],[ConfG]]=1,ConfMult,1)*Games[[#This Row],[POMult]])</f>
        <v>41.303625000000004</v>
      </c>
      <c r="AK427">
        <f>IF(Games[[#This Row],[Team]]="","",(Games[[#This Row],[Keff]]*Games[[#This Row],[MOVMult]])*(Games[[#This Row],[Result]]-Games[[#This Row],[ExpectedWin]]))</f>
        <v>-17.594566342956789</v>
      </c>
      <c r="AL427">
        <f>IF(Games[[#This Row],[Team]]="","",Games[[#This Row],[PreGmRate]]+Games[[#This Row],[RatingChange]])</f>
        <v>1333.4824793393905</v>
      </c>
      <c r="AM427">
        <f>IF(Games[[#This Row],[Team]]="","",IF(Games[[#This Row],[Type]]="R",IF(Games[[#This Row],[Result]]&gt;0.5,1,0),0))</f>
        <v>0</v>
      </c>
      <c r="AN427">
        <f>IF(Games[[#This Row],[Team]]="","",IF(Games[[#This Row],[Type]]="R",IF(Games[[#This Row],[Result]]&lt;0.5,1,0),0))</f>
        <v>1</v>
      </c>
      <c r="AO427">
        <f>IF(Games[[#This Row],[Team]]="","",IF(Games[[#This Row],[Type]]="R",IF(Games[[#This Row],[Result]]=0.5,1,0),0))</f>
        <v>0</v>
      </c>
    </row>
    <row r="428" spans="1:41" x14ac:dyDescent="0.35">
      <c r="A428" s="8">
        <v>35414</v>
      </c>
      <c r="B428">
        <v>1996</v>
      </c>
      <c r="C428" t="s">
        <v>197</v>
      </c>
      <c r="D428" t="s">
        <v>199</v>
      </c>
      <c r="E428" t="s">
        <v>108</v>
      </c>
      <c r="F428" t="s">
        <v>101</v>
      </c>
      <c r="G428" t="s">
        <v>200</v>
      </c>
      <c r="H428">
        <v>27</v>
      </c>
      <c r="I428">
        <v>16</v>
      </c>
      <c r="J428">
        <v>0</v>
      </c>
      <c r="K42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2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2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2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28">
        <f>IF(Games[[#This Row],[Team]]="","",IF(Games[[#This Row],[Conf]]=Games[[#This Row],[OppConf]],1,0))</f>
        <v>0</v>
      </c>
      <c r="P428">
        <f>IF(Games[[#This Row],[Team]]="","",IF(AND(Games[[#This Row],[Conf]]=Games[[#This Row],[OppConf]],Games[[#This Row],[Div]]=Games[[#This Row],[OppDiv]]),1,0))</f>
        <v>0</v>
      </c>
      <c r="Q428">
        <f>IF(Games[[#This Row],[Team]]="","",_xlfn.MINIFS(Games[Date],Games[Season],Games[[#This Row],[Season]]))</f>
        <v>35309</v>
      </c>
      <c r="R428">
        <f>IF(Games[[#This Row],[Team]]="","",INT((Games[[#This Row],[Date]]-(Games[[#This Row],[SeasonStart]]-MOD(WEEKDAY(Games[[#This Row],[SeasonStart]],2)-2,7)))/7)+1)</f>
        <v>16</v>
      </c>
      <c r="S428">
        <f>IF(Games[[#This Row],[Team]]="","",COUNTIFS(Games[Team],Games[[#This Row],[Team]],Games[Season],Games[[#This Row],[Season]],Games[Week],"&lt;="&amp;Games[[#This Row],[Week]]))</f>
        <v>15</v>
      </c>
      <c r="T428">
        <f>IF(Games[[#This Row],[Team]]="","",_xlfn.MAXIFS(Games[Week],Games[Team],Games[[#This Row],[Team]],Games[Season],Games[[#This Row],[Season]],Games[Week],"&lt;"&amp;Games[[#This Row],[Week]]))</f>
        <v>15</v>
      </c>
      <c r="U428">
        <f>IF(Games[[#This Row],[Team]]="","",_xlfn.MAXIFS(Games[Week],Games[Team],Games[[#This Row],[Opponent]],Games[Season],Games[[#This Row],[Season]],Games[Week],"&lt;"&amp;Games[[#This Row],[Week]]))</f>
        <v>15</v>
      </c>
      <c r="V42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2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2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2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1646.1840542142238</v>
      </c>
      <c r="Z42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1421.5789521203726</v>
      </c>
      <c r="AA42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0.84649825647706278</v>
      </c>
      <c r="AB428">
        <f>IF(Games[[#This Row],[Team]]="","",Games[[#This Row],[PointsFor]]-Games[[#This Row],[PointsAgainst]])</f>
        <v>11</v>
      </c>
      <c r="AC428">
        <f>IF(Games[[#This Row],[Team]]="","",IF(Games[[#This Row],[MOV]]&gt;0,1,IF(Games[[#This Row],[MOV]]=0,0.5,0)))</f>
        <v>1</v>
      </c>
      <c r="AD428">
        <f>IF(Games[[#This Row],[Team]]="","",--(OR(AND(Games[[#This Row],[ExpectedWin]]&gt;=0.5,Games[[#This Row],[Result]]=1),AND(Games[[#This Row],[ExpectedWin]]&lt;0.5,Games[[#This Row],[Result]]=0))))</f>
        <v>1</v>
      </c>
      <c r="AE428">
        <f>IF(Games[[#This Row],[Team]]="","",-(Games[[#This Row],[Result]]*LN(Games[[#This Row],[ExpectedWin]])+(1-Games[[#This Row],[Result]])*LN(1-Games[[#This Row],[ExpectedWin]])))</f>
        <v>0.1666471370955776</v>
      </c>
      <c r="AF428">
        <f>IF(Games[[#This Row],[Team]]="","",IF(Games[[#This Row],[Season]]&gt;=2021,17,16))</f>
        <v>16</v>
      </c>
      <c r="AG428">
        <f>IF(Games[[#This Row],[Team]]="","",KMax-(KMax-KFloor)*MIN(Games[[#This Row],[GamesPlayed]],Games[[#This Row],[SeasonLen]])/Games[[#This Row],[SeasonLen]])</f>
        <v>36.8125</v>
      </c>
      <c r="AH428">
        <f>IF(Games[[#This Row],[Team]]="","",((ABS(Games[[#This Row],[MOV]])+3)^0.8)/(7.5+0.006*ABS(Games[[#This Row],[PreGmRate]]-Games[[#This Row],[OppPreGmRate]]))*IF(Games[[#This Row],[OT]]=1,0.7,1))</f>
        <v>0.93341644047196637</v>
      </c>
      <c r="AI42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8">
        <f>IF(Games[[#This Row],[Team]]="","",Games[[#This Row],[K]]*IF(Games[[#This Row],[DivG]]=1,DivMult,1)*IF(Games[[#This Row],[ConfG]]=1,ConfMult,1)*Games[[#This Row],[POMult]])</f>
        <v>36.8125</v>
      </c>
      <c r="AK428">
        <f>IF(Games[[#This Row],[Team]]="","",(Games[[#This Row],[Keff]]*Games[[#This Row],[MOVMult]])*(Games[[#This Row],[Result]]-Games[[#This Row],[ExpectedWin]]))</f>
        <v>5.2745336916095527</v>
      </c>
      <c r="AL428">
        <f>IF(Games[[#This Row],[Team]]="","",Games[[#This Row],[PreGmRate]]+Games[[#This Row],[RatingChange]])</f>
        <v>1651.4585879058334</v>
      </c>
      <c r="AM428">
        <f>IF(Games[[#This Row],[Team]]="","",IF(Games[[#This Row],[Type]]="R",IF(Games[[#This Row],[Result]]&gt;0.5,1,0),0))</f>
        <v>1</v>
      </c>
      <c r="AN428">
        <f>IF(Games[[#This Row],[Team]]="","",IF(Games[[#This Row],[Type]]="R",IF(Games[[#This Row],[Result]]&lt;0.5,1,0),0))</f>
        <v>0</v>
      </c>
      <c r="AO428">
        <f>IF(Games[[#This Row],[Team]]="","",IF(Games[[#This Row],[Type]]="R",IF(Games[[#This Row],[Result]]=0.5,1,0),0))</f>
        <v>0</v>
      </c>
    </row>
    <row r="429" spans="1:41" x14ac:dyDescent="0.35">
      <c r="A429" s="8">
        <v>35414</v>
      </c>
      <c r="B429">
        <v>1996</v>
      </c>
      <c r="C429" t="s">
        <v>197</v>
      </c>
      <c r="D429" t="s">
        <v>199</v>
      </c>
      <c r="E429" t="s">
        <v>101</v>
      </c>
      <c r="F429" t="s">
        <v>108</v>
      </c>
      <c r="G429" t="s">
        <v>201</v>
      </c>
      <c r="H429">
        <v>16</v>
      </c>
      <c r="I429">
        <v>27</v>
      </c>
      <c r="J429">
        <v>0</v>
      </c>
      <c r="K42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2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2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2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29">
        <f>IF(Games[[#This Row],[Team]]="","",IF(Games[[#This Row],[Conf]]=Games[[#This Row],[OppConf]],1,0))</f>
        <v>0</v>
      </c>
      <c r="P429">
        <f>IF(Games[[#This Row],[Team]]="","",IF(AND(Games[[#This Row],[Conf]]=Games[[#This Row],[OppConf]],Games[[#This Row],[Div]]=Games[[#This Row],[OppDiv]]),1,0))</f>
        <v>0</v>
      </c>
      <c r="Q429">
        <f>IF(Games[[#This Row],[Team]]="","",_xlfn.MINIFS(Games[Date],Games[Season],Games[[#This Row],[Season]]))</f>
        <v>35309</v>
      </c>
      <c r="R429">
        <f>IF(Games[[#This Row],[Team]]="","",INT((Games[[#This Row],[Date]]-(Games[[#This Row],[SeasonStart]]-MOD(WEEKDAY(Games[[#This Row],[SeasonStart]],2)-2,7)))/7)+1)</f>
        <v>16</v>
      </c>
      <c r="S429">
        <f>IF(Games[[#This Row],[Team]]="","",COUNTIFS(Games[Team],Games[[#This Row],[Team]],Games[Season],Games[[#This Row],[Season]],Games[Week],"&lt;="&amp;Games[[#This Row],[Week]]))</f>
        <v>15</v>
      </c>
      <c r="T429">
        <f>IF(Games[[#This Row],[Team]]="","",_xlfn.MAXIFS(Games[Week],Games[Team],Games[[#This Row],[Team]],Games[Season],Games[[#This Row],[Season]],Games[Week],"&lt;"&amp;Games[[#This Row],[Week]]))</f>
        <v>15</v>
      </c>
      <c r="U429">
        <f>IF(Games[[#This Row],[Team]]="","",_xlfn.MAXIFS(Games[Week],Games[Team],Games[[#This Row],[Opponent]],Games[Season],Games[[#This Row],[Season]],Games[Week],"&lt;"&amp;Games[[#This Row],[Week]]))</f>
        <v>15</v>
      </c>
      <c r="V42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2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2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2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1421.5789521203726</v>
      </c>
      <c r="Z42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1646.1840542142238</v>
      </c>
      <c r="AA42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0.15350174352293725</v>
      </c>
      <c r="AB429">
        <f>IF(Games[[#This Row],[Team]]="","",Games[[#This Row],[PointsFor]]-Games[[#This Row],[PointsAgainst]])</f>
        <v>-11</v>
      </c>
      <c r="AC429">
        <f>IF(Games[[#This Row],[Team]]="","",IF(Games[[#This Row],[MOV]]&gt;0,1,IF(Games[[#This Row],[MOV]]=0,0.5,0)))</f>
        <v>0</v>
      </c>
      <c r="AD429">
        <f>IF(Games[[#This Row],[Team]]="","",--(OR(AND(Games[[#This Row],[ExpectedWin]]&gt;=0.5,Games[[#This Row],[Result]]=1),AND(Games[[#This Row],[ExpectedWin]]&lt;0.5,Games[[#This Row],[Result]]=0))))</f>
        <v>1</v>
      </c>
      <c r="AE429">
        <f>IF(Games[[#This Row],[Team]]="","",-(Games[[#This Row],[Result]]*LN(Games[[#This Row],[ExpectedWin]])+(1-Games[[#This Row],[Result]])*LN(1-Games[[#This Row],[ExpectedWin]])))</f>
        <v>0.1666471370955776</v>
      </c>
      <c r="AF429">
        <f>IF(Games[[#This Row],[Team]]="","",IF(Games[[#This Row],[Season]]&gt;=2021,17,16))</f>
        <v>16</v>
      </c>
      <c r="AG429">
        <f>IF(Games[[#This Row],[Team]]="","",KMax-(KMax-KFloor)*MIN(Games[[#This Row],[GamesPlayed]],Games[[#This Row],[SeasonLen]])/Games[[#This Row],[SeasonLen]])</f>
        <v>36.8125</v>
      </c>
      <c r="AH429">
        <f>IF(Games[[#This Row],[Team]]="","",((ABS(Games[[#This Row],[MOV]])+3)^0.8)/(7.5+0.006*ABS(Games[[#This Row],[PreGmRate]]-Games[[#This Row],[OppPreGmRate]]))*IF(Games[[#This Row],[OT]]=1,0.7,1))</f>
        <v>0.93341644047196637</v>
      </c>
      <c r="AI42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9">
        <f>IF(Games[[#This Row],[Team]]="","",Games[[#This Row],[K]]*IF(Games[[#This Row],[DivG]]=1,DivMult,1)*IF(Games[[#This Row],[ConfG]]=1,ConfMult,1)*Games[[#This Row],[POMult]])</f>
        <v>36.8125</v>
      </c>
      <c r="AK429">
        <f>IF(Games[[#This Row],[Team]]="","",(Games[[#This Row],[Keff]]*Games[[#This Row],[MOVMult]])*(Games[[#This Row],[Result]]-Games[[#This Row],[ExpectedWin]]))</f>
        <v>-5.2745336916095535</v>
      </c>
      <c r="AL429">
        <f>IF(Games[[#This Row],[Team]]="","",Games[[#This Row],[PreGmRate]]+Games[[#This Row],[RatingChange]])</f>
        <v>1416.304418428763</v>
      </c>
      <c r="AM429">
        <f>IF(Games[[#This Row],[Team]]="","",IF(Games[[#This Row],[Type]]="R",IF(Games[[#This Row],[Result]]&gt;0.5,1,0),0))</f>
        <v>0</v>
      </c>
      <c r="AN429">
        <f>IF(Games[[#This Row],[Team]]="","",IF(Games[[#This Row],[Type]]="R",IF(Games[[#This Row],[Result]]&lt;0.5,1,0),0))</f>
        <v>1</v>
      </c>
      <c r="AO429">
        <f>IF(Games[[#This Row],[Team]]="","",IF(Games[[#This Row],[Type]]="R",IF(Games[[#This Row],[Result]]=0.5,1,0),0))</f>
        <v>0</v>
      </c>
    </row>
    <row r="430" spans="1:41" x14ac:dyDescent="0.35">
      <c r="A430" s="8">
        <v>35414</v>
      </c>
      <c r="B430">
        <v>1996</v>
      </c>
      <c r="C430" t="s">
        <v>197</v>
      </c>
      <c r="D430" t="s">
        <v>199</v>
      </c>
      <c r="E430" t="s">
        <v>112</v>
      </c>
      <c r="F430" t="s">
        <v>153</v>
      </c>
      <c r="G430" t="s">
        <v>201</v>
      </c>
      <c r="H430">
        <v>21</v>
      </c>
      <c r="I430">
        <v>13</v>
      </c>
      <c r="J430">
        <v>0</v>
      </c>
      <c r="K43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3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3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3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30">
        <f>IF(Games[[#This Row],[Team]]="","",IF(Games[[#This Row],[Conf]]=Games[[#This Row],[OppConf]],1,0))</f>
        <v>1</v>
      </c>
      <c r="P430">
        <f>IF(Games[[#This Row],[Team]]="","",IF(AND(Games[[#This Row],[Conf]]=Games[[#This Row],[OppConf]],Games[[#This Row],[Div]]=Games[[#This Row],[OppDiv]]),1,0))</f>
        <v>1</v>
      </c>
      <c r="Q430">
        <f>IF(Games[[#This Row],[Team]]="","",_xlfn.MINIFS(Games[Date],Games[Season],Games[[#This Row],[Season]]))</f>
        <v>35309</v>
      </c>
      <c r="R430">
        <f>IF(Games[[#This Row],[Team]]="","",INT((Games[[#This Row],[Date]]-(Games[[#This Row],[SeasonStart]]-MOD(WEEKDAY(Games[[#This Row],[SeasonStart]],2)-2,7)))/7)+1)</f>
        <v>16</v>
      </c>
      <c r="S430">
        <f>IF(Games[[#This Row],[Team]]="","",COUNTIFS(Games[Team],Games[[#This Row],[Team]],Games[Season],Games[[#This Row],[Season]],Games[Week],"&lt;="&amp;Games[[#This Row],[Week]]))</f>
        <v>15</v>
      </c>
      <c r="T430">
        <f>IF(Games[[#This Row],[Team]]="","",_xlfn.MAXIFS(Games[Week],Games[Team],Games[[#This Row],[Team]],Games[Season],Games[[#This Row],[Season]],Games[Week],"&lt;"&amp;Games[[#This Row],[Week]]))</f>
        <v>15</v>
      </c>
      <c r="U430">
        <f>IF(Games[[#This Row],[Team]]="","",_xlfn.MAXIFS(Games[Week],Games[Team],Games[[#This Row],[Opponent]],Games[Season],Games[[#This Row],[Season]],Games[Week],"&lt;"&amp;Games[[#This Row],[Week]]))</f>
        <v>15</v>
      </c>
      <c r="V43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3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3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3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1491.3173549647943</v>
      </c>
      <c r="Z43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1505.6075596829198</v>
      </c>
      <c r="AA43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0.37831029710398589</v>
      </c>
      <c r="AB430">
        <f>IF(Games[[#This Row],[Team]]="","",Games[[#This Row],[PointsFor]]-Games[[#This Row],[PointsAgainst]])</f>
        <v>8</v>
      </c>
      <c r="AC430">
        <f>IF(Games[[#This Row],[Team]]="","",IF(Games[[#This Row],[MOV]]&gt;0,1,IF(Games[[#This Row],[MOV]]=0,0.5,0)))</f>
        <v>1</v>
      </c>
      <c r="AD430">
        <f>IF(Games[[#This Row],[Team]]="","",--(OR(AND(Games[[#This Row],[ExpectedWin]]&gt;=0.5,Games[[#This Row],[Result]]=1),AND(Games[[#This Row],[ExpectedWin]]&lt;0.5,Games[[#This Row],[Result]]=0))))</f>
        <v>0</v>
      </c>
      <c r="AE430">
        <f>IF(Games[[#This Row],[Team]]="","",-(Games[[#This Row],[Result]]*LN(Games[[#This Row],[ExpectedWin]])+(1-Games[[#This Row],[Result]])*LN(1-Games[[#This Row],[ExpectedWin]])))</f>
        <v>0.97204052830046817</v>
      </c>
      <c r="AF430">
        <f>IF(Games[[#This Row],[Team]]="","",IF(Games[[#This Row],[Season]]&gt;=2021,17,16))</f>
        <v>16</v>
      </c>
      <c r="AG430">
        <f>IF(Games[[#This Row],[Team]]="","",KMax-(KMax-KFloor)*MIN(Games[[#This Row],[GamesPlayed]],Games[[#This Row],[SeasonLen]])/Games[[#This Row],[SeasonLen]])</f>
        <v>36.8125</v>
      </c>
      <c r="AH430">
        <f>IF(Games[[#This Row],[Team]]="","",((ABS(Games[[#This Row],[MOV]])+3)^0.8)/(7.5+0.006*ABS(Games[[#This Row],[PreGmRate]]-Games[[#This Row],[OppPreGmRate]]))*IF(Games[[#This Row],[OT]]=1,0.7,1))</f>
        <v>0.89766878708047904</v>
      </c>
      <c r="AI43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0">
        <f>IF(Games[[#This Row],[Team]]="","",Games[[#This Row],[K]]*IF(Games[[#This Row],[DivG]]=1,DivMult,1)*IF(Games[[#This Row],[ConfG]]=1,ConfMult,1)*Games[[#This Row],[POMult]])</f>
        <v>41.303625000000004</v>
      </c>
      <c r="AK430">
        <f>IF(Games[[#This Row],[Team]]="","",(Games[[#This Row],[Keff]]*Games[[#This Row],[MOVMult]])*(Games[[#This Row],[Result]]-Games[[#This Row],[ExpectedWin]]))</f>
        <v>23.05037354453993</v>
      </c>
      <c r="AL430">
        <f>IF(Games[[#This Row],[Team]]="","",Games[[#This Row],[PreGmRate]]+Games[[#This Row],[RatingChange]])</f>
        <v>1514.3677285093343</v>
      </c>
      <c r="AM430">
        <f>IF(Games[[#This Row],[Team]]="","",IF(Games[[#This Row],[Type]]="R",IF(Games[[#This Row],[Result]]&gt;0.5,1,0),0))</f>
        <v>1</v>
      </c>
      <c r="AN430">
        <f>IF(Games[[#This Row],[Team]]="","",IF(Games[[#This Row],[Type]]="R",IF(Games[[#This Row],[Result]]&lt;0.5,1,0),0))</f>
        <v>0</v>
      </c>
      <c r="AO430">
        <f>IF(Games[[#This Row],[Team]]="","",IF(Games[[#This Row],[Type]]="R",IF(Games[[#This Row],[Result]]=0.5,1,0),0))</f>
        <v>0</v>
      </c>
    </row>
    <row r="431" spans="1:41" x14ac:dyDescent="0.35">
      <c r="A431" s="8">
        <v>35414</v>
      </c>
      <c r="B431">
        <v>1996</v>
      </c>
      <c r="C431" t="s">
        <v>197</v>
      </c>
      <c r="D431" t="s">
        <v>199</v>
      </c>
      <c r="E431" t="s">
        <v>153</v>
      </c>
      <c r="F431" t="s">
        <v>112</v>
      </c>
      <c r="G431" t="s">
        <v>200</v>
      </c>
      <c r="H431">
        <v>13</v>
      </c>
      <c r="I431">
        <v>21</v>
      </c>
      <c r="J431">
        <v>0</v>
      </c>
      <c r="K43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3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3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3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31">
        <f>IF(Games[[#This Row],[Team]]="","",IF(Games[[#This Row],[Conf]]=Games[[#This Row],[OppConf]],1,0))</f>
        <v>1</v>
      </c>
      <c r="P431">
        <f>IF(Games[[#This Row],[Team]]="","",IF(AND(Games[[#This Row],[Conf]]=Games[[#This Row],[OppConf]],Games[[#This Row],[Div]]=Games[[#This Row],[OppDiv]]),1,0))</f>
        <v>1</v>
      </c>
      <c r="Q431">
        <f>IF(Games[[#This Row],[Team]]="","",_xlfn.MINIFS(Games[Date],Games[Season],Games[[#This Row],[Season]]))</f>
        <v>35309</v>
      </c>
      <c r="R431">
        <f>IF(Games[[#This Row],[Team]]="","",INT((Games[[#This Row],[Date]]-(Games[[#This Row],[SeasonStart]]-MOD(WEEKDAY(Games[[#This Row],[SeasonStart]],2)-2,7)))/7)+1)</f>
        <v>16</v>
      </c>
      <c r="S431">
        <f>IF(Games[[#This Row],[Team]]="","",COUNTIFS(Games[Team],Games[[#This Row],[Team]],Games[Season],Games[[#This Row],[Season]],Games[Week],"&lt;="&amp;Games[[#This Row],[Week]]))</f>
        <v>15</v>
      </c>
      <c r="T431">
        <f>IF(Games[[#This Row],[Team]]="","",_xlfn.MAXIFS(Games[Week],Games[Team],Games[[#This Row],[Team]],Games[Season],Games[[#This Row],[Season]],Games[Week],"&lt;"&amp;Games[[#This Row],[Week]]))</f>
        <v>15</v>
      </c>
      <c r="U431">
        <f>IF(Games[[#This Row],[Team]]="","",_xlfn.MAXIFS(Games[Week],Games[Team],Games[[#This Row],[Opponent]],Games[Season],Games[[#This Row],[Season]],Games[Week],"&lt;"&amp;Games[[#This Row],[Week]]))</f>
        <v>15</v>
      </c>
      <c r="V43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3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3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3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1505.6075596829198</v>
      </c>
      <c r="Z43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1491.3173549647943</v>
      </c>
      <c r="AA43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0.621689702896014</v>
      </c>
      <c r="AB431">
        <f>IF(Games[[#This Row],[Team]]="","",Games[[#This Row],[PointsFor]]-Games[[#This Row],[PointsAgainst]])</f>
        <v>-8</v>
      </c>
      <c r="AC431">
        <f>IF(Games[[#This Row],[Team]]="","",IF(Games[[#This Row],[MOV]]&gt;0,1,IF(Games[[#This Row],[MOV]]=0,0.5,0)))</f>
        <v>0</v>
      </c>
      <c r="AD431">
        <f>IF(Games[[#This Row],[Team]]="","",--(OR(AND(Games[[#This Row],[ExpectedWin]]&gt;=0.5,Games[[#This Row],[Result]]=1),AND(Games[[#This Row],[ExpectedWin]]&lt;0.5,Games[[#This Row],[Result]]=0))))</f>
        <v>0</v>
      </c>
      <c r="AE431">
        <f>IF(Games[[#This Row],[Team]]="","",-(Games[[#This Row],[Result]]*LN(Games[[#This Row],[ExpectedWin]])+(1-Games[[#This Row],[Result]])*LN(1-Games[[#This Row],[ExpectedWin]])))</f>
        <v>0.97204052830046783</v>
      </c>
      <c r="AF431">
        <f>IF(Games[[#This Row],[Team]]="","",IF(Games[[#This Row],[Season]]&gt;=2021,17,16))</f>
        <v>16</v>
      </c>
      <c r="AG431">
        <f>IF(Games[[#This Row],[Team]]="","",KMax-(KMax-KFloor)*MIN(Games[[#This Row],[GamesPlayed]],Games[[#This Row],[SeasonLen]])/Games[[#This Row],[SeasonLen]])</f>
        <v>36.8125</v>
      </c>
      <c r="AH431">
        <f>IF(Games[[#This Row],[Team]]="","",((ABS(Games[[#This Row],[MOV]])+3)^0.8)/(7.5+0.006*ABS(Games[[#This Row],[PreGmRate]]-Games[[#This Row],[OppPreGmRate]]))*IF(Games[[#This Row],[OT]]=1,0.7,1))</f>
        <v>0.89766878708047904</v>
      </c>
      <c r="AI43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1">
        <f>IF(Games[[#This Row],[Team]]="","",Games[[#This Row],[K]]*IF(Games[[#This Row],[DivG]]=1,DivMult,1)*IF(Games[[#This Row],[ConfG]]=1,ConfMult,1)*Games[[#This Row],[POMult]])</f>
        <v>41.303625000000004</v>
      </c>
      <c r="AK431">
        <f>IF(Games[[#This Row],[Team]]="","",(Games[[#This Row],[Keff]]*Games[[#This Row],[MOVMult]])*(Games[[#This Row],[Result]]-Games[[#This Row],[ExpectedWin]]))</f>
        <v>-23.050373544539926</v>
      </c>
      <c r="AL431">
        <f>IF(Games[[#This Row],[Team]]="","",Games[[#This Row],[PreGmRate]]+Games[[#This Row],[RatingChange]])</f>
        <v>1482.5571861383798</v>
      </c>
      <c r="AM431">
        <f>IF(Games[[#This Row],[Team]]="","",IF(Games[[#This Row],[Type]]="R",IF(Games[[#This Row],[Result]]&gt;0.5,1,0),0))</f>
        <v>0</v>
      </c>
      <c r="AN431">
        <f>IF(Games[[#This Row],[Team]]="","",IF(Games[[#This Row],[Type]]="R",IF(Games[[#This Row],[Result]]&lt;0.5,1,0),0))</f>
        <v>1</v>
      </c>
      <c r="AO431">
        <f>IF(Games[[#This Row],[Team]]="","",IF(Games[[#This Row],[Type]]="R",IF(Games[[#This Row],[Result]]=0.5,1,0),0))</f>
        <v>0</v>
      </c>
    </row>
    <row r="432" spans="1:41" x14ac:dyDescent="0.35">
      <c r="A432" s="8">
        <v>35414</v>
      </c>
      <c r="B432">
        <v>1996</v>
      </c>
      <c r="C432" t="s">
        <v>197</v>
      </c>
      <c r="D432" t="s">
        <v>199</v>
      </c>
      <c r="E432" t="s">
        <v>114</v>
      </c>
      <c r="F432" t="s">
        <v>132</v>
      </c>
      <c r="G432" t="s">
        <v>200</v>
      </c>
      <c r="H432">
        <v>12</v>
      </c>
      <c r="I432">
        <v>6</v>
      </c>
      <c r="J432">
        <v>0</v>
      </c>
      <c r="K43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3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3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3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32">
        <f>IF(Games[[#This Row],[Team]]="","",IF(Games[[#This Row],[Conf]]=Games[[#This Row],[OppConf]],1,0))</f>
        <v>0</v>
      </c>
      <c r="P432">
        <f>IF(Games[[#This Row],[Team]]="","",IF(AND(Games[[#This Row],[Conf]]=Games[[#This Row],[OppConf]],Games[[#This Row],[Div]]=Games[[#This Row],[OppDiv]]),1,0))</f>
        <v>0</v>
      </c>
      <c r="Q432">
        <f>IF(Games[[#This Row],[Team]]="","",_xlfn.MINIFS(Games[Date],Games[Season],Games[[#This Row],[Season]]))</f>
        <v>35309</v>
      </c>
      <c r="R432">
        <f>IF(Games[[#This Row],[Team]]="","",INT((Games[[#This Row],[Date]]-(Games[[#This Row],[SeasonStart]]-MOD(WEEKDAY(Games[[#This Row],[SeasonStart]],2)-2,7)))/7)+1)</f>
        <v>16</v>
      </c>
      <c r="S432">
        <f>IF(Games[[#This Row],[Team]]="","",COUNTIFS(Games[Team],Games[[#This Row],[Team]],Games[Season],Games[[#This Row],[Season]],Games[Week],"&lt;="&amp;Games[[#This Row],[Week]]))</f>
        <v>15</v>
      </c>
      <c r="T432">
        <f>IF(Games[[#This Row],[Team]]="","",_xlfn.MAXIFS(Games[Week],Games[Team],Games[[#This Row],[Team]],Games[Season],Games[[#This Row],[Season]],Games[Week],"&lt;"&amp;Games[[#This Row],[Week]]))</f>
        <v>15</v>
      </c>
      <c r="U432">
        <f>IF(Games[[#This Row],[Team]]="","",_xlfn.MAXIFS(Games[Week],Games[Team],Games[[#This Row],[Opponent]],Games[Season],Games[[#This Row],[Season]],Games[Week],"&lt;"&amp;Games[[#This Row],[Week]]))</f>
        <v>15</v>
      </c>
      <c r="V43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3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3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3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1587.1020765899157</v>
      </c>
      <c r="Z43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1625.1429669409195</v>
      </c>
      <c r="AA43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0.54871604920833628</v>
      </c>
      <c r="AB432">
        <f>IF(Games[[#This Row],[Team]]="","",Games[[#This Row],[PointsFor]]-Games[[#This Row],[PointsAgainst]])</f>
        <v>6</v>
      </c>
      <c r="AC432">
        <f>IF(Games[[#This Row],[Team]]="","",IF(Games[[#This Row],[MOV]]&gt;0,1,IF(Games[[#This Row],[MOV]]=0,0.5,0)))</f>
        <v>1</v>
      </c>
      <c r="AD432">
        <f>IF(Games[[#This Row],[Team]]="","",--(OR(AND(Games[[#This Row],[ExpectedWin]]&gt;=0.5,Games[[#This Row],[Result]]=1),AND(Games[[#This Row],[ExpectedWin]]&lt;0.5,Games[[#This Row],[Result]]=0))))</f>
        <v>1</v>
      </c>
      <c r="AE432">
        <f>IF(Games[[#This Row],[Team]]="","",-(Games[[#This Row],[Result]]*LN(Games[[#This Row],[ExpectedWin]])+(1-Games[[#This Row],[Result]])*LN(1-Games[[#This Row],[ExpectedWin]])))</f>
        <v>0.60017418583095783</v>
      </c>
      <c r="AF432">
        <f>IF(Games[[#This Row],[Team]]="","",IF(Games[[#This Row],[Season]]&gt;=2021,17,16))</f>
        <v>16</v>
      </c>
      <c r="AG432">
        <f>IF(Games[[#This Row],[Team]]="","",KMax-(KMax-KFloor)*MIN(Games[[#This Row],[GamesPlayed]],Games[[#This Row],[SeasonLen]])/Games[[#This Row],[SeasonLen]])</f>
        <v>36.8125</v>
      </c>
      <c r="AH432">
        <f>IF(Games[[#This Row],[Team]]="","",((ABS(Games[[#This Row],[MOV]])+3)^0.8)/(7.5+0.006*ABS(Games[[#This Row],[PreGmRate]]-Games[[#This Row],[OppPreGmRate]]))*IF(Games[[#This Row],[OT]]=1,0.7,1))</f>
        <v>0.75043504418751494</v>
      </c>
      <c r="AI43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2">
        <f>IF(Games[[#This Row],[Team]]="","",Games[[#This Row],[K]]*IF(Games[[#This Row],[DivG]]=1,DivMult,1)*IF(Games[[#This Row],[ConfG]]=1,ConfMult,1)*Games[[#This Row],[POMult]])</f>
        <v>36.8125</v>
      </c>
      <c r="AK432">
        <f>IF(Games[[#This Row],[Team]]="","",(Games[[#This Row],[Keff]]*Games[[#This Row],[MOVMult]])*(Games[[#This Row],[Result]]-Games[[#This Row],[ExpectedWin]]))</f>
        <v>12.466895170311689</v>
      </c>
      <c r="AL432">
        <f>IF(Games[[#This Row],[Team]]="","",Games[[#This Row],[PreGmRate]]+Games[[#This Row],[RatingChange]])</f>
        <v>1599.5689717602274</v>
      </c>
      <c r="AM432">
        <f>IF(Games[[#This Row],[Team]]="","",IF(Games[[#This Row],[Type]]="R",IF(Games[[#This Row],[Result]]&gt;0.5,1,0),0))</f>
        <v>1</v>
      </c>
      <c r="AN432">
        <f>IF(Games[[#This Row],[Team]]="","",IF(Games[[#This Row],[Type]]="R",IF(Games[[#This Row],[Result]]&lt;0.5,1,0),0))</f>
        <v>0</v>
      </c>
      <c r="AO432">
        <f>IF(Games[[#This Row],[Team]]="","",IF(Games[[#This Row],[Type]]="R",IF(Games[[#This Row],[Result]]=0.5,1,0),0))</f>
        <v>0</v>
      </c>
    </row>
    <row r="433" spans="1:41" x14ac:dyDescent="0.35">
      <c r="A433" s="8">
        <v>35414</v>
      </c>
      <c r="B433">
        <v>1996</v>
      </c>
      <c r="C433" t="s">
        <v>197</v>
      </c>
      <c r="D433" t="s">
        <v>199</v>
      </c>
      <c r="E433" t="s">
        <v>132</v>
      </c>
      <c r="F433" t="s">
        <v>114</v>
      </c>
      <c r="G433" t="s">
        <v>201</v>
      </c>
      <c r="H433">
        <v>6</v>
      </c>
      <c r="I433">
        <v>12</v>
      </c>
      <c r="J433">
        <v>0</v>
      </c>
      <c r="K43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3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3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3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33">
        <f>IF(Games[[#This Row],[Team]]="","",IF(Games[[#This Row],[Conf]]=Games[[#This Row],[OppConf]],1,0))</f>
        <v>0</v>
      </c>
      <c r="P433">
        <f>IF(Games[[#This Row],[Team]]="","",IF(AND(Games[[#This Row],[Conf]]=Games[[#This Row],[OppConf]],Games[[#This Row],[Div]]=Games[[#This Row],[OppDiv]]),1,0))</f>
        <v>0</v>
      </c>
      <c r="Q433">
        <f>IF(Games[[#This Row],[Team]]="","",_xlfn.MINIFS(Games[Date],Games[Season],Games[[#This Row],[Season]]))</f>
        <v>35309</v>
      </c>
      <c r="R433">
        <f>IF(Games[[#This Row],[Team]]="","",INT((Games[[#This Row],[Date]]-(Games[[#This Row],[SeasonStart]]-MOD(WEEKDAY(Games[[#This Row],[SeasonStart]],2)-2,7)))/7)+1)</f>
        <v>16</v>
      </c>
      <c r="S433">
        <f>IF(Games[[#This Row],[Team]]="","",COUNTIFS(Games[Team],Games[[#This Row],[Team]],Games[Season],Games[[#This Row],[Season]],Games[Week],"&lt;="&amp;Games[[#This Row],[Week]]))</f>
        <v>15</v>
      </c>
      <c r="T433">
        <f>IF(Games[[#This Row],[Team]]="","",_xlfn.MAXIFS(Games[Week],Games[Team],Games[[#This Row],[Team]],Games[Season],Games[[#This Row],[Season]],Games[Week],"&lt;"&amp;Games[[#This Row],[Week]]))</f>
        <v>15</v>
      </c>
      <c r="U433">
        <f>IF(Games[[#This Row],[Team]]="","",_xlfn.MAXIFS(Games[Week],Games[Team],Games[[#This Row],[Opponent]],Games[Season],Games[[#This Row],[Season]],Games[Week],"&lt;"&amp;Games[[#This Row],[Week]]))</f>
        <v>15</v>
      </c>
      <c r="V43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3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3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3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1625.1429669409195</v>
      </c>
      <c r="Z43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1587.1020765899157</v>
      </c>
      <c r="AA43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0.45128395079166378</v>
      </c>
      <c r="AB433">
        <f>IF(Games[[#This Row],[Team]]="","",Games[[#This Row],[PointsFor]]-Games[[#This Row],[PointsAgainst]])</f>
        <v>-6</v>
      </c>
      <c r="AC433">
        <f>IF(Games[[#This Row],[Team]]="","",IF(Games[[#This Row],[MOV]]&gt;0,1,IF(Games[[#This Row],[MOV]]=0,0.5,0)))</f>
        <v>0</v>
      </c>
      <c r="AD433">
        <f>IF(Games[[#This Row],[Team]]="","",--(OR(AND(Games[[#This Row],[ExpectedWin]]&gt;=0.5,Games[[#This Row],[Result]]=1),AND(Games[[#This Row],[ExpectedWin]]&lt;0.5,Games[[#This Row],[Result]]=0))))</f>
        <v>1</v>
      </c>
      <c r="AE433">
        <f>IF(Games[[#This Row],[Team]]="","",-(Games[[#This Row],[Result]]*LN(Games[[#This Row],[ExpectedWin]])+(1-Games[[#This Row],[Result]])*LN(1-Games[[#This Row],[ExpectedWin]])))</f>
        <v>0.60017418583095783</v>
      </c>
      <c r="AF433">
        <f>IF(Games[[#This Row],[Team]]="","",IF(Games[[#This Row],[Season]]&gt;=2021,17,16))</f>
        <v>16</v>
      </c>
      <c r="AG433">
        <f>IF(Games[[#This Row],[Team]]="","",KMax-(KMax-KFloor)*MIN(Games[[#This Row],[GamesPlayed]],Games[[#This Row],[SeasonLen]])/Games[[#This Row],[SeasonLen]])</f>
        <v>36.8125</v>
      </c>
      <c r="AH433">
        <f>IF(Games[[#This Row],[Team]]="","",((ABS(Games[[#This Row],[MOV]])+3)^0.8)/(7.5+0.006*ABS(Games[[#This Row],[PreGmRate]]-Games[[#This Row],[OppPreGmRate]]))*IF(Games[[#This Row],[OT]]=1,0.7,1))</f>
        <v>0.75043504418751494</v>
      </c>
      <c r="AI43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3">
        <f>IF(Games[[#This Row],[Team]]="","",Games[[#This Row],[K]]*IF(Games[[#This Row],[DivG]]=1,DivMult,1)*IF(Games[[#This Row],[ConfG]]=1,ConfMult,1)*Games[[#This Row],[POMult]])</f>
        <v>36.8125</v>
      </c>
      <c r="AK433">
        <f>IF(Games[[#This Row],[Team]]="","",(Games[[#This Row],[Keff]]*Games[[#This Row],[MOVMult]])*(Games[[#This Row],[Result]]-Games[[#This Row],[ExpectedWin]]))</f>
        <v>-12.466895170311691</v>
      </c>
      <c r="AL433">
        <f>IF(Games[[#This Row],[Team]]="","",Games[[#This Row],[PreGmRate]]+Games[[#This Row],[RatingChange]])</f>
        <v>1612.6760717706077</v>
      </c>
      <c r="AM433">
        <f>IF(Games[[#This Row],[Team]]="","",IF(Games[[#This Row],[Type]]="R",IF(Games[[#This Row],[Result]]&gt;0.5,1,0),0))</f>
        <v>0</v>
      </c>
      <c r="AN433">
        <f>IF(Games[[#This Row],[Team]]="","",IF(Games[[#This Row],[Type]]="R",IF(Games[[#This Row],[Result]]&lt;0.5,1,0),0))</f>
        <v>1</v>
      </c>
      <c r="AO433">
        <f>IF(Games[[#This Row],[Team]]="","",IF(Games[[#This Row],[Type]]="R",IF(Games[[#This Row],[Result]]=0.5,1,0),0))</f>
        <v>0</v>
      </c>
    </row>
    <row r="434" spans="1:41" x14ac:dyDescent="0.35">
      <c r="A434" s="8">
        <v>35414</v>
      </c>
      <c r="B434">
        <v>1996</v>
      </c>
      <c r="C434" t="s">
        <v>197</v>
      </c>
      <c r="D434" t="s">
        <v>199</v>
      </c>
      <c r="E434" t="s">
        <v>120</v>
      </c>
      <c r="F434" t="s">
        <v>118</v>
      </c>
      <c r="G434" t="s">
        <v>201</v>
      </c>
      <c r="H434">
        <v>31</v>
      </c>
      <c r="I434">
        <v>3</v>
      </c>
      <c r="J434">
        <v>0</v>
      </c>
      <c r="K43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3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3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3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34">
        <f>IF(Games[[#This Row],[Team]]="","",IF(Games[[#This Row],[Conf]]=Games[[#This Row],[OppConf]],1,0))</f>
        <v>1</v>
      </c>
      <c r="P434">
        <f>IF(Games[[#This Row],[Team]]="","",IF(AND(Games[[#This Row],[Conf]]=Games[[#This Row],[OppConf]],Games[[#This Row],[Div]]=Games[[#This Row],[OppDiv]]),1,0))</f>
        <v>1</v>
      </c>
      <c r="Q434">
        <f>IF(Games[[#This Row],[Team]]="","",_xlfn.MINIFS(Games[Date],Games[Season],Games[[#This Row],[Season]]))</f>
        <v>35309</v>
      </c>
      <c r="R434">
        <f>IF(Games[[#This Row],[Team]]="","",INT((Games[[#This Row],[Date]]-(Games[[#This Row],[SeasonStart]]-MOD(WEEKDAY(Games[[#This Row],[SeasonStart]],2)-2,7)))/7)+1)</f>
        <v>16</v>
      </c>
      <c r="S434">
        <f>IF(Games[[#This Row],[Team]]="","",COUNTIFS(Games[Team],Games[[#This Row],[Team]],Games[Season],Games[[#This Row],[Season]],Games[Week],"&lt;="&amp;Games[[#This Row],[Week]]))</f>
        <v>15</v>
      </c>
      <c r="T434">
        <f>IF(Games[[#This Row],[Team]]="","",_xlfn.MAXIFS(Games[Week],Games[Team],Games[[#This Row],[Team]],Games[Season],Games[[#This Row],[Season]],Games[Week],"&lt;"&amp;Games[[#This Row],[Week]]))</f>
        <v>15</v>
      </c>
      <c r="U434">
        <f>IF(Games[[#This Row],[Team]]="","",_xlfn.MAXIFS(Games[Week],Games[Team],Games[[#This Row],[Opponent]],Games[Season],Games[[#This Row],[Season]],Games[Week],"&lt;"&amp;Games[[#This Row],[Week]]))</f>
        <v>15</v>
      </c>
      <c r="V43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3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3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3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1696.9355546589613</v>
      </c>
      <c r="Z43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1415.6996244547367</v>
      </c>
      <c r="AA43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0.76931703548955566</v>
      </c>
      <c r="AB434">
        <f>IF(Games[[#This Row],[Team]]="","",Games[[#This Row],[PointsFor]]-Games[[#This Row],[PointsAgainst]])</f>
        <v>28</v>
      </c>
      <c r="AC434">
        <f>IF(Games[[#This Row],[Team]]="","",IF(Games[[#This Row],[MOV]]&gt;0,1,IF(Games[[#This Row],[MOV]]=0,0.5,0)))</f>
        <v>1</v>
      </c>
      <c r="AD434">
        <f>IF(Games[[#This Row],[Team]]="","",--(OR(AND(Games[[#This Row],[ExpectedWin]]&gt;=0.5,Games[[#This Row],[Result]]=1),AND(Games[[#This Row],[ExpectedWin]]&lt;0.5,Games[[#This Row],[Result]]=0))))</f>
        <v>1</v>
      </c>
      <c r="AE434">
        <f>IF(Games[[#This Row],[Team]]="","",-(Games[[#This Row],[Result]]*LN(Games[[#This Row],[ExpectedWin]])+(1-Games[[#This Row],[Result]])*LN(1-Games[[#This Row],[ExpectedWin]])))</f>
        <v>0.26225212461897657</v>
      </c>
      <c r="AF434">
        <f>IF(Games[[#This Row],[Team]]="","",IF(Games[[#This Row],[Season]]&gt;=2021,17,16))</f>
        <v>16</v>
      </c>
      <c r="AG434">
        <f>IF(Games[[#This Row],[Team]]="","",KMax-(KMax-KFloor)*MIN(Games[[#This Row],[GamesPlayed]],Games[[#This Row],[SeasonLen]])/Games[[#This Row],[SeasonLen]])</f>
        <v>36.8125</v>
      </c>
      <c r="AH434">
        <f>IF(Games[[#This Row],[Team]]="","",((ABS(Games[[#This Row],[MOV]])+3)^0.8)/(7.5+0.006*ABS(Games[[#This Row],[PreGmRate]]-Games[[#This Row],[OppPreGmRate]]))*IF(Games[[#This Row],[OT]]=1,0.7,1))</f>
        <v>1.6978369992133842</v>
      </c>
      <c r="AI43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4">
        <f>IF(Games[[#This Row],[Team]]="","",Games[[#This Row],[K]]*IF(Games[[#This Row],[DivG]]=1,DivMult,1)*IF(Games[[#This Row],[ConfG]]=1,ConfMult,1)*Games[[#This Row],[POMult]])</f>
        <v>41.303625000000004</v>
      </c>
      <c r="AK434">
        <f>IF(Games[[#This Row],[Team]]="","",(Games[[#This Row],[Keff]]*Games[[#This Row],[MOVMult]])*(Games[[#This Row],[Result]]-Games[[#This Row],[ExpectedWin]]))</f>
        <v>16.177063358278545</v>
      </c>
      <c r="AL434">
        <f>IF(Games[[#This Row],[Team]]="","",Games[[#This Row],[PreGmRate]]+Games[[#This Row],[RatingChange]])</f>
        <v>1713.1126180172398</v>
      </c>
      <c r="AM434">
        <f>IF(Games[[#This Row],[Team]]="","",IF(Games[[#This Row],[Type]]="R",IF(Games[[#This Row],[Result]]&gt;0.5,1,0),0))</f>
        <v>1</v>
      </c>
      <c r="AN434">
        <f>IF(Games[[#This Row],[Team]]="","",IF(Games[[#This Row],[Type]]="R",IF(Games[[#This Row],[Result]]&lt;0.5,1,0),0))</f>
        <v>0</v>
      </c>
      <c r="AO434">
        <f>IF(Games[[#This Row],[Team]]="","",IF(Games[[#This Row],[Type]]="R",IF(Games[[#This Row],[Result]]=0.5,1,0),0))</f>
        <v>0</v>
      </c>
    </row>
    <row r="435" spans="1:41" x14ac:dyDescent="0.35">
      <c r="A435" s="8">
        <v>35414</v>
      </c>
      <c r="B435">
        <v>1996</v>
      </c>
      <c r="C435" t="s">
        <v>197</v>
      </c>
      <c r="D435" t="s">
        <v>199</v>
      </c>
      <c r="E435" t="s">
        <v>118</v>
      </c>
      <c r="F435" t="s">
        <v>120</v>
      </c>
      <c r="G435" t="s">
        <v>200</v>
      </c>
      <c r="H435">
        <v>3</v>
      </c>
      <c r="I435">
        <v>31</v>
      </c>
      <c r="J435">
        <v>0</v>
      </c>
      <c r="K43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3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3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3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35">
        <f>IF(Games[[#This Row],[Team]]="","",IF(Games[[#This Row],[Conf]]=Games[[#This Row],[OppConf]],1,0))</f>
        <v>1</v>
      </c>
      <c r="P435">
        <f>IF(Games[[#This Row],[Team]]="","",IF(AND(Games[[#This Row],[Conf]]=Games[[#This Row],[OppConf]],Games[[#This Row],[Div]]=Games[[#This Row],[OppDiv]]),1,0))</f>
        <v>1</v>
      </c>
      <c r="Q435">
        <f>IF(Games[[#This Row],[Team]]="","",_xlfn.MINIFS(Games[Date],Games[Season],Games[[#This Row],[Season]]))</f>
        <v>35309</v>
      </c>
      <c r="R435">
        <f>IF(Games[[#This Row],[Team]]="","",INT((Games[[#This Row],[Date]]-(Games[[#This Row],[SeasonStart]]-MOD(WEEKDAY(Games[[#This Row],[SeasonStart]],2)-2,7)))/7)+1)</f>
        <v>16</v>
      </c>
      <c r="S435">
        <f>IF(Games[[#This Row],[Team]]="","",COUNTIFS(Games[Team],Games[[#This Row],[Team]],Games[Season],Games[[#This Row],[Season]],Games[Week],"&lt;="&amp;Games[[#This Row],[Week]]))</f>
        <v>15</v>
      </c>
      <c r="T435">
        <f>IF(Games[[#This Row],[Team]]="","",_xlfn.MAXIFS(Games[Week],Games[Team],Games[[#This Row],[Team]],Games[Season],Games[[#This Row],[Season]],Games[Week],"&lt;"&amp;Games[[#This Row],[Week]]))</f>
        <v>15</v>
      </c>
      <c r="U435">
        <f>IF(Games[[#This Row],[Team]]="","",_xlfn.MAXIFS(Games[Week],Games[Team],Games[[#This Row],[Opponent]],Games[Season],Games[[#This Row],[Season]],Games[Week],"&lt;"&amp;Games[[#This Row],[Week]]))</f>
        <v>15</v>
      </c>
      <c r="V43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3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3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3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1415.6996244547367</v>
      </c>
      <c r="Z43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1696.9355546589613</v>
      </c>
      <c r="AA43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0.23068296451044434</v>
      </c>
      <c r="AB435">
        <f>IF(Games[[#This Row],[Team]]="","",Games[[#This Row],[PointsFor]]-Games[[#This Row],[PointsAgainst]])</f>
        <v>-28</v>
      </c>
      <c r="AC435">
        <f>IF(Games[[#This Row],[Team]]="","",IF(Games[[#This Row],[MOV]]&gt;0,1,IF(Games[[#This Row],[MOV]]=0,0.5,0)))</f>
        <v>0</v>
      </c>
      <c r="AD435">
        <f>IF(Games[[#This Row],[Team]]="","",--(OR(AND(Games[[#This Row],[ExpectedWin]]&gt;=0.5,Games[[#This Row],[Result]]=1),AND(Games[[#This Row],[ExpectedWin]]&lt;0.5,Games[[#This Row],[Result]]=0))))</f>
        <v>1</v>
      </c>
      <c r="AE435">
        <f>IF(Games[[#This Row],[Team]]="","",-(Games[[#This Row],[Result]]*LN(Games[[#This Row],[ExpectedWin]])+(1-Games[[#This Row],[Result]])*LN(1-Games[[#This Row],[ExpectedWin]])))</f>
        <v>0.26225212461897657</v>
      </c>
      <c r="AF435">
        <f>IF(Games[[#This Row],[Team]]="","",IF(Games[[#This Row],[Season]]&gt;=2021,17,16))</f>
        <v>16</v>
      </c>
      <c r="AG435">
        <f>IF(Games[[#This Row],[Team]]="","",KMax-(KMax-KFloor)*MIN(Games[[#This Row],[GamesPlayed]],Games[[#This Row],[SeasonLen]])/Games[[#This Row],[SeasonLen]])</f>
        <v>36.8125</v>
      </c>
      <c r="AH435">
        <f>IF(Games[[#This Row],[Team]]="","",((ABS(Games[[#This Row],[MOV]])+3)^0.8)/(7.5+0.006*ABS(Games[[#This Row],[PreGmRate]]-Games[[#This Row],[OppPreGmRate]]))*IF(Games[[#This Row],[OT]]=1,0.7,1))</f>
        <v>1.6978369992133842</v>
      </c>
      <c r="AI43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5">
        <f>IF(Games[[#This Row],[Team]]="","",Games[[#This Row],[K]]*IF(Games[[#This Row],[DivG]]=1,DivMult,1)*IF(Games[[#This Row],[ConfG]]=1,ConfMult,1)*Games[[#This Row],[POMult]])</f>
        <v>41.303625000000004</v>
      </c>
      <c r="AK435">
        <f>IF(Games[[#This Row],[Team]]="","",(Games[[#This Row],[Keff]]*Games[[#This Row],[MOVMult]])*(Games[[#This Row],[Result]]-Games[[#This Row],[ExpectedWin]]))</f>
        <v>-16.177063358278545</v>
      </c>
      <c r="AL435">
        <f>IF(Games[[#This Row],[Team]]="","",Games[[#This Row],[PreGmRate]]+Games[[#This Row],[RatingChange]])</f>
        <v>1399.5225610964583</v>
      </c>
      <c r="AM435">
        <f>IF(Games[[#This Row],[Team]]="","",IF(Games[[#This Row],[Type]]="R",IF(Games[[#This Row],[Result]]&gt;0.5,1,0),0))</f>
        <v>0</v>
      </c>
      <c r="AN435">
        <f>IF(Games[[#This Row],[Team]]="","",IF(Games[[#This Row],[Type]]="R",IF(Games[[#This Row],[Result]]&lt;0.5,1,0),0))</f>
        <v>1</v>
      </c>
      <c r="AO435">
        <f>IF(Games[[#This Row],[Team]]="","",IF(Games[[#This Row],[Type]]="R",IF(Games[[#This Row],[Result]]=0.5,1,0),0))</f>
        <v>0</v>
      </c>
    </row>
    <row r="436" spans="1:41" x14ac:dyDescent="0.35">
      <c r="A436" s="8">
        <v>35414</v>
      </c>
      <c r="B436">
        <v>1996</v>
      </c>
      <c r="C436" t="s">
        <v>197</v>
      </c>
      <c r="D436" t="s">
        <v>199</v>
      </c>
      <c r="E436" t="s">
        <v>130</v>
      </c>
      <c r="F436" t="s">
        <v>151</v>
      </c>
      <c r="G436" t="s">
        <v>200</v>
      </c>
      <c r="H436">
        <v>21</v>
      </c>
      <c r="I436">
        <v>10</v>
      </c>
      <c r="J436">
        <v>0</v>
      </c>
      <c r="K43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3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3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3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36">
        <f>IF(Games[[#This Row],[Team]]="","",IF(Games[[#This Row],[Conf]]=Games[[#This Row],[OppConf]],1,0))</f>
        <v>1</v>
      </c>
      <c r="P436">
        <f>IF(Games[[#This Row],[Team]]="","",IF(AND(Games[[#This Row],[Conf]]=Games[[#This Row],[OppConf]],Games[[#This Row],[Div]]=Games[[#This Row],[OppDiv]]),1,0))</f>
        <v>1</v>
      </c>
      <c r="Q436">
        <f>IF(Games[[#This Row],[Team]]="","",_xlfn.MINIFS(Games[Date],Games[Season],Games[[#This Row],[Season]]))</f>
        <v>35309</v>
      </c>
      <c r="R436">
        <f>IF(Games[[#This Row],[Team]]="","",INT((Games[[#This Row],[Date]]-(Games[[#This Row],[SeasonStart]]-MOD(WEEKDAY(Games[[#This Row],[SeasonStart]],2)-2,7)))/7)+1)</f>
        <v>16</v>
      </c>
      <c r="S436">
        <f>IF(Games[[#This Row],[Team]]="","",COUNTIFS(Games[Team],Games[[#This Row],[Team]],Games[Season],Games[[#This Row],[Season]],Games[Week],"&lt;="&amp;Games[[#This Row],[Week]]))</f>
        <v>15</v>
      </c>
      <c r="T436">
        <f>IF(Games[[#This Row],[Team]]="","",_xlfn.MAXIFS(Games[Week],Games[Team],Games[[#This Row],[Team]],Games[Season],Games[[#This Row],[Season]],Games[Week],"&lt;"&amp;Games[[#This Row],[Week]]))</f>
        <v>15</v>
      </c>
      <c r="U436">
        <f>IF(Games[[#This Row],[Team]]="","",_xlfn.MAXIFS(Games[Week],Games[Team],Games[[#This Row],[Opponent]],Games[Season],Games[[#This Row],[Season]],Games[Week],"&lt;"&amp;Games[[#This Row],[Week]]))</f>
        <v>15</v>
      </c>
      <c r="V43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3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3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3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1502.6980981261711</v>
      </c>
      <c r="Z43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1423.1956835830777</v>
      </c>
      <c r="AA43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0.70518621920990021</v>
      </c>
      <c r="AB436">
        <f>IF(Games[[#This Row],[Team]]="","",Games[[#This Row],[PointsFor]]-Games[[#This Row],[PointsAgainst]])</f>
        <v>11</v>
      </c>
      <c r="AC436">
        <f>IF(Games[[#This Row],[Team]]="","",IF(Games[[#This Row],[MOV]]&gt;0,1,IF(Games[[#This Row],[MOV]]=0,0.5,0)))</f>
        <v>1</v>
      </c>
      <c r="AD436">
        <f>IF(Games[[#This Row],[Team]]="","",--(OR(AND(Games[[#This Row],[ExpectedWin]]&gt;=0.5,Games[[#This Row],[Result]]=1),AND(Games[[#This Row],[ExpectedWin]]&lt;0.5,Games[[#This Row],[Result]]=0))))</f>
        <v>1</v>
      </c>
      <c r="AE436">
        <f>IF(Games[[#This Row],[Team]]="","",-(Games[[#This Row],[Result]]*LN(Games[[#This Row],[ExpectedWin]])+(1-Games[[#This Row],[Result]])*LN(1-Games[[#This Row],[ExpectedWin]])))</f>
        <v>0.34929337032562469</v>
      </c>
      <c r="AF436">
        <f>IF(Games[[#This Row],[Team]]="","",IF(Games[[#This Row],[Season]]&gt;=2021,17,16))</f>
        <v>16</v>
      </c>
      <c r="AG436">
        <f>IF(Games[[#This Row],[Team]]="","",KMax-(KMax-KFloor)*MIN(Games[[#This Row],[GamesPlayed]],Games[[#This Row],[SeasonLen]])/Games[[#This Row],[SeasonLen]])</f>
        <v>36.8125</v>
      </c>
      <c r="AH436">
        <f>IF(Games[[#This Row],[Team]]="","",((ABS(Games[[#This Row],[MOV]])+3)^0.8)/(7.5+0.006*ABS(Games[[#This Row],[PreGmRate]]-Games[[#This Row],[OppPreGmRate]]))*IF(Games[[#This Row],[OT]]=1,0.7,1))</f>
        <v>1.0352900682555541</v>
      </c>
      <c r="AI43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6">
        <f>IF(Games[[#This Row],[Team]]="","",Games[[#This Row],[K]]*IF(Games[[#This Row],[DivG]]=1,DivMult,1)*IF(Games[[#This Row],[ConfG]]=1,ConfMult,1)*Games[[#This Row],[POMult]])</f>
        <v>41.303625000000004</v>
      </c>
      <c r="AK436">
        <f>IF(Games[[#This Row],[Team]]="","",(Games[[#This Row],[Keff]]*Games[[#This Row],[MOVMult]])*(Games[[#This Row],[Result]]-Games[[#This Row],[ExpectedWin]]))</f>
        <v>12.606600696932068</v>
      </c>
      <c r="AL436">
        <f>IF(Games[[#This Row],[Team]]="","",Games[[#This Row],[PreGmRate]]+Games[[#This Row],[RatingChange]])</f>
        <v>1515.3046988231031</v>
      </c>
      <c r="AM436">
        <f>IF(Games[[#This Row],[Team]]="","",IF(Games[[#This Row],[Type]]="R",IF(Games[[#This Row],[Result]]&gt;0.5,1,0),0))</f>
        <v>1</v>
      </c>
      <c r="AN436">
        <f>IF(Games[[#This Row],[Team]]="","",IF(Games[[#This Row],[Type]]="R",IF(Games[[#This Row],[Result]]&lt;0.5,1,0),0))</f>
        <v>0</v>
      </c>
      <c r="AO436">
        <f>IF(Games[[#This Row],[Team]]="","",IF(Games[[#This Row],[Type]]="R",IF(Games[[#This Row],[Result]]=0.5,1,0),0))</f>
        <v>0</v>
      </c>
    </row>
    <row r="437" spans="1:41" x14ac:dyDescent="0.35">
      <c r="A437" s="8">
        <v>35414</v>
      </c>
      <c r="B437">
        <v>1996</v>
      </c>
      <c r="C437" t="s">
        <v>197</v>
      </c>
      <c r="D437" t="s">
        <v>199</v>
      </c>
      <c r="E437" t="s">
        <v>151</v>
      </c>
      <c r="F437" t="s">
        <v>130</v>
      </c>
      <c r="G437" t="s">
        <v>201</v>
      </c>
      <c r="H437">
        <v>10</v>
      </c>
      <c r="I437">
        <v>21</v>
      </c>
      <c r="J437">
        <v>0</v>
      </c>
      <c r="K43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3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3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3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37">
        <f>IF(Games[[#This Row],[Team]]="","",IF(Games[[#This Row],[Conf]]=Games[[#This Row],[OppConf]],1,0))</f>
        <v>1</v>
      </c>
      <c r="P437">
        <f>IF(Games[[#This Row],[Team]]="","",IF(AND(Games[[#This Row],[Conf]]=Games[[#This Row],[OppConf]],Games[[#This Row],[Div]]=Games[[#This Row],[OppDiv]]),1,0))</f>
        <v>1</v>
      </c>
      <c r="Q437">
        <f>IF(Games[[#This Row],[Team]]="","",_xlfn.MINIFS(Games[Date],Games[Season],Games[[#This Row],[Season]]))</f>
        <v>35309</v>
      </c>
      <c r="R437">
        <f>IF(Games[[#This Row],[Team]]="","",INT((Games[[#This Row],[Date]]-(Games[[#This Row],[SeasonStart]]-MOD(WEEKDAY(Games[[#This Row],[SeasonStart]],2)-2,7)))/7)+1)</f>
        <v>16</v>
      </c>
      <c r="S437">
        <f>IF(Games[[#This Row],[Team]]="","",COUNTIFS(Games[Team],Games[[#This Row],[Team]],Games[Season],Games[[#This Row],[Season]],Games[Week],"&lt;="&amp;Games[[#This Row],[Week]]))</f>
        <v>15</v>
      </c>
      <c r="T437">
        <f>IF(Games[[#This Row],[Team]]="","",_xlfn.MAXIFS(Games[Week],Games[Team],Games[[#This Row],[Team]],Games[Season],Games[[#This Row],[Season]],Games[Week],"&lt;"&amp;Games[[#This Row],[Week]]))</f>
        <v>15</v>
      </c>
      <c r="U437">
        <f>IF(Games[[#This Row],[Team]]="","",_xlfn.MAXIFS(Games[Week],Games[Team],Games[[#This Row],[Opponent]],Games[Season],Games[[#This Row],[Season]],Games[Week],"&lt;"&amp;Games[[#This Row],[Week]]))</f>
        <v>15</v>
      </c>
      <c r="V43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3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3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3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1423.1956835830777</v>
      </c>
      <c r="Z43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1502.6980981261711</v>
      </c>
      <c r="AA43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0.29481378079009973</v>
      </c>
      <c r="AB437">
        <f>IF(Games[[#This Row],[Team]]="","",Games[[#This Row],[PointsFor]]-Games[[#This Row],[PointsAgainst]])</f>
        <v>-11</v>
      </c>
      <c r="AC437">
        <f>IF(Games[[#This Row],[Team]]="","",IF(Games[[#This Row],[MOV]]&gt;0,1,IF(Games[[#This Row],[MOV]]=0,0.5,0)))</f>
        <v>0</v>
      </c>
      <c r="AD437">
        <f>IF(Games[[#This Row],[Team]]="","",--(OR(AND(Games[[#This Row],[ExpectedWin]]&gt;=0.5,Games[[#This Row],[Result]]=1),AND(Games[[#This Row],[ExpectedWin]]&lt;0.5,Games[[#This Row],[Result]]=0))))</f>
        <v>1</v>
      </c>
      <c r="AE437">
        <f>IF(Games[[#This Row],[Team]]="","",-(Games[[#This Row],[Result]]*LN(Games[[#This Row],[ExpectedWin]])+(1-Games[[#This Row],[Result]])*LN(1-Games[[#This Row],[ExpectedWin]])))</f>
        <v>0.34929337032562452</v>
      </c>
      <c r="AF437">
        <f>IF(Games[[#This Row],[Team]]="","",IF(Games[[#This Row],[Season]]&gt;=2021,17,16))</f>
        <v>16</v>
      </c>
      <c r="AG437">
        <f>IF(Games[[#This Row],[Team]]="","",KMax-(KMax-KFloor)*MIN(Games[[#This Row],[GamesPlayed]],Games[[#This Row],[SeasonLen]])/Games[[#This Row],[SeasonLen]])</f>
        <v>36.8125</v>
      </c>
      <c r="AH437">
        <f>IF(Games[[#This Row],[Team]]="","",((ABS(Games[[#This Row],[MOV]])+3)^0.8)/(7.5+0.006*ABS(Games[[#This Row],[PreGmRate]]-Games[[#This Row],[OppPreGmRate]]))*IF(Games[[#This Row],[OT]]=1,0.7,1))</f>
        <v>1.0352900682555541</v>
      </c>
      <c r="AI43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7">
        <f>IF(Games[[#This Row],[Team]]="","",Games[[#This Row],[K]]*IF(Games[[#This Row],[DivG]]=1,DivMult,1)*IF(Games[[#This Row],[ConfG]]=1,ConfMult,1)*Games[[#This Row],[POMult]])</f>
        <v>41.303625000000004</v>
      </c>
      <c r="AK437">
        <f>IF(Games[[#This Row],[Team]]="","",(Games[[#This Row],[Keff]]*Games[[#This Row],[MOVMult]])*(Games[[#This Row],[Result]]-Games[[#This Row],[ExpectedWin]]))</f>
        <v>-12.606600696932066</v>
      </c>
      <c r="AL437">
        <f>IF(Games[[#This Row],[Team]]="","",Games[[#This Row],[PreGmRate]]+Games[[#This Row],[RatingChange]])</f>
        <v>1410.5890828861457</v>
      </c>
      <c r="AM437">
        <f>IF(Games[[#This Row],[Team]]="","",IF(Games[[#This Row],[Type]]="R",IF(Games[[#This Row],[Result]]&gt;0.5,1,0),0))</f>
        <v>0</v>
      </c>
      <c r="AN437">
        <f>IF(Games[[#This Row],[Team]]="","",IF(Games[[#This Row],[Type]]="R",IF(Games[[#This Row],[Result]]&lt;0.5,1,0),0))</f>
        <v>1</v>
      </c>
      <c r="AO437">
        <f>IF(Games[[#This Row],[Team]]="","",IF(Games[[#This Row],[Type]]="R",IF(Games[[#This Row],[Result]]=0.5,1,0),0))</f>
        <v>0</v>
      </c>
    </row>
    <row r="438" spans="1:41" x14ac:dyDescent="0.35">
      <c r="A438" s="8">
        <v>35414</v>
      </c>
      <c r="B438">
        <v>1996</v>
      </c>
      <c r="C438" t="s">
        <v>197</v>
      </c>
      <c r="D438" t="s">
        <v>199</v>
      </c>
      <c r="E438" t="s">
        <v>134</v>
      </c>
      <c r="F438" t="s">
        <v>136</v>
      </c>
      <c r="G438" t="s">
        <v>201</v>
      </c>
      <c r="H438">
        <v>17</v>
      </c>
      <c r="I438">
        <v>3</v>
      </c>
      <c r="J438">
        <v>0</v>
      </c>
      <c r="K43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3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3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3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38">
        <f>IF(Games[[#This Row],[Team]]="","",IF(Games[[#This Row],[Conf]]=Games[[#This Row],[OppConf]],1,0))</f>
        <v>1</v>
      </c>
      <c r="P438">
        <f>IF(Games[[#This Row],[Team]]="","",IF(AND(Games[[#This Row],[Conf]]=Games[[#This Row],[OppConf]],Games[[#This Row],[Div]]=Games[[#This Row],[OppDiv]]),1,0))</f>
        <v>0</v>
      </c>
      <c r="Q438">
        <f>IF(Games[[#This Row],[Team]]="","",_xlfn.MINIFS(Games[Date],Games[Season],Games[[#This Row],[Season]]))</f>
        <v>35309</v>
      </c>
      <c r="R438">
        <f>IF(Games[[#This Row],[Team]]="","",INT((Games[[#This Row],[Date]]-(Games[[#This Row],[SeasonStart]]-MOD(WEEKDAY(Games[[#This Row],[SeasonStart]],2)-2,7)))/7)+1)</f>
        <v>16</v>
      </c>
      <c r="S438">
        <f>IF(Games[[#This Row],[Team]]="","",COUNTIFS(Games[Team],Games[[#This Row],[Team]],Games[Season],Games[[#This Row],[Season]],Games[Week],"&lt;="&amp;Games[[#This Row],[Week]]))</f>
        <v>15</v>
      </c>
      <c r="T438">
        <f>IF(Games[[#This Row],[Team]]="","",_xlfn.MAXIFS(Games[Week],Games[Team],Games[[#This Row],[Team]],Games[Season],Games[[#This Row],[Season]],Games[Week],"&lt;"&amp;Games[[#This Row],[Week]]))</f>
        <v>15</v>
      </c>
      <c r="U438">
        <f>IF(Games[[#This Row],[Team]]="","",_xlfn.MAXIFS(Games[Week],Games[Team],Games[[#This Row],[Opponent]],Games[Season],Games[[#This Row],[Season]],Games[Week],"&lt;"&amp;Games[[#This Row],[Week]]))</f>
        <v>15</v>
      </c>
      <c r="V43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3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3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3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1284.1901097215093</v>
      </c>
      <c r="Z43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1484.7828657310372</v>
      </c>
      <c r="AA43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0.17233474112461536</v>
      </c>
      <c r="AB438">
        <f>IF(Games[[#This Row],[Team]]="","",Games[[#This Row],[PointsFor]]-Games[[#This Row],[PointsAgainst]])</f>
        <v>14</v>
      </c>
      <c r="AC438">
        <f>IF(Games[[#This Row],[Team]]="","",IF(Games[[#This Row],[MOV]]&gt;0,1,IF(Games[[#This Row],[MOV]]=0,0.5,0)))</f>
        <v>1</v>
      </c>
      <c r="AD438">
        <f>IF(Games[[#This Row],[Team]]="","",--(OR(AND(Games[[#This Row],[ExpectedWin]]&gt;=0.5,Games[[#This Row],[Result]]=1),AND(Games[[#This Row],[ExpectedWin]]&lt;0.5,Games[[#This Row],[Result]]=0))))</f>
        <v>0</v>
      </c>
      <c r="AE438">
        <f>IF(Games[[#This Row],[Team]]="","",-(Games[[#This Row],[Result]]*LN(Games[[#This Row],[ExpectedWin]])+(1-Games[[#This Row],[Result]])*LN(1-Games[[#This Row],[ExpectedWin]])))</f>
        <v>1.7583165241735472</v>
      </c>
      <c r="AF438">
        <f>IF(Games[[#This Row],[Team]]="","",IF(Games[[#This Row],[Season]]&gt;=2021,17,16))</f>
        <v>16</v>
      </c>
      <c r="AG438">
        <f>IF(Games[[#This Row],[Team]]="","",KMax-(KMax-KFloor)*MIN(Games[[#This Row],[GamesPlayed]],Games[[#This Row],[SeasonLen]])/Games[[#This Row],[SeasonLen]])</f>
        <v>36.8125</v>
      </c>
      <c r="AH438">
        <f>IF(Games[[#This Row],[Team]]="","",((ABS(Games[[#This Row],[MOV]])+3)^0.8)/(7.5+0.006*ABS(Games[[#This Row],[PreGmRate]]-Games[[#This Row],[OppPreGmRate]]))*IF(Games[[#This Row],[OT]]=1,0.7,1))</f>
        <v>1.1083128852503275</v>
      </c>
      <c r="AI43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8">
        <f>IF(Games[[#This Row],[Team]]="","",Games[[#This Row],[K]]*IF(Games[[#This Row],[DivG]]=1,DivMult,1)*IF(Games[[#This Row],[ConfG]]=1,ConfMult,1)*Games[[#This Row],[POMult]])</f>
        <v>37.548749999999998</v>
      </c>
      <c r="AK438">
        <f>IF(Games[[#This Row],[Team]]="","",(Games[[#This Row],[Keff]]*Games[[#This Row],[MOVMult]])*(Games[[#This Row],[Result]]-Games[[#This Row],[ExpectedWin]]))</f>
        <v>34.443921629176806</v>
      </c>
      <c r="AL438">
        <f>IF(Games[[#This Row],[Team]]="","",Games[[#This Row],[PreGmRate]]+Games[[#This Row],[RatingChange]])</f>
        <v>1318.6340313506862</v>
      </c>
      <c r="AM438">
        <f>IF(Games[[#This Row],[Team]]="","",IF(Games[[#This Row],[Type]]="R",IF(Games[[#This Row],[Result]]&gt;0.5,1,0),0))</f>
        <v>1</v>
      </c>
      <c r="AN438">
        <f>IF(Games[[#This Row],[Team]]="","",IF(Games[[#This Row],[Type]]="R",IF(Games[[#This Row],[Result]]&lt;0.5,1,0),0))</f>
        <v>0</v>
      </c>
      <c r="AO438">
        <f>IF(Games[[#This Row],[Team]]="","",IF(Games[[#This Row],[Type]]="R",IF(Games[[#This Row],[Result]]=0.5,1,0),0))</f>
        <v>0</v>
      </c>
    </row>
    <row r="439" spans="1:41" x14ac:dyDescent="0.35">
      <c r="A439" s="8">
        <v>35414</v>
      </c>
      <c r="B439">
        <v>1996</v>
      </c>
      <c r="C439" t="s">
        <v>197</v>
      </c>
      <c r="D439" t="s">
        <v>199</v>
      </c>
      <c r="E439" t="s">
        <v>136</v>
      </c>
      <c r="F439" t="s">
        <v>134</v>
      </c>
      <c r="G439" t="s">
        <v>200</v>
      </c>
      <c r="H439">
        <v>3</v>
      </c>
      <c r="I439">
        <v>17</v>
      </c>
      <c r="J439">
        <v>0</v>
      </c>
      <c r="K43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3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3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3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39">
        <f>IF(Games[[#This Row],[Team]]="","",IF(Games[[#This Row],[Conf]]=Games[[#This Row],[OppConf]],1,0))</f>
        <v>1</v>
      </c>
      <c r="P439">
        <f>IF(Games[[#This Row],[Team]]="","",IF(AND(Games[[#This Row],[Conf]]=Games[[#This Row],[OppConf]],Games[[#This Row],[Div]]=Games[[#This Row],[OppDiv]]),1,0))</f>
        <v>0</v>
      </c>
      <c r="Q439">
        <f>IF(Games[[#This Row],[Team]]="","",_xlfn.MINIFS(Games[Date],Games[Season],Games[[#This Row],[Season]]))</f>
        <v>35309</v>
      </c>
      <c r="R439">
        <f>IF(Games[[#This Row],[Team]]="","",INT((Games[[#This Row],[Date]]-(Games[[#This Row],[SeasonStart]]-MOD(WEEKDAY(Games[[#This Row],[SeasonStart]],2)-2,7)))/7)+1)</f>
        <v>16</v>
      </c>
      <c r="S439">
        <f>IF(Games[[#This Row],[Team]]="","",COUNTIFS(Games[Team],Games[[#This Row],[Team]],Games[Season],Games[[#This Row],[Season]],Games[Week],"&lt;="&amp;Games[[#This Row],[Week]]))</f>
        <v>15</v>
      </c>
      <c r="T439">
        <f>IF(Games[[#This Row],[Team]]="","",_xlfn.MAXIFS(Games[Week],Games[Team],Games[[#This Row],[Team]],Games[Season],Games[[#This Row],[Season]],Games[Week],"&lt;"&amp;Games[[#This Row],[Week]]))</f>
        <v>15</v>
      </c>
      <c r="U439">
        <f>IF(Games[[#This Row],[Team]]="","",_xlfn.MAXIFS(Games[Week],Games[Team],Games[[#This Row],[Opponent]],Games[Season],Games[[#This Row],[Season]],Games[Week],"&lt;"&amp;Games[[#This Row],[Week]]))</f>
        <v>15</v>
      </c>
      <c r="V43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3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3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3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1484.7828657310372</v>
      </c>
      <c r="Z43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1284.1901097215093</v>
      </c>
      <c r="AA43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0.82766525887538456</v>
      </c>
      <c r="AB439">
        <f>IF(Games[[#This Row],[Team]]="","",Games[[#This Row],[PointsFor]]-Games[[#This Row],[PointsAgainst]])</f>
        <v>-14</v>
      </c>
      <c r="AC439">
        <f>IF(Games[[#This Row],[Team]]="","",IF(Games[[#This Row],[MOV]]&gt;0,1,IF(Games[[#This Row],[MOV]]=0,0.5,0)))</f>
        <v>0</v>
      </c>
      <c r="AD439">
        <f>IF(Games[[#This Row],[Team]]="","",--(OR(AND(Games[[#This Row],[ExpectedWin]]&gt;=0.5,Games[[#This Row],[Result]]=1),AND(Games[[#This Row],[ExpectedWin]]&lt;0.5,Games[[#This Row],[Result]]=0))))</f>
        <v>0</v>
      </c>
      <c r="AE439">
        <f>IF(Games[[#This Row],[Team]]="","",-(Games[[#This Row],[Result]]*LN(Games[[#This Row],[ExpectedWin]])+(1-Games[[#This Row],[Result]])*LN(1-Games[[#This Row],[ExpectedWin]])))</f>
        <v>1.7583165241735468</v>
      </c>
      <c r="AF439">
        <f>IF(Games[[#This Row],[Team]]="","",IF(Games[[#This Row],[Season]]&gt;=2021,17,16))</f>
        <v>16</v>
      </c>
      <c r="AG439">
        <f>IF(Games[[#This Row],[Team]]="","",KMax-(KMax-KFloor)*MIN(Games[[#This Row],[GamesPlayed]],Games[[#This Row],[SeasonLen]])/Games[[#This Row],[SeasonLen]])</f>
        <v>36.8125</v>
      </c>
      <c r="AH439">
        <f>IF(Games[[#This Row],[Team]]="","",((ABS(Games[[#This Row],[MOV]])+3)^0.8)/(7.5+0.006*ABS(Games[[#This Row],[PreGmRate]]-Games[[#This Row],[OppPreGmRate]]))*IF(Games[[#This Row],[OT]]=1,0.7,1))</f>
        <v>1.1083128852503275</v>
      </c>
      <c r="AI43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9">
        <f>IF(Games[[#This Row],[Team]]="","",Games[[#This Row],[K]]*IF(Games[[#This Row],[DivG]]=1,DivMult,1)*IF(Games[[#This Row],[ConfG]]=1,ConfMult,1)*Games[[#This Row],[POMult]])</f>
        <v>37.548749999999998</v>
      </c>
      <c r="AK439">
        <f>IF(Games[[#This Row],[Team]]="","",(Games[[#This Row],[Keff]]*Games[[#This Row],[MOVMult]])*(Games[[#This Row],[Result]]-Games[[#This Row],[ExpectedWin]]))</f>
        <v>-34.443921629176799</v>
      </c>
      <c r="AL439">
        <f>IF(Games[[#This Row],[Team]]="","",Games[[#This Row],[PreGmRate]]+Games[[#This Row],[RatingChange]])</f>
        <v>1450.3389441018603</v>
      </c>
      <c r="AM439">
        <f>IF(Games[[#This Row],[Team]]="","",IF(Games[[#This Row],[Type]]="R",IF(Games[[#This Row],[Result]]&gt;0.5,1,0),0))</f>
        <v>0</v>
      </c>
      <c r="AN439">
        <f>IF(Games[[#This Row],[Team]]="","",IF(Games[[#This Row],[Type]]="R",IF(Games[[#This Row],[Result]]&lt;0.5,1,0),0))</f>
        <v>1</v>
      </c>
      <c r="AO439">
        <f>IF(Games[[#This Row],[Team]]="","",IF(Games[[#This Row],[Type]]="R",IF(Games[[#This Row],[Result]]=0.5,1,0),0))</f>
        <v>0</v>
      </c>
    </row>
    <row r="440" spans="1:41" x14ac:dyDescent="0.35">
      <c r="A440" s="8">
        <v>35414</v>
      </c>
      <c r="B440">
        <v>1996</v>
      </c>
      <c r="C440" t="s">
        <v>197</v>
      </c>
      <c r="D440" t="s">
        <v>199</v>
      </c>
      <c r="E440" t="s">
        <v>148</v>
      </c>
      <c r="F440" t="s">
        <v>143</v>
      </c>
      <c r="G440" t="s">
        <v>201</v>
      </c>
      <c r="H440">
        <v>25</v>
      </c>
      <c r="I440">
        <v>15</v>
      </c>
      <c r="J440">
        <v>0</v>
      </c>
      <c r="K44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4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4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4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40">
        <f>IF(Games[[#This Row],[Team]]="","",IF(Games[[#This Row],[Conf]]=Games[[#This Row],[OppConf]],1,0))</f>
        <v>0</v>
      </c>
      <c r="P440">
        <f>IF(Games[[#This Row],[Team]]="","",IF(AND(Games[[#This Row],[Conf]]=Games[[#This Row],[OppConf]],Games[[#This Row],[Div]]=Games[[#This Row],[OppDiv]]),1,0))</f>
        <v>0</v>
      </c>
      <c r="Q440">
        <f>IF(Games[[#This Row],[Team]]="","",_xlfn.MINIFS(Games[Date],Games[Season],Games[[#This Row],[Season]]))</f>
        <v>35309</v>
      </c>
      <c r="R440">
        <f>IF(Games[[#This Row],[Team]]="","",INT((Games[[#This Row],[Date]]-(Games[[#This Row],[SeasonStart]]-MOD(WEEKDAY(Games[[#This Row],[SeasonStart]],2)-2,7)))/7)+1)</f>
        <v>16</v>
      </c>
      <c r="S440">
        <f>IF(Games[[#This Row],[Team]]="","",COUNTIFS(Games[Team],Games[[#This Row],[Team]],Games[Season],Games[[#This Row],[Season]],Games[Week],"&lt;="&amp;Games[[#This Row],[Week]]))</f>
        <v>15</v>
      </c>
      <c r="T440">
        <f>IF(Games[[#This Row],[Team]]="","",_xlfn.MAXIFS(Games[Week],Games[Team],Games[[#This Row],[Team]],Games[Season],Games[[#This Row],[Season]],Games[Week],"&lt;"&amp;Games[[#This Row],[Week]]))</f>
        <v>15</v>
      </c>
      <c r="U440">
        <f>IF(Games[[#This Row],[Team]]="","",_xlfn.MAXIFS(Games[Week],Games[Team],Games[[#This Row],[Opponent]],Games[Season],Games[[#This Row],[Season]],Games[Week],"&lt;"&amp;Games[[#This Row],[Week]]))</f>
        <v>15</v>
      </c>
      <c r="V44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4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4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4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1616.7649293085042</v>
      </c>
      <c r="Z44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1588.5419621262167</v>
      </c>
      <c r="AA44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0.43733108120121422</v>
      </c>
      <c r="AB440">
        <f>IF(Games[[#This Row],[Team]]="","",Games[[#This Row],[PointsFor]]-Games[[#This Row],[PointsAgainst]])</f>
        <v>10</v>
      </c>
      <c r="AC440">
        <f>IF(Games[[#This Row],[Team]]="","",IF(Games[[#This Row],[MOV]]&gt;0,1,IF(Games[[#This Row],[MOV]]=0,0.5,0)))</f>
        <v>1</v>
      </c>
      <c r="AD440">
        <f>IF(Games[[#This Row],[Team]]="","",--(OR(AND(Games[[#This Row],[ExpectedWin]]&gt;=0.5,Games[[#This Row],[Result]]=1),AND(Games[[#This Row],[ExpectedWin]]&lt;0.5,Games[[#This Row],[Result]]=0))))</f>
        <v>0</v>
      </c>
      <c r="AE440">
        <f>IF(Games[[#This Row],[Team]]="","",-(Games[[#This Row],[Result]]*LN(Games[[#This Row],[ExpectedWin]])+(1-Games[[#This Row],[Result]])*LN(1-Games[[#This Row],[ExpectedWin]])))</f>
        <v>0.82706474785181761</v>
      </c>
      <c r="AF440">
        <f>IF(Games[[#This Row],[Team]]="","",IF(Games[[#This Row],[Season]]&gt;=2021,17,16))</f>
        <v>16</v>
      </c>
      <c r="AG440">
        <f>IF(Games[[#This Row],[Team]]="","",KMax-(KMax-KFloor)*MIN(Games[[#This Row],[GamesPlayed]],Games[[#This Row],[SeasonLen]])/Games[[#This Row],[SeasonLen]])</f>
        <v>36.8125</v>
      </c>
      <c r="AH440">
        <f>IF(Games[[#This Row],[Team]]="","",((ABS(Games[[#This Row],[MOV]])+3)^0.8)/(7.5+0.006*ABS(Games[[#This Row],[PreGmRate]]-Games[[#This Row],[OppPreGmRate]]))*IF(Games[[#This Row],[OT]]=1,0.7,1))</f>
        <v>1.0148382196569619</v>
      </c>
      <c r="AI44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0">
        <f>IF(Games[[#This Row],[Team]]="","",Games[[#This Row],[K]]*IF(Games[[#This Row],[DivG]]=1,DivMult,1)*IF(Games[[#This Row],[ConfG]]=1,ConfMult,1)*Games[[#This Row],[POMult]])</f>
        <v>36.8125</v>
      </c>
      <c r="AK440">
        <f>IF(Games[[#This Row],[Team]]="","",(Games[[#This Row],[Keff]]*Games[[#This Row],[MOVMult]])*(Games[[#This Row],[Result]]-Games[[#This Row],[ExpectedWin]]))</f>
        <v>21.020597320258108</v>
      </c>
      <c r="AL440">
        <f>IF(Games[[#This Row],[Team]]="","",Games[[#This Row],[PreGmRate]]+Games[[#This Row],[RatingChange]])</f>
        <v>1637.7855266287622</v>
      </c>
      <c r="AM440">
        <f>IF(Games[[#This Row],[Team]]="","",IF(Games[[#This Row],[Type]]="R",IF(Games[[#This Row],[Result]]&gt;0.5,1,0),0))</f>
        <v>1</v>
      </c>
      <c r="AN440">
        <f>IF(Games[[#This Row],[Team]]="","",IF(Games[[#This Row],[Type]]="R",IF(Games[[#This Row],[Result]]&lt;0.5,1,0),0))</f>
        <v>0</v>
      </c>
      <c r="AO440">
        <f>IF(Games[[#This Row],[Team]]="","",IF(Games[[#This Row],[Type]]="R",IF(Games[[#This Row],[Result]]=0.5,1,0),0))</f>
        <v>0</v>
      </c>
    </row>
    <row r="441" spans="1:41" x14ac:dyDescent="0.35">
      <c r="A441" s="8">
        <v>35414</v>
      </c>
      <c r="B441">
        <v>1996</v>
      </c>
      <c r="C441" t="s">
        <v>197</v>
      </c>
      <c r="D441" t="s">
        <v>199</v>
      </c>
      <c r="E441" t="s">
        <v>143</v>
      </c>
      <c r="F441" t="s">
        <v>148</v>
      </c>
      <c r="G441" t="s">
        <v>200</v>
      </c>
      <c r="H441">
        <v>15</v>
      </c>
      <c r="I441">
        <v>25</v>
      </c>
      <c r="J441">
        <v>0</v>
      </c>
      <c r="K44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4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4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4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41">
        <f>IF(Games[[#This Row],[Team]]="","",IF(Games[[#This Row],[Conf]]=Games[[#This Row],[OppConf]],1,0))</f>
        <v>0</v>
      </c>
      <c r="P441">
        <f>IF(Games[[#This Row],[Team]]="","",IF(AND(Games[[#This Row],[Conf]]=Games[[#This Row],[OppConf]],Games[[#This Row],[Div]]=Games[[#This Row],[OppDiv]]),1,0))</f>
        <v>0</v>
      </c>
      <c r="Q441">
        <f>IF(Games[[#This Row],[Team]]="","",_xlfn.MINIFS(Games[Date],Games[Season],Games[[#This Row],[Season]]))</f>
        <v>35309</v>
      </c>
      <c r="R441">
        <f>IF(Games[[#This Row],[Team]]="","",INT((Games[[#This Row],[Date]]-(Games[[#This Row],[SeasonStart]]-MOD(WEEKDAY(Games[[#This Row],[SeasonStart]],2)-2,7)))/7)+1)</f>
        <v>16</v>
      </c>
      <c r="S441">
        <f>IF(Games[[#This Row],[Team]]="","",COUNTIFS(Games[Team],Games[[#This Row],[Team]],Games[Season],Games[[#This Row],[Season]],Games[Week],"&lt;="&amp;Games[[#This Row],[Week]]))</f>
        <v>15</v>
      </c>
      <c r="T441">
        <f>IF(Games[[#This Row],[Team]]="","",_xlfn.MAXIFS(Games[Week],Games[Team],Games[[#This Row],[Team]],Games[Season],Games[[#This Row],[Season]],Games[Week],"&lt;"&amp;Games[[#This Row],[Week]]))</f>
        <v>15</v>
      </c>
      <c r="U441">
        <f>IF(Games[[#This Row],[Team]]="","",_xlfn.MAXIFS(Games[Week],Games[Team],Games[[#This Row],[Opponent]],Games[Season],Games[[#This Row],[Season]],Games[Week],"&lt;"&amp;Games[[#This Row],[Week]]))</f>
        <v>15</v>
      </c>
      <c r="V44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4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4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4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1588.5419621262167</v>
      </c>
      <c r="Z44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1616.7649293085042</v>
      </c>
      <c r="AA44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0.56266891879878578</v>
      </c>
      <c r="AB441">
        <f>IF(Games[[#This Row],[Team]]="","",Games[[#This Row],[PointsFor]]-Games[[#This Row],[PointsAgainst]])</f>
        <v>-10</v>
      </c>
      <c r="AC441">
        <f>IF(Games[[#This Row],[Team]]="","",IF(Games[[#This Row],[MOV]]&gt;0,1,IF(Games[[#This Row],[MOV]]=0,0.5,0)))</f>
        <v>0</v>
      </c>
      <c r="AD441">
        <f>IF(Games[[#This Row],[Team]]="","",--(OR(AND(Games[[#This Row],[ExpectedWin]]&gt;=0.5,Games[[#This Row],[Result]]=1),AND(Games[[#This Row],[ExpectedWin]]&lt;0.5,Games[[#This Row],[Result]]=0))))</f>
        <v>0</v>
      </c>
      <c r="AE441">
        <f>IF(Games[[#This Row],[Team]]="","",-(Games[[#This Row],[Result]]*LN(Games[[#This Row],[ExpectedWin]])+(1-Games[[#This Row],[Result]])*LN(1-Games[[#This Row],[ExpectedWin]])))</f>
        <v>0.82706474785181761</v>
      </c>
      <c r="AF441">
        <f>IF(Games[[#This Row],[Team]]="","",IF(Games[[#This Row],[Season]]&gt;=2021,17,16))</f>
        <v>16</v>
      </c>
      <c r="AG441">
        <f>IF(Games[[#This Row],[Team]]="","",KMax-(KMax-KFloor)*MIN(Games[[#This Row],[GamesPlayed]],Games[[#This Row],[SeasonLen]])/Games[[#This Row],[SeasonLen]])</f>
        <v>36.8125</v>
      </c>
      <c r="AH441">
        <f>IF(Games[[#This Row],[Team]]="","",((ABS(Games[[#This Row],[MOV]])+3)^0.8)/(7.5+0.006*ABS(Games[[#This Row],[PreGmRate]]-Games[[#This Row],[OppPreGmRate]]))*IF(Games[[#This Row],[OT]]=1,0.7,1))</f>
        <v>1.0148382196569619</v>
      </c>
      <c r="AI44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1">
        <f>IF(Games[[#This Row],[Team]]="","",Games[[#This Row],[K]]*IF(Games[[#This Row],[DivG]]=1,DivMult,1)*IF(Games[[#This Row],[ConfG]]=1,ConfMult,1)*Games[[#This Row],[POMult]])</f>
        <v>36.8125</v>
      </c>
      <c r="AK441">
        <f>IF(Games[[#This Row],[Team]]="","",(Games[[#This Row],[Keff]]*Games[[#This Row],[MOVMult]])*(Games[[#This Row],[Result]]-Games[[#This Row],[ExpectedWin]]))</f>
        <v>-21.020597320258108</v>
      </c>
      <c r="AL441">
        <f>IF(Games[[#This Row],[Team]]="","",Games[[#This Row],[PreGmRate]]+Games[[#This Row],[RatingChange]])</f>
        <v>1567.5213648059587</v>
      </c>
      <c r="AM441">
        <f>IF(Games[[#This Row],[Team]]="","",IF(Games[[#This Row],[Type]]="R",IF(Games[[#This Row],[Result]]&gt;0.5,1,0),0))</f>
        <v>0</v>
      </c>
      <c r="AN441">
        <f>IF(Games[[#This Row],[Team]]="","",IF(Games[[#This Row],[Type]]="R",IF(Games[[#This Row],[Result]]&lt;0.5,1,0),0))</f>
        <v>1</v>
      </c>
      <c r="AO441">
        <f>IF(Games[[#This Row],[Team]]="","",IF(Games[[#This Row],[Type]]="R",IF(Games[[#This Row],[Result]]=0.5,1,0),0))</f>
        <v>0</v>
      </c>
    </row>
    <row r="442" spans="1:41" x14ac:dyDescent="0.35">
      <c r="A442" s="8">
        <v>35414</v>
      </c>
      <c r="B442">
        <v>1996</v>
      </c>
      <c r="C442" t="s">
        <v>197</v>
      </c>
      <c r="D442" t="s">
        <v>199</v>
      </c>
      <c r="E442" t="s">
        <v>122</v>
      </c>
      <c r="F442" t="s">
        <v>126</v>
      </c>
      <c r="G442" t="s">
        <v>201</v>
      </c>
      <c r="H442">
        <v>24</v>
      </c>
      <c r="I442">
        <v>19</v>
      </c>
      <c r="J442">
        <v>0</v>
      </c>
      <c r="K44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4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4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4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42">
        <f>IF(Games[[#This Row],[Team]]="","",IF(Games[[#This Row],[Conf]]=Games[[#This Row],[OppConf]],1,0))</f>
        <v>1</v>
      </c>
      <c r="P442">
        <f>IF(Games[[#This Row],[Team]]="","",IF(AND(Games[[#This Row],[Conf]]=Games[[#This Row],[OppConf]],Games[[#This Row],[Div]]=Games[[#This Row],[OppDiv]]),1,0))</f>
        <v>0</v>
      </c>
      <c r="Q442">
        <f>IF(Games[[#This Row],[Team]]="","",_xlfn.MINIFS(Games[Date],Games[Season],Games[[#This Row],[Season]]))</f>
        <v>35309</v>
      </c>
      <c r="R442">
        <f>IF(Games[[#This Row],[Team]]="","",INT((Games[[#This Row],[Date]]-(Games[[#This Row],[SeasonStart]]-MOD(WEEKDAY(Games[[#This Row],[SeasonStart]],2)-2,7)))/7)+1)</f>
        <v>16</v>
      </c>
      <c r="S442">
        <f>IF(Games[[#This Row],[Team]]="","",COUNTIFS(Games[Team],Games[[#This Row],[Team]],Games[Season],Games[[#This Row],[Season]],Games[Week],"&lt;="&amp;Games[[#This Row],[Week]]))</f>
        <v>15</v>
      </c>
      <c r="T442">
        <f>IF(Games[[#This Row],[Team]]="","",_xlfn.MAXIFS(Games[Week],Games[Team],Games[[#This Row],[Team]],Games[Season],Games[[#This Row],[Season]],Games[Week],"&lt;"&amp;Games[[#This Row],[Week]]))</f>
        <v>15</v>
      </c>
      <c r="U442">
        <f>IF(Games[[#This Row],[Team]]="","",_xlfn.MAXIFS(Games[Week],Games[Team],Games[[#This Row],[Opponent]],Games[Season],Games[[#This Row],[Season]],Games[Week],"&lt;"&amp;Games[[#This Row],[Week]]))</f>
        <v>15</v>
      </c>
      <c r="V44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10</v>
      </c>
      <c r="W44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4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4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1494.7545844877841</v>
      </c>
      <c r="Z44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1525.8347177019455</v>
      </c>
      <c r="AA44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0.36381632760846683</v>
      </c>
      <c r="AB442">
        <f>IF(Games[[#This Row],[Team]]="","",Games[[#This Row],[PointsFor]]-Games[[#This Row],[PointsAgainst]])</f>
        <v>5</v>
      </c>
      <c r="AC442">
        <f>IF(Games[[#This Row],[Team]]="","",IF(Games[[#This Row],[MOV]]&gt;0,1,IF(Games[[#This Row],[MOV]]=0,0.5,0)))</f>
        <v>1</v>
      </c>
      <c r="AD442">
        <f>IF(Games[[#This Row],[Team]]="","",--(OR(AND(Games[[#This Row],[ExpectedWin]]&gt;=0.5,Games[[#This Row],[Result]]=1),AND(Games[[#This Row],[ExpectedWin]]&lt;0.5,Games[[#This Row],[Result]]=0))))</f>
        <v>0</v>
      </c>
      <c r="AE442">
        <f>IF(Games[[#This Row],[Team]]="","",-(Games[[#This Row],[Result]]*LN(Games[[#This Row],[ExpectedWin]])+(1-Games[[#This Row],[Result]])*LN(1-Games[[#This Row],[ExpectedWin]])))</f>
        <v>1.0111061331782683</v>
      </c>
      <c r="AF442">
        <f>IF(Games[[#This Row],[Team]]="","",IF(Games[[#This Row],[Season]]&gt;=2021,17,16))</f>
        <v>16</v>
      </c>
      <c r="AG442">
        <f>IF(Games[[#This Row],[Team]]="","",KMax-(KMax-KFloor)*MIN(Games[[#This Row],[GamesPlayed]],Games[[#This Row],[SeasonLen]])/Games[[#This Row],[SeasonLen]])</f>
        <v>36.8125</v>
      </c>
      <c r="AH442">
        <f>IF(Games[[#This Row],[Team]]="","",((ABS(Games[[#This Row],[MOV]])+3)^0.8)/(7.5+0.006*ABS(Games[[#This Row],[PreGmRate]]-Games[[#This Row],[OppPreGmRate]]))*IF(Games[[#This Row],[OT]]=1,0.7,1))</f>
        <v>0.6866642590953409</v>
      </c>
      <c r="AI44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2">
        <f>IF(Games[[#This Row],[Team]]="","",Games[[#This Row],[K]]*IF(Games[[#This Row],[DivG]]=1,DivMult,1)*IF(Games[[#This Row],[ConfG]]=1,ConfMult,1)*Games[[#This Row],[POMult]])</f>
        <v>37.548749999999998</v>
      </c>
      <c r="AK442">
        <f>IF(Games[[#This Row],[Team]]="","",(Games[[#This Row],[Keff]]*Games[[#This Row],[MOVMult]])*(Games[[#This Row],[Result]]-Games[[#This Row],[ExpectedWin]]))</f>
        <v>16.402968300688194</v>
      </c>
      <c r="AL442">
        <f>IF(Games[[#This Row],[Team]]="","",Games[[#This Row],[PreGmRate]]+Games[[#This Row],[RatingChange]])</f>
        <v>1511.1575527884722</v>
      </c>
      <c r="AM442">
        <f>IF(Games[[#This Row],[Team]]="","",IF(Games[[#This Row],[Type]]="R",IF(Games[[#This Row],[Result]]&gt;0.5,1,0),0))</f>
        <v>1</v>
      </c>
      <c r="AN442">
        <f>IF(Games[[#This Row],[Team]]="","",IF(Games[[#This Row],[Type]]="R",IF(Games[[#This Row],[Result]]&lt;0.5,1,0),0))</f>
        <v>0</v>
      </c>
      <c r="AO442">
        <f>IF(Games[[#This Row],[Team]]="","",IF(Games[[#This Row],[Type]]="R",IF(Games[[#This Row],[Result]]=0.5,1,0),0))</f>
        <v>0</v>
      </c>
    </row>
    <row r="443" spans="1:41" x14ac:dyDescent="0.35">
      <c r="A443" s="8">
        <v>35414</v>
      </c>
      <c r="B443">
        <v>1996</v>
      </c>
      <c r="C443" t="s">
        <v>197</v>
      </c>
      <c r="D443" t="s">
        <v>199</v>
      </c>
      <c r="E443" t="s">
        <v>126</v>
      </c>
      <c r="F443" t="s">
        <v>122</v>
      </c>
      <c r="G443" t="s">
        <v>200</v>
      </c>
      <c r="H443">
        <v>19</v>
      </c>
      <c r="I443">
        <v>24</v>
      </c>
      <c r="J443">
        <v>0</v>
      </c>
      <c r="K44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4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4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4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43">
        <f>IF(Games[[#This Row],[Team]]="","",IF(Games[[#This Row],[Conf]]=Games[[#This Row],[OppConf]],1,0))</f>
        <v>1</v>
      </c>
      <c r="P443">
        <f>IF(Games[[#This Row],[Team]]="","",IF(AND(Games[[#This Row],[Conf]]=Games[[#This Row],[OppConf]],Games[[#This Row],[Div]]=Games[[#This Row],[OppDiv]]),1,0))</f>
        <v>0</v>
      </c>
      <c r="Q443">
        <f>IF(Games[[#This Row],[Team]]="","",_xlfn.MINIFS(Games[Date],Games[Season],Games[[#This Row],[Season]]))</f>
        <v>35309</v>
      </c>
      <c r="R443">
        <f>IF(Games[[#This Row],[Team]]="","",INT((Games[[#This Row],[Date]]-(Games[[#This Row],[SeasonStart]]-MOD(WEEKDAY(Games[[#This Row],[SeasonStart]],2)-2,7)))/7)+1)</f>
        <v>16</v>
      </c>
      <c r="S443">
        <f>IF(Games[[#This Row],[Team]]="","",COUNTIFS(Games[Team],Games[[#This Row],[Team]],Games[Season],Games[[#This Row],[Season]],Games[Week],"&lt;="&amp;Games[[#This Row],[Week]]))</f>
        <v>15</v>
      </c>
      <c r="T443">
        <f>IF(Games[[#This Row],[Team]]="","",_xlfn.MAXIFS(Games[Week],Games[Team],Games[[#This Row],[Team]],Games[Season],Games[[#This Row],[Season]],Games[Week],"&lt;"&amp;Games[[#This Row],[Week]]))</f>
        <v>15</v>
      </c>
      <c r="U443">
        <f>IF(Games[[#This Row],[Team]]="","",_xlfn.MAXIFS(Games[Week],Games[Team],Games[[#This Row],[Opponent]],Games[Season],Games[[#This Row],[Season]],Games[Week],"&lt;"&amp;Games[[#This Row],[Week]]))</f>
        <v>15</v>
      </c>
      <c r="V44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4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10</v>
      </c>
      <c r="X44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4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1525.8347177019455</v>
      </c>
      <c r="Z44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1494.7545844877841</v>
      </c>
      <c r="AA44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0.63618367239153328</v>
      </c>
      <c r="AB443">
        <f>IF(Games[[#This Row],[Team]]="","",Games[[#This Row],[PointsFor]]-Games[[#This Row],[PointsAgainst]])</f>
        <v>-5</v>
      </c>
      <c r="AC443">
        <f>IF(Games[[#This Row],[Team]]="","",IF(Games[[#This Row],[MOV]]&gt;0,1,IF(Games[[#This Row],[MOV]]=0,0.5,0)))</f>
        <v>0</v>
      </c>
      <c r="AD443">
        <f>IF(Games[[#This Row],[Team]]="","",--(OR(AND(Games[[#This Row],[ExpectedWin]]&gt;=0.5,Games[[#This Row],[Result]]=1),AND(Games[[#This Row],[ExpectedWin]]&lt;0.5,Games[[#This Row],[Result]]=0))))</f>
        <v>0</v>
      </c>
      <c r="AE443">
        <f>IF(Games[[#This Row],[Team]]="","",-(Games[[#This Row],[Result]]*LN(Games[[#This Row],[ExpectedWin]])+(1-Games[[#This Row],[Result]])*LN(1-Games[[#This Row],[ExpectedWin]])))</f>
        <v>1.0111061331782685</v>
      </c>
      <c r="AF443">
        <f>IF(Games[[#This Row],[Team]]="","",IF(Games[[#This Row],[Season]]&gt;=2021,17,16))</f>
        <v>16</v>
      </c>
      <c r="AG443">
        <f>IF(Games[[#This Row],[Team]]="","",KMax-(KMax-KFloor)*MIN(Games[[#This Row],[GamesPlayed]],Games[[#This Row],[SeasonLen]])/Games[[#This Row],[SeasonLen]])</f>
        <v>36.8125</v>
      </c>
      <c r="AH443">
        <f>IF(Games[[#This Row],[Team]]="","",((ABS(Games[[#This Row],[MOV]])+3)^0.8)/(7.5+0.006*ABS(Games[[#This Row],[PreGmRate]]-Games[[#This Row],[OppPreGmRate]]))*IF(Games[[#This Row],[OT]]=1,0.7,1))</f>
        <v>0.6866642590953409</v>
      </c>
      <c r="AI44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3">
        <f>IF(Games[[#This Row],[Team]]="","",Games[[#This Row],[K]]*IF(Games[[#This Row],[DivG]]=1,DivMult,1)*IF(Games[[#This Row],[ConfG]]=1,ConfMult,1)*Games[[#This Row],[POMult]])</f>
        <v>37.548749999999998</v>
      </c>
      <c r="AK443">
        <f>IF(Games[[#This Row],[Team]]="","",(Games[[#This Row],[Keff]]*Games[[#This Row],[MOVMult]])*(Games[[#This Row],[Result]]-Games[[#This Row],[ExpectedWin]]))</f>
        <v>-16.402968300688197</v>
      </c>
      <c r="AL443">
        <f>IF(Games[[#This Row],[Team]]="","",Games[[#This Row],[PreGmRate]]+Games[[#This Row],[RatingChange]])</f>
        <v>1509.4317494012573</v>
      </c>
      <c r="AM443">
        <f>IF(Games[[#This Row],[Team]]="","",IF(Games[[#This Row],[Type]]="R",IF(Games[[#This Row],[Result]]&gt;0.5,1,0),0))</f>
        <v>0</v>
      </c>
      <c r="AN443">
        <f>IF(Games[[#This Row],[Team]]="","",IF(Games[[#This Row],[Type]]="R",IF(Games[[#This Row],[Result]]&lt;0.5,1,0),0))</f>
        <v>1</v>
      </c>
      <c r="AO443">
        <f>IF(Games[[#This Row],[Team]]="","",IF(Games[[#This Row],[Type]]="R",IF(Games[[#This Row],[Result]]=0.5,1,0),0))</f>
        <v>0</v>
      </c>
    </row>
    <row r="444" spans="1:41" x14ac:dyDescent="0.35">
      <c r="A444" s="8">
        <v>35414</v>
      </c>
      <c r="B444">
        <v>1996</v>
      </c>
      <c r="C444" t="s">
        <v>197</v>
      </c>
      <c r="D444" t="s">
        <v>199</v>
      </c>
      <c r="E444" t="s">
        <v>93</v>
      </c>
      <c r="F444" t="s">
        <v>154</v>
      </c>
      <c r="G444" t="s">
        <v>200</v>
      </c>
      <c r="H444">
        <v>27</v>
      </c>
      <c r="I444">
        <v>26</v>
      </c>
      <c r="J444">
        <v>0</v>
      </c>
      <c r="K44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4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4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4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44">
        <f>IF(Games[[#This Row],[Team]]="","",IF(Games[[#This Row],[Conf]]=Games[[#This Row],[OppConf]],1,0))</f>
        <v>1</v>
      </c>
      <c r="P444">
        <f>IF(Games[[#This Row],[Team]]="","",IF(AND(Games[[#This Row],[Conf]]=Games[[#This Row],[OppConf]],Games[[#This Row],[Div]]=Games[[#This Row],[OppDiv]]),1,0))</f>
        <v>1</v>
      </c>
      <c r="Q444">
        <f>IF(Games[[#This Row],[Team]]="","",_xlfn.MINIFS(Games[Date],Games[Season],Games[[#This Row],[Season]]))</f>
        <v>35309</v>
      </c>
      <c r="R444">
        <f>IF(Games[[#This Row],[Team]]="","",INT((Games[[#This Row],[Date]]-(Games[[#This Row],[SeasonStart]]-MOD(WEEKDAY(Games[[#This Row],[SeasonStart]],2)-2,7)))/7)+1)</f>
        <v>16</v>
      </c>
      <c r="S444">
        <f>IF(Games[[#This Row],[Team]]="","",COUNTIFS(Games[Team],Games[[#This Row],[Team]],Games[Season],Games[[#This Row],[Season]],Games[Week],"&lt;="&amp;Games[[#This Row],[Week]]))</f>
        <v>15</v>
      </c>
      <c r="T444">
        <f>IF(Games[[#This Row],[Team]]="","",_xlfn.MAXIFS(Games[Week],Games[Team],Games[[#This Row],[Team]],Games[Season],Games[[#This Row],[Season]],Games[Week],"&lt;"&amp;Games[[#This Row],[Week]]))</f>
        <v>15</v>
      </c>
      <c r="U444">
        <f>IF(Games[[#This Row],[Team]]="","",_xlfn.MAXIFS(Games[Week],Games[Team],Games[[#This Row],[Opponent]],Games[Season],Games[[#This Row],[Season]],Games[Week],"&lt;"&amp;Games[[#This Row],[Week]]))</f>
        <v>15</v>
      </c>
      <c r="V44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4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4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4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1408.2513393587103</v>
      </c>
      <c r="Z44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1522.0773186097226</v>
      </c>
      <c r="AA44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0.44009668125937962</v>
      </c>
      <c r="AB444">
        <f>IF(Games[[#This Row],[Team]]="","",Games[[#This Row],[PointsFor]]-Games[[#This Row],[PointsAgainst]])</f>
        <v>1</v>
      </c>
      <c r="AC444">
        <f>IF(Games[[#This Row],[Team]]="","",IF(Games[[#This Row],[MOV]]&gt;0,1,IF(Games[[#This Row],[MOV]]=0,0.5,0)))</f>
        <v>1</v>
      </c>
      <c r="AD444">
        <f>IF(Games[[#This Row],[Team]]="","",--(OR(AND(Games[[#This Row],[ExpectedWin]]&gt;=0.5,Games[[#This Row],[Result]]=1),AND(Games[[#This Row],[ExpectedWin]]&lt;0.5,Games[[#This Row],[Result]]=0))))</f>
        <v>0</v>
      </c>
      <c r="AE444">
        <f>IF(Games[[#This Row],[Team]]="","",-(Games[[#This Row],[Result]]*LN(Games[[#This Row],[ExpectedWin]])+(1-Games[[#This Row],[Result]])*LN(1-Games[[#This Row],[ExpectedWin]])))</f>
        <v>0.82076084607200694</v>
      </c>
      <c r="AF444">
        <f>IF(Games[[#This Row],[Team]]="","",IF(Games[[#This Row],[Season]]&gt;=2021,17,16))</f>
        <v>16</v>
      </c>
      <c r="AG444">
        <f>IF(Games[[#This Row],[Team]]="","",KMax-(KMax-KFloor)*MIN(Games[[#This Row],[GamesPlayed]],Games[[#This Row],[SeasonLen]])/Games[[#This Row],[SeasonLen]])</f>
        <v>36.8125</v>
      </c>
      <c r="AH444">
        <f>IF(Games[[#This Row],[Team]]="","",((ABS(Games[[#This Row],[MOV]])+3)^0.8)/(7.5+0.006*ABS(Games[[#This Row],[PreGmRate]]-Games[[#This Row],[OppPreGmRate]]))*IF(Games[[#This Row],[OT]]=1,0.7,1))</f>
        <v>0.37045698145516603</v>
      </c>
      <c r="AI44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4">
        <f>IF(Games[[#This Row],[Team]]="","",Games[[#This Row],[K]]*IF(Games[[#This Row],[DivG]]=1,DivMult,1)*IF(Games[[#This Row],[ConfG]]=1,ConfMult,1)*Games[[#This Row],[POMult]])</f>
        <v>41.303625000000004</v>
      </c>
      <c r="AK444">
        <f>IF(Games[[#This Row],[Team]]="","",(Games[[#This Row],[Keff]]*Games[[#This Row],[MOVMult]])*(Games[[#This Row],[Result]]-Games[[#This Row],[ExpectedWin]]))</f>
        <v>8.5672017539112488</v>
      </c>
      <c r="AL444">
        <f>IF(Games[[#This Row],[Team]]="","",Games[[#This Row],[PreGmRate]]+Games[[#This Row],[RatingChange]])</f>
        <v>1416.8185411126215</v>
      </c>
      <c r="AM444">
        <f>IF(Games[[#This Row],[Team]]="","",IF(Games[[#This Row],[Type]]="R",IF(Games[[#This Row],[Result]]&gt;0.5,1,0),0))</f>
        <v>1</v>
      </c>
      <c r="AN444">
        <f>IF(Games[[#This Row],[Team]]="","",IF(Games[[#This Row],[Type]]="R",IF(Games[[#This Row],[Result]]&lt;0.5,1,0),0))</f>
        <v>0</v>
      </c>
      <c r="AO444">
        <f>IF(Games[[#This Row],[Team]]="","",IF(Games[[#This Row],[Type]]="R",IF(Games[[#This Row],[Result]]=0.5,1,0),0))</f>
        <v>0</v>
      </c>
    </row>
    <row r="445" spans="1:41" x14ac:dyDescent="0.35">
      <c r="A445" s="8">
        <v>35414</v>
      </c>
      <c r="B445">
        <v>1996</v>
      </c>
      <c r="C445" t="s">
        <v>197</v>
      </c>
      <c r="D445" t="s">
        <v>199</v>
      </c>
      <c r="E445" t="s">
        <v>154</v>
      </c>
      <c r="F445" t="s">
        <v>93</v>
      </c>
      <c r="G445" t="s">
        <v>201</v>
      </c>
      <c r="H445">
        <v>26</v>
      </c>
      <c r="I445">
        <v>27</v>
      </c>
      <c r="J445">
        <v>0</v>
      </c>
      <c r="K44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4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4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4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45">
        <f>IF(Games[[#This Row],[Team]]="","",IF(Games[[#This Row],[Conf]]=Games[[#This Row],[OppConf]],1,0))</f>
        <v>1</v>
      </c>
      <c r="P445">
        <f>IF(Games[[#This Row],[Team]]="","",IF(AND(Games[[#This Row],[Conf]]=Games[[#This Row],[OppConf]],Games[[#This Row],[Div]]=Games[[#This Row],[OppDiv]]),1,0))</f>
        <v>1</v>
      </c>
      <c r="Q445">
        <f>IF(Games[[#This Row],[Team]]="","",_xlfn.MINIFS(Games[Date],Games[Season],Games[[#This Row],[Season]]))</f>
        <v>35309</v>
      </c>
      <c r="R445">
        <f>IF(Games[[#This Row],[Team]]="","",INT((Games[[#This Row],[Date]]-(Games[[#This Row],[SeasonStart]]-MOD(WEEKDAY(Games[[#This Row],[SeasonStart]],2)-2,7)))/7)+1)</f>
        <v>16</v>
      </c>
      <c r="S445">
        <f>IF(Games[[#This Row],[Team]]="","",COUNTIFS(Games[Team],Games[[#This Row],[Team]],Games[Season],Games[[#This Row],[Season]],Games[Week],"&lt;="&amp;Games[[#This Row],[Week]]))</f>
        <v>15</v>
      </c>
      <c r="T445">
        <f>IF(Games[[#This Row],[Team]]="","",_xlfn.MAXIFS(Games[Week],Games[Team],Games[[#This Row],[Team]],Games[Season],Games[[#This Row],[Season]],Games[Week],"&lt;"&amp;Games[[#This Row],[Week]]))</f>
        <v>15</v>
      </c>
      <c r="U445">
        <f>IF(Games[[#This Row],[Team]]="","",_xlfn.MAXIFS(Games[Week],Games[Team],Games[[#This Row],[Opponent]],Games[Season],Games[[#This Row],[Season]],Games[Week],"&lt;"&amp;Games[[#This Row],[Week]]))</f>
        <v>15</v>
      </c>
      <c r="V44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4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4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4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1522.0773186097226</v>
      </c>
      <c r="Z44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1408.2513393587103</v>
      </c>
      <c r="AA44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0.55990331874062038</v>
      </c>
      <c r="AB445">
        <f>IF(Games[[#This Row],[Team]]="","",Games[[#This Row],[PointsFor]]-Games[[#This Row],[PointsAgainst]])</f>
        <v>-1</v>
      </c>
      <c r="AC445">
        <f>IF(Games[[#This Row],[Team]]="","",IF(Games[[#This Row],[MOV]]&gt;0,1,IF(Games[[#This Row],[MOV]]=0,0.5,0)))</f>
        <v>0</v>
      </c>
      <c r="AD445">
        <f>IF(Games[[#This Row],[Team]]="","",--(OR(AND(Games[[#This Row],[ExpectedWin]]&gt;=0.5,Games[[#This Row],[Result]]=1),AND(Games[[#This Row],[ExpectedWin]]&lt;0.5,Games[[#This Row],[Result]]=0))))</f>
        <v>0</v>
      </c>
      <c r="AE445">
        <f>IF(Games[[#This Row],[Team]]="","",-(Games[[#This Row],[Result]]*LN(Games[[#This Row],[ExpectedWin]])+(1-Games[[#This Row],[Result]])*LN(1-Games[[#This Row],[ExpectedWin]])))</f>
        <v>0.82076084607200694</v>
      </c>
      <c r="AF445">
        <f>IF(Games[[#This Row],[Team]]="","",IF(Games[[#This Row],[Season]]&gt;=2021,17,16))</f>
        <v>16</v>
      </c>
      <c r="AG445">
        <f>IF(Games[[#This Row],[Team]]="","",KMax-(KMax-KFloor)*MIN(Games[[#This Row],[GamesPlayed]],Games[[#This Row],[SeasonLen]])/Games[[#This Row],[SeasonLen]])</f>
        <v>36.8125</v>
      </c>
      <c r="AH445">
        <f>IF(Games[[#This Row],[Team]]="","",((ABS(Games[[#This Row],[MOV]])+3)^0.8)/(7.5+0.006*ABS(Games[[#This Row],[PreGmRate]]-Games[[#This Row],[OppPreGmRate]]))*IF(Games[[#This Row],[OT]]=1,0.7,1))</f>
        <v>0.37045698145516603</v>
      </c>
      <c r="AI44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5">
        <f>IF(Games[[#This Row],[Team]]="","",Games[[#This Row],[K]]*IF(Games[[#This Row],[DivG]]=1,DivMult,1)*IF(Games[[#This Row],[ConfG]]=1,ConfMult,1)*Games[[#This Row],[POMult]])</f>
        <v>41.303625000000004</v>
      </c>
      <c r="AK445">
        <f>IF(Games[[#This Row],[Team]]="","",(Games[[#This Row],[Keff]]*Games[[#This Row],[MOVMult]])*(Games[[#This Row],[Result]]-Games[[#This Row],[ExpectedWin]]))</f>
        <v>-8.5672017539112488</v>
      </c>
      <c r="AL445">
        <f>IF(Games[[#This Row],[Team]]="","",Games[[#This Row],[PreGmRate]]+Games[[#This Row],[RatingChange]])</f>
        <v>1513.5101168558115</v>
      </c>
      <c r="AM445">
        <f>IF(Games[[#This Row],[Team]]="","",IF(Games[[#This Row],[Type]]="R",IF(Games[[#This Row],[Result]]&gt;0.5,1,0),0))</f>
        <v>0</v>
      </c>
      <c r="AN445">
        <f>IF(Games[[#This Row],[Team]]="","",IF(Games[[#This Row],[Type]]="R",IF(Games[[#This Row],[Result]]&lt;0.5,1,0),0))</f>
        <v>1</v>
      </c>
      <c r="AO445">
        <f>IF(Games[[#This Row],[Team]]="","",IF(Games[[#This Row],[Type]]="R",IF(Games[[#This Row],[Result]]=0.5,1,0),0))</f>
        <v>0</v>
      </c>
    </row>
    <row r="446" spans="1:41" x14ac:dyDescent="0.35">
      <c r="A446" s="8">
        <v>35414</v>
      </c>
      <c r="B446">
        <v>1996</v>
      </c>
      <c r="C446" t="s">
        <v>197</v>
      </c>
      <c r="D446" t="s">
        <v>199</v>
      </c>
      <c r="E446" t="s">
        <v>116</v>
      </c>
      <c r="F446" t="s">
        <v>140</v>
      </c>
      <c r="G446" t="s">
        <v>200</v>
      </c>
      <c r="H446">
        <v>24</v>
      </c>
      <c r="I446">
        <v>19</v>
      </c>
      <c r="J446">
        <v>0</v>
      </c>
      <c r="K44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4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4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4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46">
        <f>IF(Games[[#This Row],[Team]]="","",IF(Games[[#This Row],[Conf]]=Games[[#This Row],[OppConf]],1,0))</f>
        <v>1</v>
      </c>
      <c r="P446">
        <f>IF(Games[[#This Row],[Team]]="","",IF(AND(Games[[#This Row],[Conf]]=Games[[#This Row],[OppConf]],Games[[#This Row],[Div]]=Games[[#This Row],[OppDiv]]),1,0))</f>
        <v>1</v>
      </c>
      <c r="Q446">
        <f>IF(Games[[#This Row],[Team]]="","",_xlfn.MINIFS(Games[Date],Games[Season],Games[[#This Row],[Season]]))</f>
        <v>35309</v>
      </c>
      <c r="R446">
        <f>IF(Games[[#This Row],[Team]]="","",INT((Games[[#This Row],[Date]]-(Games[[#This Row],[SeasonStart]]-MOD(WEEKDAY(Games[[#This Row],[SeasonStart]],2)-2,7)))/7)+1)</f>
        <v>16</v>
      </c>
      <c r="S446">
        <f>IF(Games[[#This Row],[Team]]="","",COUNTIFS(Games[Team],Games[[#This Row],[Team]],Games[Season],Games[[#This Row],[Season]],Games[Week],"&lt;="&amp;Games[[#This Row],[Week]]))</f>
        <v>15</v>
      </c>
      <c r="T446">
        <f>IF(Games[[#This Row],[Team]]="","",_xlfn.MAXIFS(Games[Week],Games[Team],Games[[#This Row],[Team]],Games[Season],Games[[#This Row],[Season]],Games[Week],"&lt;"&amp;Games[[#This Row],[Week]]))</f>
        <v>15</v>
      </c>
      <c r="U446">
        <f>IF(Games[[#This Row],[Team]]="","",_xlfn.MAXIFS(Games[Week],Games[Team],Games[[#This Row],[Opponent]],Games[Season],Games[[#This Row],[Season]],Games[Week],"&lt;"&amp;Games[[#This Row],[Week]]))</f>
        <v>15</v>
      </c>
      <c r="V44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4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4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4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1659.8930260078337</v>
      </c>
      <c r="Z44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1581.1854531392944</v>
      </c>
      <c r="AA44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0.71137702319782736</v>
      </c>
      <c r="AB446">
        <f>IF(Games[[#This Row],[Team]]="","",Games[[#This Row],[PointsFor]]-Games[[#This Row],[PointsAgainst]])</f>
        <v>5</v>
      </c>
      <c r="AC446">
        <f>IF(Games[[#This Row],[Team]]="","",IF(Games[[#This Row],[MOV]]&gt;0,1,IF(Games[[#This Row],[MOV]]=0,0.5,0)))</f>
        <v>1</v>
      </c>
      <c r="AD446">
        <f>IF(Games[[#This Row],[Team]]="","",--(OR(AND(Games[[#This Row],[ExpectedWin]]&gt;=0.5,Games[[#This Row],[Result]]=1),AND(Games[[#This Row],[ExpectedWin]]&lt;0.5,Games[[#This Row],[Result]]=0))))</f>
        <v>1</v>
      </c>
      <c r="AE446">
        <f>IF(Games[[#This Row],[Team]]="","",-(Games[[#This Row],[Result]]*LN(Games[[#This Row],[ExpectedWin]])+(1-Games[[#This Row],[Result]])*LN(1-Games[[#This Row],[ExpectedWin]])))</f>
        <v>0.340552717996364</v>
      </c>
      <c r="AF446">
        <f>IF(Games[[#This Row],[Team]]="","",IF(Games[[#This Row],[Season]]&gt;=2021,17,16))</f>
        <v>16</v>
      </c>
      <c r="AG446">
        <f>IF(Games[[#This Row],[Team]]="","",KMax-(KMax-KFloor)*MIN(Games[[#This Row],[GamesPlayed]],Games[[#This Row],[SeasonLen]])/Games[[#This Row],[SeasonLen]])</f>
        <v>36.8125</v>
      </c>
      <c r="AH446">
        <f>IF(Games[[#This Row],[Team]]="","",((ABS(Games[[#This Row],[MOV]])+3)^0.8)/(7.5+0.006*ABS(Games[[#This Row],[PreGmRate]]-Games[[#This Row],[OppPreGmRate]]))*IF(Games[[#This Row],[OT]]=1,0.7,1))</f>
        <v>0.66205082177423291</v>
      </c>
      <c r="AI44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6">
        <f>IF(Games[[#This Row],[Team]]="","",Games[[#This Row],[K]]*IF(Games[[#This Row],[DivG]]=1,DivMult,1)*IF(Games[[#This Row],[ConfG]]=1,ConfMult,1)*Games[[#This Row],[POMult]])</f>
        <v>41.303625000000004</v>
      </c>
      <c r="AK446">
        <f>IF(Games[[#This Row],[Team]]="","",(Games[[#This Row],[Keff]]*Games[[#This Row],[MOVMult]])*(Games[[#This Row],[Result]]-Games[[#This Row],[ExpectedWin]]))</f>
        <v>7.8924238378206795</v>
      </c>
      <c r="AL446">
        <f>IF(Games[[#This Row],[Team]]="","",Games[[#This Row],[PreGmRate]]+Games[[#This Row],[RatingChange]])</f>
        <v>1667.7854498456543</v>
      </c>
      <c r="AM446">
        <f>IF(Games[[#This Row],[Team]]="","",IF(Games[[#This Row],[Type]]="R",IF(Games[[#This Row],[Result]]&gt;0.5,1,0),0))</f>
        <v>1</v>
      </c>
      <c r="AN446">
        <f>IF(Games[[#This Row],[Team]]="","",IF(Games[[#This Row],[Type]]="R",IF(Games[[#This Row],[Result]]&lt;0.5,1,0),0))</f>
        <v>0</v>
      </c>
      <c r="AO446">
        <f>IF(Games[[#This Row],[Team]]="","",IF(Games[[#This Row],[Type]]="R",IF(Games[[#This Row],[Result]]=0.5,1,0),0))</f>
        <v>0</v>
      </c>
    </row>
    <row r="447" spans="1:41" x14ac:dyDescent="0.35">
      <c r="A447" s="8">
        <v>35414</v>
      </c>
      <c r="B447">
        <v>1996</v>
      </c>
      <c r="C447" t="s">
        <v>197</v>
      </c>
      <c r="D447" t="s">
        <v>199</v>
      </c>
      <c r="E447" t="s">
        <v>140</v>
      </c>
      <c r="F447" t="s">
        <v>116</v>
      </c>
      <c r="G447" t="s">
        <v>201</v>
      </c>
      <c r="H447">
        <v>19</v>
      </c>
      <c r="I447">
        <v>24</v>
      </c>
      <c r="J447">
        <v>0</v>
      </c>
      <c r="K44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4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4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4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47">
        <f>IF(Games[[#This Row],[Team]]="","",IF(Games[[#This Row],[Conf]]=Games[[#This Row],[OppConf]],1,0))</f>
        <v>1</v>
      </c>
      <c r="P447">
        <f>IF(Games[[#This Row],[Team]]="","",IF(AND(Games[[#This Row],[Conf]]=Games[[#This Row],[OppConf]],Games[[#This Row],[Div]]=Games[[#This Row],[OppDiv]]),1,0))</f>
        <v>1</v>
      </c>
      <c r="Q447">
        <f>IF(Games[[#This Row],[Team]]="","",_xlfn.MINIFS(Games[Date],Games[Season],Games[[#This Row],[Season]]))</f>
        <v>35309</v>
      </c>
      <c r="R447">
        <f>IF(Games[[#This Row],[Team]]="","",INT((Games[[#This Row],[Date]]-(Games[[#This Row],[SeasonStart]]-MOD(WEEKDAY(Games[[#This Row],[SeasonStart]],2)-2,7)))/7)+1)</f>
        <v>16</v>
      </c>
      <c r="S447">
        <f>IF(Games[[#This Row],[Team]]="","",COUNTIFS(Games[Team],Games[[#This Row],[Team]],Games[Season],Games[[#This Row],[Season]],Games[Week],"&lt;="&amp;Games[[#This Row],[Week]]))</f>
        <v>15</v>
      </c>
      <c r="T447">
        <f>IF(Games[[#This Row],[Team]]="","",_xlfn.MAXIFS(Games[Week],Games[Team],Games[[#This Row],[Team]],Games[Season],Games[[#This Row],[Season]],Games[Week],"&lt;"&amp;Games[[#This Row],[Week]]))</f>
        <v>15</v>
      </c>
      <c r="U447">
        <f>IF(Games[[#This Row],[Team]]="","",_xlfn.MAXIFS(Games[Week],Games[Team],Games[[#This Row],[Opponent]],Games[Season],Games[[#This Row],[Season]],Games[Week],"&lt;"&amp;Games[[#This Row],[Week]]))</f>
        <v>15</v>
      </c>
      <c r="V44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4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4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4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1581.1854531392944</v>
      </c>
      <c r="Z44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1659.8930260078337</v>
      </c>
      <c r="AA44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0.28862297680217258</v>
      </c>
      <c r="AB447">
        <f>IF(Games[[#This Row],[Team]]="","",Games[[#This Row],[PointsFor]]-Games[[#This Row],[PointsAgainst]])</f>
        <v>-5</v>
      </c>
      <c r="AC447">
        <f>IF(Games[[#This Row],[Team]]="","",IF(Games[[#This Row],[MOV]]&gt;0,1,IF(Games[[#This Row],[MOV]]=0,0.5,0)))</f>
        <v>0</v>
      </c>
      <c r="AD447">
        <f>IF(Games[[#This Row],[Team]]="","",--(OR(AND(Games[[#This Row],[ExpectedWin]]&gt;=0.5,Games[[#This Row],[Result]]=1),AND(Games[[#This Row],[ExpectedWin]]&lt;0.5,Games[[#This Row],[Result]]=0))))</f>
        <v>1</v>
      </c>
      <c r="AE447">
        <f>IF(Games[[#This Row],[Team]]="","",-(Games[[#This Row],[Result]]*LN(Games[[#This Row],[ExpectedWin]])+(1-Games[[#This Row],[Result]])*LN(1-Games[[#This Row],[ExpectedWin]])))</f>
        <v>0.340552717996364</v>
      </c>
      <c r="AF447">
        <f>IF(Games[[#This Row],[Team]]="","",IF(Games[[#This Row],[Season]]&gt;=2021,17,16))</f>
        <v>16</v>
      </c>
      <c r="AG447">
        <f>IF(Games[[#This Row],[Team]]="","",KMax-(KMax-KFloor)*MIN(Games[[#This Row],[GamesPlayed]],Games[[#This Row],[SeasonLen]])/Games[[#This Row],[SeasonLen]])</f>
        <v>36.8125</v>
      </c>
      <c r="AH447">
        <f>IF(Games[[#This Row],[Team]]="","",((ABS(Games[[#This Row],[MOV]])+3)^0.8)/(7.5+0.006*ABS(Games[[#This Row],[PreGmRate]]-Games[[#This Row],[OppPreGmRate]]))*IF(Games[[#This Row],[OT]]=1,0.7,1))</f>
        <v>0.66205082177423291</v>
      </c>
      <c r="AI44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7">
        <f>IF(Games[[#This Row],[Team]]="","",Games[[#This Row],[K]]*IF(Games[[#This Row],[DivG]]=1,DivMult,1)*IF(Games[[#This Row],[ConfG]]=1,ConfMult,1)*Games[[#This Row],[POMult]])</f>
        <v>41.303625000000004</v>
      </c>
      <c r="AK447">
        <f>IF(Games[[#This Row],[Team]]="","",(Games[[#This Row],[Keff]]*Games[[#This Row],[MOVMult]])*(Games[[#This Row],[Result]]-Games[[#This Row],[ExpectedWin]]))</f>
        <v>-7.8924238378206777</v>
      </c>
      <c r="AL447">
        <f>IF(Games[[#This Row],[Team]]="","",Games[[#This Row],[PreGmRate]]+Games[[#This Row],[RatingChange]])</f>
        <v>1573.2930293014738</v>
      </c>
      <c r="AM447">
        <f>IF(Games[[#This Row],[Team]]="","",IF(Games[[#This Row],[Type]]="R",IF(Games[[#This Row],[Result]]&gt;0.5,1,0),0))</f>
        <v>0</v>
      </c>
      <c r="AN447">
        <f>IF(Games[[#This Row],[Team]]="","",IF(Games[[#This Row],[Type]]="R",IF(Games[[#This Row],[Result]]&lt;0.5,1,0),0))</f>
        <v>1</v>
      </c>
      <c r="AO447">
        <f>IF(Games[[#This Row],[Team]]="","",IF(Games[[#This Row],[Type]]="R",IF(Games[[#This Row],[Result]]=0.5,1,0),0))</f>
        <v>0</v>
      </c>
    </row>
    <row r="448" spans="1:41" x14ac:dyDescent="0.35">
      <c r="A448" s="8">
        <v>35414</v>
      </c>
      <c r="B448">
        <v>1996</v>
      </c>
      <c r="C448" t="s">
        <v>197</v>
      </c>
      <c r="D448" t="s">
        <v>199</v>
      </c>
      <c r="E448" t="s">
        <v>124</v>
      </c>
      <c r="F448" t="s">
        <v>146</v>
      </c>
      <c r="G448" t="s">
        <v>200</v>
      </c>
      <c r="H448">
        <v>20</v>
      </c>
      <c r="I448">
        <v>13</v>
      </c>
      <c r="J448">
        <v>0</v>
      </c>
      <c r="K44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4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4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4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48">
        <f>IF(Games[[#This Row],[Team]]="","",IF(Games[[#This Row],[Conf]]=Games[[#This Row],[OppConf]],1,0))</f>
        <v>1</v>
      </c>
      <c r="P448">
        <f>IF(Games[[#This Row],[Team]]="","",IF(AND(Games[[#This Row],[Conf]]=Games[[#This Row],[OppConf]],Games[[#This Row],[Div]]=Games[[#This Row],[OppDiv]]),1,0))</f>
        <v>0</v>
      </c>
      <c r="Q448">
        <f>IF(Games[[#This Row],[Team]]="","",_xlfn.MINIFS(Games[Date],Games[Season],Games[[#This Row],[Season]]))</f>
        <v>35309</v>
      </c>
      <c r="R448">
        <f>IF(Games[[#This Row],[Team]]="","",INT((Games[[#This Row],[Date]]-(Games[[#This Row],[SeasonStart]]-MOD(WEEKDAY(Games[[#This Row],[SeasonStart]],2)-2,7)))/7)+1)</f>
        <v>16</v>
      </c>
      <c r="S448">
        <f>IF(Games[[#This Row],[Team]]="","",COUNTIFS(Games[Team],Games[[#This Row],[Team]],Games[Season],Games[[#This Row],[Season]],Games[Week],"&lt;="&amp;Games[[#This Row],[Week]]))</f>
        <v>15</v>
      </c>
      <c r="T448">
        <f>IF(Games[[#This Row],[Team]]="","",_xlfn.MAXIFS(Games[Week],Games[Team],Games[[#This Row],[Team]],Games[Season],Games[[#This Row],[Season]],Games[Week],"&lt;"&amp;Games[[#This Row],[Week]]))</f>
        <v>15</v>
      </c>
      <c r="U448">
        <f>IF(Games[[#This Row],[Team]]="","",_xlfn.MAXIFS(Games[Week],Games[Team],Games[[#This Row],[Opponent]],Games[Season],Games[[#This Row],[Season]],Games[Week],"&lt;"&amp;Games[[#This Row],[Week]]))</f>
        <v>15</v>
      </c>
      <c r="V44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4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4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4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1484.7521008765013</v>
      </c>
      <c r="Z44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1472.1965773222632</v>
      </c>
      <c r="AA44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0.61933832930330612</v>
      </c>
      <c r="AB448">
        <f>IF(Games[[#This Row],[Team]]="","",Games[[#This Row],[PointsFor]]-Games[[#This Row],[PointsAgainst]])</f>
        <v>7</v>
      </c>
      <c r="AC448">
        <f>IF(Games[[#This Row],[Team]]="","",IF(Games[[#This Row],[MOV]]&gt;0,1,IF(Games[[#This Row],[MOV]]=0,0.5,0)))</f>
        <v>1</v>
      </c>
      <c r="AD448">
        <f>IF(Games[[#This Row],[Team]]="","",--(OR(AND(Games[[#This Row],[ExpectedWin]]&gt;=0.5,Games[[#This Row],[Result]]=1),AND(Games[[#This Row],[ExpectedWin]]&lt;0.5,Games[[#This Row],[Result]]=0))))</f>
        <v>1</v>
      </c>
      <c r="AE448">
        <f>IF(Games[[#This Row],[Team]]="","",-(Games[[#This Row],[Result]]*LN(Games[[#This Row],[ExpectedWin]])+(1-Games[[#This Row],[Result]])*LN(1-Games[[#This Row],[ExpectedWin]])))</f>
        <v>0.4791035816190532</v>
      </c>
      <c r="AF448">
        <f>IF(Games[[#This Row],[Team]]="","",IF(Games[[#This Row],[Season]]&gt;=2021,17,16))</f>
        <v>16</v>
      </c>
      <c r="AG448">
        <f>IF(Games[[#This Row],[Team]]="","",KMax-(KMax-KFloor)*MIN(Games[[#This Row],[GamesPlayed]],Games[[#This Row],[SeasonLen]])/Games[[#This Row],[SeasonLen]])</f>
        <v>36.8125</v>
      </c>
      <c r="AH448">
        <f>IF(Games[[#This Row],[Team]]="","",((ABS(Games[[#This Row],[MOV]])+3)^0.8)/(7.5+0.006*ABS(Games[[#This Row],[PreGmRate]]-Games[[#This Row],[OppPreGmRate]]))*IF(Games[[#This Row],[OT]]=1,0.7,1))</f>
        <v>0.83291035880409758</v>
      </c>
      <c r="AI44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8">
        <f>IF(Games[[#This Row],[Team]]="","",Games[[#This Row],[K]]*IF(Games[[#This Row],[DivG]]=1,DivMult,1)*IF(Games[[#This Row],[ConfG]]=1,ConfMult,1)*Games[[#This Row],[POMult]])</f>
        <v>37.548749999999998</v>
      </c>
      <c r="AK448">
        <f>IF(Games[[#This Row],[Team]]="","",(Games[[#This Row],[Keff]]*Games[[#This Row],[MOVMult]])*(Games[[#This Row],[Result]]-Games[[#This Row],[ExpectedWin]]))</f>
        <v>11.905095858235889</v>
      </c>
      <c r="AL448">
        <f>IF(Games[[#This Row],[Team]]="","",Games[[#This Row],[PreGmRate]]+Games[[#This Row],[RatingChange]])</f>
        <v>1496.6571967347372</v>
      </c>
      <c r="AM448">
        <f>IF(Games[[#This Row],[Team]]="","",IF(Games[[#This Row],[Type]]="R",IF(Games[[#This Row],[Result]]&gt;0.5,1,0),0))</f>
        <v>1</v>
      </c>
      <c r="AN448">
        <f>IF(Games[[#This Row],[Team]]="","",IF(Games[[#This Row],[Type]]="R",IF(Games[[#This Row],[Result]]&lt;0.5,1,0),0))</f>
        <v>0</v>
      </c>
      <c r="AO448">
        <f>IF(Games[[#This Row],[Team]]="","",IF(Games[[#This Row],[Type]]="R",IF(Games[[#This Row],[Result]]=0.5,1,0),0))</f>
        <v>0</v>
      </c>
    </row>
    <row r="449" spans="1:41" x14ac:dyDescent="0.35">
      <c r="A449" s="8">
        <v>35414</v>
      </c>
      <c r="B449">
        <v>1996</v>
      </c>
      <c r="C449" t="s">
        <v>197</v>
      </c>
      <c r="D449" t="s">
        <v>199</v>
      </c>
      <c r="E449" t="s">
        <v>146</v>
      </c>
      <c r="F449" t="s">
        <v>124</v>
      </c>
      <c r="G449" t="s">
        <v>201</v>
      </c>
      <c r="H449">
        <v>13</v>
      </c>
      <c r="I449">
        <v>20</v>
      </c>
      <c r="J449">
        <v>0</v>
      </c>
      <c r="K44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4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4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4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49">
        <f>IF(Games[[#This Row],[Team]]="","",IF(Games[[#This Row],[Conf]]=Games[[#This Row],[OppConf]],1,0))</f>
        <v>1</v>
      </c>
      <c r="P449">
        <f>IF(Games[[#This Row],[Team]]="","",IF(AND(Games[[#This Row],[Conf]]=Games[[#This Row],[OppConf]],Games[[#This Row],[Div]]=Games[[#This Row],[OppDiv]]),1,0))</f>
        <v>0</v>
      </c>
      <c r="Q449">
        <f>IF(Games[[#This Row],[Team]]="","",_xlfn.MINIFS(Games[Date],Games[Season],Games[[#This Row],[Season]]))</f>
        <v>35309</v>
      </c>
      <c r="R449">
        <f>IF(Games[[#This Row],[Team]]="","",INT((Games[[#This Row],[Date]]-(Games[[#This Row],[SeasonStart]]-MOD(WEEKDAY(Games[[#This Row],[SeasonStart]],2)-2,7)))/7)+1)</f>
        <v>16</v>
      </c>
      <c r="S449">
        <f>IF(Games[[#This Row],[Team]]="","",COUNTIFS(Games[Team],Games[[#This Row],[Team]],Games[Season],Games[[#This Row],[Season]],Games[Week],"&lt;="&amp;Games[[#This Row],[Week]]))</f>
        <v>15</v>
      </c>
      <c r="T449">
        <f>IF(Games[[#This Row],[Team]]="","",_xlfn.MAXIFS(Games[Week],Games[Team],Games[[#This Row],[Team]],Games[Season],Games[[#This Row],[Season]],Games[Week],"&lt;"&amp;Games[[#This Row],[Week]]))</f>
        <v>15</v>
      </c>
      <c r="U449">
        <f>IF(Games[[#This Row],[Team]]="","",_xlfn.MAXIFS(Games[Week],Games[Team],Games[[#This Row],[Opponent]],Games[Season],Games[[#This Row],[Season]],Games[Week],"&lt;"&amp;Games[[#This Row],[Week]]))</f>
        <v>15</v>
      </c>
      <c r="V44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4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4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4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1472.1965773222632</v>
      </c>
      <c r="Z44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1484.7521008765013</v>
      </c>
      <c r="AA44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0.38066167069669377</v>
      </c>
      <c r="AB449">
        <f>IF(Games[[#This Row],[Team]]="","",Games[[#This Row],[PointsFor]]-Games[[#This Row],[PointsAgainst]])</f>
        <v>-7</v>
      </c>
      <c r="AC449">
        <f>IF(Games[[#This Row],[Team]]="","",IF(Games[[#This Row],[MOV]]&gt;0,1,IF(Games[[#This Row],[MOV]]=0,0.5,0)))</f>
        <v>0</v>
      </c>
      <c r="AD449">
        <f>IF(Games[[#This Row],[Team]]="","",--(OR(AND(Games[[#This Row],[ExpectedWin]]&gt;=0.5,Games[[#This Row],[Result]]=1),AND(Games[[#This Row],[ExpectedWin]]&lt;0.5,Games[[#This Row],[Result]]=0))))</f>
        <v>1</v>
      </c>
      <c r="AE449">
        <f>IF(Games[[#This Row],[Team]]="","",-(Games[[#This Row],[Result]]*LN(Games[[#This Row],[ExpectedWin]])+(1-Games[[#This Row],[Result]])*LN(1-Games[[#This Row],[ExpectedWin]])))</f>
        <v>0.47910358161905303</v>
      </c>
      <c r="AF449">
        <f>IF(Games[[#This Row],[Team]]="","",IF(Games[[#This Row],[Season]]&gt;=2021,17,16))</f>
        <v>16</v>
      </c>
      <c r="AG449">
        <f>IF(Games[[#This Row],[Team]]="","",KMax-(KMax-KFloor)*MIN(Games[[#This Row],[GamesPlayed]],Games[[#This Row],[SeasonLen]])/Games[[#This Row],[SeasonLen]])</f>
        <v>36.8125</v>
      </c>
      <c r="AH449">
        <f>IF(Games[[#This Row],[Team]]="","",((ABS(Games[[#This Row],[MOV]])+3)^0.8)/(7.5+0.006*ABS(Games[[#This Row],[PreGmRate]]-Games[[#This Row],[OppPreGmRate]]))*IF(Games[[#This Row],[OT]]=1,0.7,1))</f>
        <v>0.83291035880409758</v>
      </c>
      <c r="AI44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9">
        <f>IF(Games[[#This Row],[Team]]="","",Games[[#This Row],[K]]*IF(Games[[#This Row],[DivG]]=1,DivMult,1)*IF(Games[[#This Row],[ConfG]]=1,ConfMult,1)*Games[[#This Row],[POMult]])</f>
        <v>37.548749999999998</v>
      </c>
      <c r="AK449">
        <f>IF(Games[[#This Row],[Team]]="","",(Games[[#This Row],[Keff]]*Games[[#This Row],[MOVMult]])*(Games[[#This Row],[Result]]-Games[[#This Row],[ExpectedWin]]))</f>
        <v>-11.905095858235885</v>
      </c>
      <c r="AL449">
        <f>IF(Games[[#This Row],[Team]]="","",Games[[#This Row],[PreGmRate]]+Games[[#This Row],[RatingChange]])</f>
        <v>1460.2914814640274</v>
      </c>
      <c r="AM449">
        <f>IF(Games[[#This Row],[Team]]="","",IF(Games[[#This Row],[Type]]="R",IF(Games[[#This Row],[Result]]&gt;0.5,1,0),0))</f>
        <v>0</v>
      </c>
      <c r="AN449">
        <f>IF(Games[[#This Row],[Team]]="","",IF(Games[[#This Row],[Type]]="R",IF(Games[[#This Row],[Result]]&lt;0.5,1,0),0))</f>
        <v>1</v>
      </c>
      <c r="AO449">
        <f>IF(Games[[#This Row],[Team]]="","",IF(Games[[#This Row],[Type]]="R",IF(Games[[#This Row],[Result]]=0.5,1,0),0))</f>
        <v>0</v>
      </c>
    </row>
    <row r="450" spans="1:41" x14ac:dyDescent="0.35">
      <c r="A450" s="8">
        <v>35415</v>
      </c>
      <c r="B450">
        <v>1996</v>
      </c>
      <c r="C450" t="s">
        <v>197</v>
      </c>
      <c r="D450" t="s">
        <v>199</v>
      </c>
      <c r="E450" t="s">
        <v>128</v>
      </c>
      <c r="F450" t="s">
        <v>106</v>
      </c>
      <c r="G450" t="s">
        <v>200</v>
      </c>
      <c r="H450">
        <v>16</v>
      </c>
      <c r="I450">
        <v>14</v>
      </c>
      <c r="J450">
        <v>0</v>
      </c>
      <c r="K45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5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5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5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50">
        <f>IF(Games[[#This Row],[Team]]="","",IF(Games[[#This Row],[Conf]]=Games[[#This Row],[OppConf]],1,0))</f>
        <v>1</v>
      </c>
      <c r="P450">
        <f>IF(Games[[#This Row],[Team]]="","",IF(AND(Games[[#This Row],[Conf]]=Games[[#This Row],[OppConf]],Games[[#This Row],[Div]]=Games[[#This Row],[OppDiv]]),1,0))</f>
        <v>1</v>
      </c>
      <c r="Q450">
        <f>IF(Games[[#This Row],[Team]]="","",_xlfn.MINIFS(Games[Date],Games[Season],Games[[#This Row],[Season]]))</f>
        <v>35309</v>
      </c>
      <c r="R450">
        <f>IF(Games[[#This Row],[Team]]="","",INT((Games[[#This Row],[Date]]-(Games[[#This Row],[SeasonStart]]-MOD(WEEKDAY(Games[[#This Row],[SeasonStart]],2)-2,7)))/7)+1)</f>
        <v>16</v>
      </c>
      <c r="S450">
        <f>IF(Games[[#This Row],[Team]]="","",COUNTIFS(Games[Team],Games[[#This Row],[Team]],Games[Season],Games[[#This Row],[Season]],Games[Week],"&lt;="&amp;Games[[#This Row],[Week]]))</f>
        <v>15</v>
      </c>
      <c r="T450">
        <f>IF(Games[[#This Row],[Team]]="","",_xlfn.MAXIFS(Games[Week],Games[Team],Games[[#This Row],[Team]],Games[Season],Games[[#This Row],[Season]],Games[Week],"&lt;"&amp;Games[[#This Row],[Week]]))</f>
        <v>15</v>
      </c>
      <c r="U450">
        <f>IF(Games[[#This Row],[Team]]="","",_xlfn.MAXIFS(Games[Week],Games[Team],Games[[#This Row],[Opponent]],Games[Season],Games[[#This Row],[Season]],Games[Week],"&lt;"&amp;Games[[#This Row],[Week]]))</f>
        <v>15</v>
      </c>
      <c r="V45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45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45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5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1486.8787481313136</v>
      </c>
      <c r="Z45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1548.1015495122774</v>
      </c>
      <c r="AA45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0.51550466303438214</v>
      </c>
      <c r="AB450">
        <f>IF(Games[[#This Row],[Team]]="","",Games[[#This Row],[PointsFor]]-Games[[#This Row],[PointsAgainst]])</f>
        <v>2</v>
      </c>
      <c r="AC450">
        <f>IF(Games[[#This Row],[Team]]="","",IF(Games[[#This Row],[MOV]]&gt;0,1,IF(Games[[#This Row],[MOV]]=0,0.5,0)))</f>
        <v>1</v>
      </c>
      <c r="AD450">
        <f>IF(Games[[#This Row],[Team]]="","",--(OR(AND(Games[[#This Row],[ExpectedWin]]&gt;=0.5,Games[[#This Row],[Result]]=1),AND(Games[[#This Row],[ExpectedWin]]&lt;0.5,Games[[#This Row],[Result]]=0))))</f>
        <v>1</v>
      </c>
      <c r="AE450">
        <f>IF(Games[[#This Row],[Team]]="","",-(Games[[#This Row],[Result]]*LN(Games[[#This Row],[ExpectedWin]])+(1-Games[[#This Row],[Result]])*LN(1-Games[[#This Row],[ExpectedWin]])))</f>
        <v>0.66260892991252851</v>
      </c>
      <c r="AF450">
        <f>IF(Games[[#This Row],[Team]]="","",IF(Games[[#This Row],[Season]]&gt;=2021,17,16))</f>
        <v>16</v>
      </c>
      <c r="AG450">
        <f>IF(Games[[#This Row],[Team]]="","",KMax-(KMax-KFloor)*MIN(Games[[#This Row],[GamesPlayed]],Games[[#This Row],[SeasonLen]])/Games[[#This Row],[SeasonLen]])</f>
        <v>36.8125</v>
      </c>
      <c r="AH450">
        <f>IF(Games[[#This Row],[Team]]="","",((ABS(Games[[#This Row],[MOV]])+3)^0.8)/(7.5+0.006*ABS(Games[[#This Row],[PreGmRate]]-Games[[#This Row],[OppPreGmRate]]))*IF(Games[[#This Row],[OT]]=1,0.7,1))</f>
        <v>0.46062580091548039</v>
      </c>
      <c r="AI45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0">
        <f>IF(Games[[#This Row],[Team]]="","",Games[[#This Row],[K]]*IF(Games[[#This Row],[DivG]]=1,DivMult,1)*IF(Games[[#This Row],[ConfG]]=1,ConfMult,1)*Games[[#This Row],[POMult]])</f>
        <v>41.303625000000004</v>
      </c>
      <c r="AK450">
        <f>IF(Games[[#This Row],[Team]]="","",(Games[[#This Row],[Keff]]*Games[[#This Row],[MOVMult]])*(Games[[#This Row],[Result]]-Games[[#This Row],[ExpectedWin]]))</f>
        <v>9.2177734686683976</v>
      </c>
      <c r="AL450">
        <f>IF(Games[[#This Row],[Team]]="","",Games[[#This Row],[PreGmRate]]+Games[[#This Row],[RatingChange]])</f>
        <v>1496.096521599982</v>
      </c>
      <c r="AM450">
        <f>IF(Games[[#This Row],[Team]]="","",IF(Games[[#This Row],[Type]]="R",IF(Games[[#This Row],[Result]]&gt;0.5,1,0),0))</f>
        <v>1</v>
      </c>
      <c r="AN450">
        <f>IF(Games[[#This Row],[Team]]="","",IF(Games[[#This Row],[Type]]="R",IF(Games[[#This Row],[Result]]&lt;0.5,1,0),0))</f>
        <v>0</v>
      </c>
      <c r="AO450">
        <f>IF(Games[[#This Row],[Team]]="","",IF(Games[[#This Row],[Type]]="R",IF(Games[[#This Row],[Result]]=0.5,1,0),0))</f>
        <v>0</v>
      </c>
    </row>
    <row r="451" spans="1:41" x14ac:dyDescent="0.35">
      <c r="A451" s="8">
        <v>35415</v>
      </c>
      <c r="B451">
        <v>1996</v>
      </c>
      <c r="C451" t="s">
        <v>197</v>
      </c>
      <c r="D451" t="s">
        <v>199</v>
      </c>
      <c r="E451" t="s">
        <v>106</v>
      </c>
      <c r="F451" t="s">
        <v>128</v>
      </c>
      <c r="G451" t="s">
        <v>201</v>
      </c>
      <c r="H451">
        <v>14</v>
      </c>
      <c r="I451">
        <v>16</v>
      </c>
      <c r="J451">
        <v>0</v>
      </c>
      <c r="K45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5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5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5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51">
        <f>IF(Games[[#This Row],[Team]]="","",IF(Games[[#This Row],[Conf]]=Games[[#This Row],[OppConf]],1,0))</f>
        <v>1</v>
      </c>
      <c r="P451">
        <f>IF(Games[[#This Row],[Team]]="","",IF(AND(Games[[#This Row],[Conf]]=Games[[#This Row],[OppConf]],Games[[#This Row],[Div]]=Games[[#This Row],[OppDiv]]),1,0))</f>
        <v>1</v>
      </c>
      <c r="Q451">
        <f>IF(Games[[#This Row],[Team]]="","",_xlfn.MINIFS(Games[Date],Games[Season],Games[[#This Row],[Season]]))</f>
        <v>35309</v>
      </c>
      <c r="R451">
        <f>IF(Games[[#This Row],[Team]]="","",INT((Games[[#This Row],[Date]]-(Games[[#This Row],[SeasonStart]]-MOD(WEEKDAY(Games[[#This Row],[SeasonStart]],2)-2,7)))/7)+1)</f>
        <v>16</v>
      </c>
      <c r="S451">
        <f>IF(Games[[#This Row],[Team]]="","",COUNTIFS(Games[Team],Games[[#This Row],[Team]],Games[Season],Games[[#This Row],[Season]],Games[Week],"&lt;="&amp;Games[[#This Row],[Week]]))</f>
        <v>15</v>
      </c>
      <c r="T451">
        <f>IF(Games[[#This Row],[Team]]="","",_xlfn.MAXIFS(Games[Week],Games[Team],Games[[#This Row],[Team]],Games[Season],Games[[#This Row],[Season]],Games[Week],"&lt;"&amp;Games[[#This Row],[Week]]))</f>
        <v>15</v>
      </c>
      <c r="U451">
        <f>IF(Games[[#This Row],[Team]]="","",_xlfn.MAXIFS(Games[Week],Games[Team],Games[[#This Row],[Opponent]],Games[Season],Games[[#This Row],[Season]],Games[Week],"&lt;"&amp;Games[[#This Row],[Week]]))</f>
        <v>15</v>
      </c>
      <c r="V45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45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45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5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1548.1015495122774</v>
      </c>
      <c r="Z45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1486.8787481313136</v>
      </c>
      <c r="AA45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0.48449533696561786</v>
      </c>
      <c r="AB451">
        <f>IF(Games[[#This Row],[Team]]="","",Games[[#This Row],[PointsFor]]-Games[[#This Row],[PointsAgainst]])</f>
        <v>-2</v>
      </c>
      <c r="AC451">
        <f>IF(Games[[#This Row],[Team]]="","",IF(Games[[#This Row],[MOV]]&gt;0,1,IF(Games[[#This Row],[MOV]]=0,0.5,0)))</f>
        <v>0</v>
      </c>
      <c r="AD451">
        <f>IF(Games[[#This Row],[Team]]="","",--(OR(AND(Games[[#This Row],[ExpectedWin]]&gt;=0.5,Games[[#This Row],[Result]]=1),AND(Games[[#This Row],[ExpectedWin]]&lt;0.5,Games[[#This Row],[Result]]=0))))</f>
        <v>1</v>
      </c>
      <c r="AE451">
        <f>IF(Games[[#This Row],[Team]]="","",-(Games[[#This Row],[Result]]*LN(Games[[#This Row],[ExpectedWin]])+(1-Games[[#This Row],[Result]])*LN(1-Games[[#This Row],[ExpectedWin]])))</f>
        <v>0.66260892991252851</v>
      </c>
      <c r="AF451">
        <f>IF(Games[[#This Row],[Team]]="","",IF(Games[[#This Row],[Season]]&gt;=2021,17,16))</f>
        <v>16</v>
      </c>
      <c r="AG451">
        <f>IF(Games[[#This Row],[Team]]="","",KMax-(KMax-KFloor)*MIN(Games[[#This Row],[GamesPlayed]],Games[[#This Row],[SeasonLen]])/Games[[#This Row],[SeasonLen]])</f>
        <v>36.8125</v>
      </c>
      <c r="AH451">
        <f>IF(Games[[#This Row],[Team]]="","",((ABS(Games[[#This Row],[MOV]])+3)^0.8)/(7.5+0.006*ABS(Games[[#This Row],[PreGmRate]]-Games[[#This Row],[OppPreGmRate]]))*IF(Games[[#This Row],[OT]]=1,0.7,1))</f>
        <v>0.46062580091548039</v>
      </c>
      <c r="AI45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1">
        <f>IF(Games[[#This Row],[Team]]="","",Games[[#This Row],[K]]*IF(Games[[#This Row],[DivG]]=1,DivMult,1)*IF(Games[[#This Row],[ConfG]]=1,ConfMult,1)*Games[[#This Row],[POMult]])</f>
        <v>41.303625000000004</v>
      </c>
      <c r="AK451">
        <f>IF(Games[[#This Row],[Team]]="","",(Games[[#This Row],[Keff]]*Games[[#This Row],[MOVMult]])*(Games[[#This Row],[Result]]-Games[[#This Row],[ExpectedWin]]))</f>
        <v>-9.2177734686683976</v>
      </c>
      <c r="AL451">
        <f>IF(Games[[#This Row],[Team]]="","",Games[[#This Row],[PreGmRate]]+Games[[#This Row],[RatingChange]])</f>
        <v>1538.883776043609</v>
      </c>
      <c r="AM451">
        <f>IF(Games[[#This Row],[Team]]="","",IF(Games[[#This Row],[Type]]="R",IF(Games[[#This Row],[Result]]&gt;0.5,1,0),0))</f>
        <v>0</v>
      </c>
      <c r="AN451">
        <f>IF(Games[[#This Row],[Team]]="","",IF(Games[[#This Row],[Type]]="R",IF(Games[[#This Row],[Result]]&lt;0.5,1,0),0))</f>
        <v>1</v>
      </c>
      <c r="AO451">
        <f>IF(Games[[#This Row],[Team]]="","",IF(Games[[#This Row],[Type]]="R",IF(Games[[#This Row],[Result]]=0.5,1,0),0))</f>
        <v>0</v>
      </c>
    </row>
    <row r="452" spans="1:41" x14ac:dyDescent="0.35">
      <c r="A452" s="8">
        <v>35420</v>
      </c>
      <c r="B452">
        <v>1996</v>
      </c>
      <c r="C452" t="s">
        <v>197</v>
      </c>
      <c r="D452" t="s">
        <v>199</v>
      </c>
      <c r="E452" t="s">
        <v>132</v>
      </c>
      <c r="F452" t="s">
        <v>136</v>
      </c>
      <c r="G452" t="s">
        <v>201</v>
      </c>
      <c r="H452">
        <v>23</v>
      </c>
      <c r="I452">
        <v>22</v>
      </c>
      <c r="J452">
        <v>0</v>
      </c>
      <c r="K45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5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5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5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52">
        <f>IF(Games[[#This Row],[Team]]="","",IF(Games[[#This Row],[Conf]]=Games[[#This Row],[OppConf]],1,0))</f>
        <v>0</v>
      </c>
      <c r="P452">
        <f>IF(Games[[#This Row],[Team]]="","",IF(AND(Games[[#This Row],[Conf]]=Games[[#This Row],[OppConf]],Games[[#This Row],[Div]]=Games[[#This Row],[OppDiv]]),1,0))</f>
        <v>0</v>
      </c>
      <c r="Q452">
        <f>IF(Games[[#This Row],[Team]]="","",_xlfn.MINIFS(Games[Date],Games[Season],Games[[#This Row],[Season]]))</f>
        <v>35309</v>
      </c>
      <c r="R452">
        <f>IF(Games[[#This Row],[Team]]="","",INT((Games[[#This Row],[Date]]-(Games[[#This Row],[SeasonStart]]-MOD(WEEKDAY(Games[[#This Row],[SeasonStart]],2)-2,7)))/7)+1)</f>
        <v>17</v>
      </c>
      <c r="S452">
        <f>IF(Games[[#This Row],[Team]]="","",COUNTIFS(Games[Team],Games[[#This Row],[Team]],Games[Season],Games[[#This Row],[Season]],Games[Week],"&lt;="&amp;Games[[#This Row],[Week]]))</f>
        <v>16</v>
      </c>
      <c r="T452">
        <f>IF(Games[[#This Row],[Team]]="","",_xlfn.MAXIFS(Games[Week],Games[Team],Games[[#This Row],[Team]],Games[Season],Games[[#This Row],[Season]],Games[Week],"&lt;"&amp;Games[[#This Row],[Week]]))</f>
        <v>16</v>
      </c>
      <c r="U452">
        <f>IF(Games[[#This Row],[Team]]="","",_xlfn.MAXIFS(Games[Week],Games[Team],Games[[#This Row],[Opponent]],Games[Season],Games[[#This Row],[Season]],Games[Week],"&lt;"&amp;Games[[#This Row],[Week]]))</f>
        <v>16</v>
      </c>
      <c r="V45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5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5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5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1612.6760717706077</v>
      </c>
      <c r="Z45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1450.3389441018603</v>
      </c>
      <c r="AA45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0.62715298283843579</v>
      </c>
      <c r="AB452">
        <f>IF(Games[[#This Row],[Team]]="","",Games[[#This Row],[PointsFor]]-Games[[#This Row],[PointsAgainst]])</f>
        <v>1</v>
      </c>
      <c r="AC452">
        <f>IF(Games[[#This Row],[Team]]="","",IF(Games[[#This Row],[MOV]]&gt;0,1,IF(Games[[#This Row],[MOV]]=0,0.5,0)))</f>
        <v>1</v>
      </c>
      <c r="AD452">
        <f>IF(Games[[#This Row],[Team]]="","",--(OR(AND(Games[[#This Row],[ExpectedWin]]&gt;=0.5,Games[[#This Row],[Result]]=1),AND(Games[[#This Row],[ExpectedWin]]&lt;0.5,Games[[#This Row],[Result]]=0))))</f>
        <v>1</v>
      </c>
      <c r="AE452">
        <f>IF(Games[[#This Row],[Team]]="","",-(Games[[#This Row],[Result]]*LN(Games[[#This Row],[ExpectedWin]])+(1-Games[[#This Row],[Result]])*LN(1-Games[[#This Row],[ExpectedWin]])))</f>
        <v>0.46656477634252669</v>
      </c>
      <c r="AF452">
        <f>IF(Games[[#This Row],[Team]]="","",IF(Games[[#This Row],[Season]]&gt;=2021,17,16))</f>
        <v>16</v>
      </c>
      <c r="AG452">
        <f>IF(Games[[#This Row],[Team]]="","",KMax-(KMax-KFloor)*MIN(Games[[#This Row],[GamesPlayed]],Games[[#This Row],[SeasonLen]])/Games[[#This Row],[SeasonLen]])</f>
        <v>36.200000000000003</v>
      </c>
      <c r="AH452">
        <f>IF(Games[[#This Row],[Team]]="","",((ABS(Games[[#This Row],[MOV]])+3)^0.8)/(7.5+0.006*ABS(Games[[#This Row],[PreGmRate]]-Games[[#This Row],[OppPreGmRate]]))*IF(Games[[#This Row],[OT]]=1,0.7,1))</f>
        <v>0.3577324744959659</v>
      </c>
      <c r="AI45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2">
        <f>IF(Games[[#This Row],[Team]]="","",Games[[#This Row],[K]]*IF(Games[[#This Row],[DivG]]=1,DivMult,1)*IF(Games[[#This Row],[ConfG]]=1,ConfMult,1)*Games[[#This Row],[POMult]])</f>
        <v>36.200000000000003</v>
      </c>
      <c r="AK452">
        <f>IF(Games[[#This Row],[Team]]="","",(Games[[#This Row],[Keff]]*Games[[#This Row],[MOVMult]])*(Games[[#This Row],[Result]]-Games[[#This Row],[ExpectedWin]]))</f>
        <v>4.8283373952867938</v>
      </c>
      <c r="AL452">
        <f>IF(Games[[#This Row],[Team]]="","",Games[[#This Row],[PreGmRate]]+Games[[#This Row],[RatingChange]])</f>
        <v>1617.5044091658945</v>
      </c>
      <c r="AM452">
        <f>IF(Games[[#This Row],[Team]]="","",IF(Games[[#This Row],[Type]]="R",IF(Games[[#This Row],[Result]]&gt;0.5,1,0),0))</f>
        <v>1</v>
      </c>
      <c r="AN452">
        <f>IF(Games[[#This Row],[Team]]="","",IF(Games[[#This Row],[Type]]="R",IF(Games[[#This Row],[Result]]&lt;0.5,1,0),0))</f>
        <v>0</v>
      </c>
      <c r="AO452">
        <f>IF(Games[[#This Row],[Team]]="","",IF(Games[[#This Row],[Type]]="R",IF(Games[[#This Row],[Result]]=0.5,1,0),0))</f>
        <v>0</v>
      </c>
    </row>
    <row r="453" spans="1:41" x14ac:dyDescent="0.35">
      <c r="A453" s="8">
        <v>35420</v>
      </c>
      <c r="B453">
        <v>1996</v>
      </c>
      <c r="C453" t="s">
        <v>197</v>
      </c>
      <c r="D453" t="s">
        <v>199</v>
      </c>
      <c r="E453" t="s">
        <v>136</v>
      </c>
      <c r="F453" t="s">
        <v>132</v>
      </c>
      <c r="G453" t="s">
        <v>200</v>
      </c>
      <c r="H453">
        <v>22</v>
      </c>
      <c r="I453">
        <v>23</v>
      </c>
      <c r="J453">
        <v>0</v>
      </c>
      <c r="K45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5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5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5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53">
        <f>IF(Games[[#This Row],[Team]]="","",IF(Games[[#This Row],[Conf]]=Games[[#This Row],[OppConf]],1,0))</f>
        <v>0</v>
      </c>
      <c r="P453">
        <f>IF(Games[[#This Row],[Team]]="","",IF(AND(Games[[#This Row],[Conf]]=Games[[#This Row],[OppConf]],Games[[#This Row],[Div]]=Games[[#This Row],[OppDiv]]),1,0))</f>
        <v>0</v>
      </c>
      <c r="Q453">
        <f>IF(Games[[#This Row],[Team]]="","",_xlfn.MINIFS(Games[Date],Games[Season],Games[[#This Row],[Season]]))</f>
        <v>35309</v>
      </c>
      <c r="R453">
        <f>IF(Games[[#This Row],[Team]]="","",INT((Games[[#This Row],[Date]]-(Games[[#This Row],[SeasonStart]]-MOD(WEEKDAY(Games[[#This Row],[SeasonStart]],2)-2,7)))/7)+1)</f>
        <v>17</v>
      </c>
      <c r="S453">
        <f>IF(Games[[#This Row],[Team]]="","",COUNTIFS(Games[Team],Games[[#This Row],[Team]],Games[Season],Games[[#This Row],[Season]],Games[Week],"&lt;="&amp;Games[[#This Row],[Week]]))</f>
        <v>16</v>
      </c>
      <c r="T453">
        <f>IF(Games[[#This Row],[Team]]="","",_xlfn.MAXIFS(Games[Week],Games[Team],Games[[#This Row],[Team]],Games[Season],Games[[#This Row],[Season]],Games[Week],"&lt;"&amp;Games[[#This Row],[Week]]))</f>
        <v>16</v>
      </c>
      <c r="U453">
        <f>IF(Games[[#This Row],[Team]]="","",_xlfn.MAXIFS(Games[Week],Games[Team],Games[[#This Row],[Opponent]],Games[Season],Games[[#This Row],[Season]],Games[Week],"&lt;"&amp;Games[[#This Row],[Week]]))</f>
        <v>16</v>
      </c>
      <c r="V45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5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5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5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1450.3389441018603</v>
      </c>
      <c r="Z45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1612.6760717706077</v>
      </c>
      <c r="AA45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0.37284701716156421</v>
      </c>
      <c r="AB453">
        <f>IF(Games[[#This Row],[Team]]="","",Games[[#This Row],[PointsFor]]-Games[[#This Row],[PointsAgainst]])</f>
        <v>-1</v>
      </c>
      <c r="AC453">
        <f>IF(Games[[#This Row],[Team]]="","",IF(Games[[#This Row],[MOV]]&gt;0,1,IF(Games[[#This Row],[MOV]]=0,0.5,0)))</f>
        <v>0</v>
      </c>
      <c r="AD453">
        <f>IF(Games[[#This Row],[Team]]="","",--(OR(AND(Games[[#This Row],[ExpectedWin]]&gt;=0.5,Games[[#This Row],[Result]]=1),AND(Games[[#This Row],[ExpectedWin]]&lt;0.5,Games[[#This Row],[Result]]=0))))</f>
        <v>1</v>
      </c>
      <c r="AE453">
        <f>IF(Games[[#This Row],[Team]]="","",-(Games[[#This Row],[Result]]*LN(Games[[#This Row],[ExpectedWin]])+(1-Games[[#This Row],[Result]])*LN(1-Games[[#This Row],[ExpectedWin]])))</f>
        <v>0.46656477634252669</v>
      </c>
      <c r="AF453">
        <f>IF(Games[[#This Row],[Team]]="","",IF(Games[[#This Row],[Season]]&gt;=2021,17,16))</f>
        <v>16</v>
      </c>
      <c r="AG453">
        <f>IF(Games[[#This Row],[Team]]="","",KMax-(KMax-KFloor)*MIN(Games[[#This Row],[GamesPlayed]],Games[[#This Row],[SeasonLen]])/Games[[#This Row],[SeasonLen]])</f>
        <v>36.200000000000003</v>
      </c>
      <c r="AH453">
        <f>IF(Games[[#This Row],[Team]]="","",((ABS(Games[[#This Row],[MOV]])+3)^0.8)/(7.5+0.006*ABS(Games[[#This Row],[PreGmRate]]-Games[[#This Row],[OppPreGmRate]]))*IF(Games[[#This Row],[OT]]=1,0.7,1))</f>
        <v>0.3577324744959659</v>
      </c>
      <c r="AI45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3">
        <f>IF(Games[[#This Row],[Team]]="","",Games[[#This Row],[K]]*IF(Games[[#This Row],[DivG]]=1,DivMult,1)*IF(Games[[#This Row],[ConfG]]=1,ConfMult,1)*Games[[#This Row],[POMult]])</f>
        <v>36.200000000000003</v>
      </c>
      <c r="AK453">
        <f>IF(Games[[#This Row],[Team]]="","",(Games[[#This Row],[Keff]]*Games[[#This Row],[MOVMult]])*(Games[[#This Row],[Result]]-Games[[#This Row],[ExpectedWin]]))</f>
        <v>-4.8283373952867938</v>
      </c>
      <c r="AL453">
        <f>IF(Games[[#This Row],[Team]]="","",Games[[#This Row],[PreGmRate]]+Games[[#This Row],[RatingChange]])</f>
        <v>1445.5106067065735</v>
      </c>
      <c r="AM453">
        <f>IF(Games[[#This Row],[Team]]="","",IF(Games[[#This Row],[Type]]="R",IF(Games[[#This Row],[Result]]&gt;0.5,1,0),0))</f>
        <v>0</v>
      </c>
      <c r="AN453">
        <f>IF(Games[[#This Row],[Team]]="","",IF(Games[[#This Row],[Type]]="R",IF(Games[[#This Row],[Result]]&lt;0.5,1,0),0))</f>
        <v>1</v>
      </c>
      <c r="AO453">
        <f>IF(Games[[#This Row],[Team]]="","",IF(Games[[#This Row],[Type]]="R",IF(Games[[#This Row],[Result]]=0.5,1,0),0))</f>
        <v>0</v>
      </c>
    </row>
    <row r="454" spans="1:41" x14ac:dyDescent="0.35">
      <c r="A454" s="8">
        <v>35420</v>
      </c>
      <c r="B454">
        <v>1996</v>
      </c>
      <c r="C454" t="s">
        <v>197</v>
      </c>
      <c r="D454" t="s">
        <v>199</v>
      </c>
      <c r="E454" t="s">
        <v>150</v>
      </c>
      <c r="F454" t="s">
        <v>134</v>
      </c>
      <c r="G454" t="s">
        <v>200</v>
      </c>
      <c r="H454">
        <v>14</v>
      </c>
      <c r="I454">
        <v>13</v>
      </c>
      <c r="J454">
        <v>0</v>
      </c>
      <c r="K45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5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5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5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54">
        <f>IF(Games[[#This Row],[Team]]="","",IF(Games[[#This Row],[Conf]]=Games[[#This Row],[OppConf]],1,0))</f>
        <v>1</v>
      </c>
      <c r="P454">
        <f>IF(Games[[#This Row],[Team]]="","",IF(AND(Games[[#This Row],[Conf]]=Games[[#This Row],[OppConf]],Games[[#This Row],[Div]]=Games[[#This Row],[OppDiv]]),1,0))</f>
        <v>1</v>
      </c>
      <c r="Q454">
        <f>IF(Games[[#This Row],[Team]]="","",_xlfn.MINIFS(Games[Date],Games[Season],Games[[#This Row],[Season]]))</f>
        <v>35309</v>
      </c>
      <c r="R454">
        <f>IF(Games[[#This Row],[Team]]="","",INT((Games[[#This Row],[Date]]-(Games[[#This Row],[SeasonStart]]-MOD(WEEKDAY(Games[[#This Row],[SeasonStart]],2)-2,7)))/7)+1)</f>
        <v>17</v>
      </c>
      <c r="S454">
        <f>IF(Games[[#This Row],[Team]]="","",COUNTIFS(Games[Team],Games[[#This Row],[Team]],Games[Season],Games[[#This Row],[Season]],Games[Week],"&lt;="&amp;Games[[#This Row],[Week]]))</f>
        <v>16</v>
      </c>
      <c r="T454">
        <f>IF(Games[[#This Row],[Team]]="","",_xlfn.MAXIFS(Games[Week],Games[Team],Games[[#This Row],[Team]],Games[Season],Games[[#This Row],[Season]],Games[Week],"&lt;"&amp;Games[[#This Row],[Week]]))</f>
        <v>16</v>
      </c>
      <c r="U454">
        <f>IF(Games[[#This Row],[Team]]="","",_xlfn.MAXIFS(Games[Week],Games[Team],Games[[#This Row],[Opponent]],Games[Season],Games[[#This Row],[Season]],Games[Week],"&lt;"&amp;Games[[#This Row],[Week]]))</f>
        <v>16</v>
      </c>
      <c r="V45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5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5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5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1421.397513807952</v>
      </c>
      <c r="Z45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1318.6340313506862</v>
      </c>
      <c r="AA45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0.73224043165382158</v>
      </c>
      <c r="AB454">
        <f>IF(Games[[#This Row],[Team]]="","",Games[[#This Row],[PointsFor]]-Games[[#This Row],[PointsAgainst]])</f>
        <v>1</v>
      </c>
      <c r="AC454">
        <f>IF(Games[[#This Row],[Team]]="","",IF(Games[[#This Row],[MOV]]&gt;0,1,IF(Games[[#This Row],[MOV]]=0,0.5,0)))</f>
        <v>1</v>
      </c>
      <c r="AD454">
        <f>IF(Games[[#This Row],[Team]]="","",--(OR(AND(Games[[#This Row],[ExpectedWin]]&gt;=0.5,Games[[#This Row],[Result]]=1),AND(Games[[#This Row],[ExpectedWin]]&lt;0.5,Games[[#This Row],[Result]]=0))))</f>
        <v>1</v>
      </c>
      <c r="AE454">
        <f>IF(Games[[#This Row],[Team]]="","",-(Games[[#This Row],[Result]]*LN(Games[[#This Row],[ExpectedWin]])+(1-Games[[#This Row],[Result]])*LN(1-Games[[#This Row],[ExpectedWin]])))</f>
        <v>0.31164636040805177</v>
      </c>
      <c r="AF454">
        <f>IF(Games[[#This Row],[Team]]="","",IF(Games[[#This Row],[Season]]&gt;=2021,17,16))</f>
        <v>16</v>
      </c>
      <c r="AG454">
        <f>IF(Games[[#This Row],[Team]]="","",KMax-(KMax-KFloor)*MIN(Games[[#This Row],[GamesPlayed]],Games[[#This Row],[SeasonLen]])/Games[[#This Row],[SeasonLen]])</f>
        <v>36.200000000000003</v>
      </c>
      <c r="AH454">
        <f>IF(Games[[#This Row],[Team]]="","",((ABS(Games[[#This Row],[MOV]])+3)^0.8)/(7.5+0.006*ABS(Games[[#This Row],[PreGmRate]]-Games[[#This Row],[OppPreGmRate]]))*IF(Games[[#This Row],[OT]]=1,0.7,1))</f>
        <v>0.37348646829652027</v>
      </c>
      <c r="AI45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4">
        <f>IF(Games[[#This Row],[Team]]="","",Games[[#This Row],[K]]*IF(Games[[#This Row],[DivG]]=1,DivMult,1)*IF(Games[[#This Row],[ConfG]]=1,ConfMult,1)*Games[[#This Row],[POMult]])</f>
        <v>40.616400000000006</v>
      </c>
      <c r="AK454">
        <f>IF(Games[[#This Row],[Team]]="","",(Games[[#This Row],[Keff]]*Games[[#This Row],[MOVMult]])*(Games[[#This Row],[Result]]-Games[[#This Row],[ExpectedWin]]))</f>
        <v>4.0618258417278872</v>
      </c>
      <c r="AL454">
        <f>IF(Games[[#This Row],[Team]]="","",Games[[#This Row],[PreGmRate]]+Games[[#This Row],[RatingChange]])</f>
        <v>1425.4593396496798</v>
      </c>
      <c r="AM454">
        <f>IF(Games[[#This Row],[Team]]="","",IF(Games[[#This Row],[Type]]="R",IF(Games[[#This Row],[Result]]&gt;0.5,1,0),0))</f>
        <v>1</v>
      </c>
      <c r="AN454">
        <f>IF(Games[[#This Row],[Team]]="","",IF(Games[[#This Row],[Type]]="R",IF(Games[[#This Row],[Result]]&lt;0.5,1,0),0))</f>
        <v>0</v>
      </c>
      <c r="AO454">
        <f>IF(Games[[#This Row],[Team]]="","",IF(Games[[#This Row],[Type]]="R",IF(Games[[#This Row],[Result]]=0.5,1,0),0))</f>
        <v>0</v>
      </c>
    </row>
    <row r="455" spans="1:41" x14ac:dyDescent="0.35">
      <c r="A455" s="8">
        <v>35420</v>
      </c>
      <c r="B455">
        <v>1996</v>
      </c>
      <c r="C455" t="s">
        <v>197</v>
      </c>
      <c r="D455" t="s">
        <v>199</v>
      </c>
      <c r="E455" t="s">
        <v>134</v>
      </c>
      <c r="F455" t="s">
        <v>150</v>
      </c>
      <c r="G455" t="s">
        <v>201</v>
      </c>
      <c r="H455">
        <v>13</v>
      </c>
      <c r="I455">
        <v>14</v>
      </c>
      <c r="J455">
        <v>0</v>
      </c>
      <c r="K45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5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5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5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55">
        <f>IF(Games[[#This Row],[Team]]="","",IF(Games[[#This Row],[Conf]]=Games[[#This Row],[OppConf]],1,0))</f>
        <v>1</v>
      </c>
      <c r="P455">
        <f>IF(Games[[#This Row],[Team]]="","",IF(AND(Games[[#This Row],[Conf]]=Games[[#This Row],[OppConf]],Games[[#This Row],[Div]]=Games[[#This Row],[OppDiv]]),1,0))</f>
        <v>1</v>
      </c>
      <c r="Q455">
        <f>IF(Games[[#This Row],[Team]]="","",_xlfn.MINIFS(Games[Date],Games[Season],Games[[#This Row],[Season]]))</f>
        <v>35309</v>
      </c>
      <c r="R455">
        <f>IF(Games[[#This Row],[Team]]="","",INT((Games[[#This Row],[Date]]-(Games[[#This Row],[SeasonStart]]-MOD(WEEKDAY(Games[[#This Row],[SeasonStart]],2)-2,7)))/7)+1)</f>
        <v>17</v>
      </c>
      <c r="S455">
        <f>IF(Games[[#This Row],[Team]]="","",COUNTIFS(Games[Team],Games[[#This Row],[Team]],Games[Season],Games[[#This Row],[Season]],Games[Week],"&lt;="&amp;Games[[#This Row],[Week]]))</f>
        <v>16</v>
      </c>
      <c r="T455">
        <f>IF(Games[[#This Row],[Team]]="","",_xlfn.MAXIFS(Games[Week],Games[Team],Games[[#This Row],[Team]],Games[Season],Games[[#This Row],[Season]],Games[Week],"&lt;"&amp;Games[[#This Row],[Week]]))</f>
        <v>16</v>
      </c>
      <c r="U455">
        <f>IF(Games[[#This Row],[Team]]="","",_xlfn.MAXIFS(Games[Week],Games[Team],Games[[#This Row],[Opponent]],Games[Season],Games[[#This Row],[Season]],Games[Week],"&lt;"&amp;Games[[#This Row],[Week]]))</f>
        <v>16</v>
      </c>
      <c r="V45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5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5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5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1318.6340313506862</v>
      </c>
      <c r="Z45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1421.397513807952</v>
      </c>
      <c r="AA45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0.26775956834617837</v>
      </c>
      <c r="AB455">
        <f>IF(Games[[#This Row],[Team]]="","",Games[[#This Row],[PointsFor]]-Games[[#This Row],[PointsAgainst]])</f>
        <v>-1</v>
      </c>
      <c r="AC455">
        <f>IF(Games[[#This Row],[Team]]="","",IF(Games[[#This Row],[MOV]]&gt;0,1,IF(Games[[#This Row],[MOV]]=0,0.5,0)))</f>
        <v>0</v>
      </c>
      <c r="AD455">
        <f>IF(Games[[#This Row],[Team]]="","",--(OR(AND(Games[[#This Row],[ExpectedWin]]&gt;=0.5,Games[[#This Row],[Result]]=1),AND(Games[[#This Row],[ExpectedWin]]&lt;0.5,Games[[#This Row],[Result]]=0))))</f>
        <v>1</v>
      </c>
      <c r="AE455">
        <f>IF(Games[[#This Row],[Team]]="","",-(Games[[#This Row],[Result]]*LN(Games[[#This Row],[ExpectedWin]])+(1-Games[[#This Row],[Result]])*LN(1-Games[[#This Row],[ExpectedWin]])))</f>
        <v>0.31164636040805177</v>
      </c>
      <c r="AF455">
        <f>IF(Games[[#This Row],[Team]]="","",IF(Games[[#This Row],[Season]]&gt;=2021,17,16))</f>
        <v>16</v>
      </c>
      <c r="AG455">
        <f>IF(Games[[#This Row],[Team]]="","",KMax-(KMax-KFloor)*MIN(Games[[#This Row],[GamesPlayed]],Games[[#This Row],[SeasonLen]])/Games[[#This Row],[SeasonLen]])</f>
        <v>36.200000000000003</v>
      </c>
      <c r="AH455">
        <f>IF(Games[[#This Row],[Team]]="","",((ABS(Games[[#This Row],[MOV]])+3)^0.8)/(7.5+0.006*ABS(Games[[#This Row],[PreGmRate]]-Games[[#This Row],[OppPreGmRate]]))*IF(Games[[#This Row],[OT]]=1,0.7,1))</f>
        <v>0.37348646829652027</v>
      </c>
      <c r="AI45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5">
        <f>IF(Games[[#This Row],[Team]]="","",Games[[#This Row],[K]]*IF(Games[[#This Row],[DivG]]=1,DivMult,1)*IF(Games[[#This Row],[ConfG]]=1,ConfMult,1)*Games[[#This Row],[POMult]])</f>
        <v>40.616400000000006</v>
      </c>
      <c r="AK455">
        <f>IF(Games[[#This Row],[Team]]="","",(Games[[#This Row],[Keff]]*Games[[#This Row],[MOVMult]])*(Games[[#This Row],[Result]]-Games[[#This Row],[ExpectedWin]]))</f>
        <v>-4.0618258417278863</v>
      </c>
      <c r="AL455">
        <f>IF(Games[[#This Row],[Team]]="","",Games[[#This Row],[PreGmRate]]+Games[[#This Row],[RatingChange]])</f>
        <v>1314.5722055089584</v>
      </c>
      <c r="AM455">
        <f>IF(Games[[#This Row],[Team]]="","",IF(Games[[#This Row],[Type]]="R",IF(Games[[#This Row],[Result]]&gt;0.5,1,0),0))</f>
        <v>0</v>
      </c>
      <c r="AN455">
        <f>IF(Games[[#This Row],[Team]]="","",IF(Games[[#This Row],[Type]]="R",IF(Games[[#This Row],[Result]]&lt;0.5,1,0),0))</f>
        <v>1</v>
      </c>
      <c r="AO455">
        <f>IF(Games[[#This Row],[Team]]="","",IF(Games[[#This Row],[Type]]="R",IF(Games[[#This Row],[Result]]=0.5,1,0),0))</f>
        <v>0</v>
      </c>
    </row>
    <row r="456" spans="1:41" x14ac:dyDescent="0.35">
      <c r="A456" s="8">
        <v>35421</v>
      </c>
      <c r="B456">
        <v>1996</v>
      </c>
      <c r="C456" t="s">
        <v>197</v>
      </c>
      <c r="D456" t="s">
        <v>199</v>
      </c>
      <c r="E456" t="s">
        <v>124</v>
      </c>
      <c r="F456" t="s">
        <v>98</v>
      </c>
      <c r="G456" t="s">
        <v>200</v>
      </c>
      <c r="H456">
        <v>19</v>
      </c>
      <c r="I456">
        <v>17</v>
      </c>
      <c r="J456">
        <v>0</v>
      </c>
      <c r="K45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5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5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5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56">
        <f>IF(Games[[#This Row],[Team]]="","",IF(Games[[#This Row],[Conf]]=Games[[#This Row],[OppConf]],1,0))</f>
        <v>0</v>
      </c>
      <c r="P456">
        <f>IF(Games[[#This Row],[Team]]="","",IF(AND(Games[[#This Row],[Conf]]=Games[[#This Row],[OppConf]],Games[[#This Row],[Div]]=Games[[#This Row],[OppDiv]]),1,0))</f>
        <v>0</v>
      </c>
      <c r="Q456">
        <f>IF(Games[[#This Row],[Team]]="","",_xlfn.MINIFS(Games[Date],Games[Season],Games[[#This Row],[Season]]))</f>
        <v>35309</v>
      </c>
      <c r="R456">
        <f>IF(Games[[#This Row],[Team]]="","",INT((Games[[#This Row],[Date]]-(Games[[#This Row],[SeasonStart]]-MOD(WEEKDAY(Games[[#This Row],[SeasonStart]],2)-2,7)))/7)+1)</f>
        <v>17</v>
      </c>
      <c r="S456">
        <f>IF(Games[[#This Row],[Team]]="","",COUNTIFS(Games[Team],Games[[#This Row],[Team]],Games[Season],Games[[#This Row],[Season]],Games[Week],"&lt;="&amp;Games[[#This Row],[Week]]))</f>
        <v>16</v>
      </c>
      <c r="T456">
        <f>IF(Games[[#This Row],[Team]]="","",_xlfn.MAXIFS(Games[Week],Games[Team],Games[[#This Row],[Team]],Games[Season],Games[[#This Row],[Season]],Games[Week],"&lt;"&amp;Games[[#This Row],[Week]]))</f>
        <v>16</v>
      </c>
      <c r="U456">
        <f>IF(Games[[#This Row],[Team]]="","",_xlfn.MAXIFS(Games[Week],Games[Team],Games[[#This Row],[Opponent]],Games[Season],Games[[#This Row],[Season]],Games[Week],"&lt;"&amp;Games[[#This Row],[Week]]))</f>
        <v>16</v>
      </c>
      <c r="V45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5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5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5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1496.6571967347372</v>
      </c>
      <c r="Z45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1333.4824793393905</v>
      </c>
      <c r="AA45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0.79474602710015374</v>
      </c>
      <c r="AB456">
        <f>IF(Games[[#This Row],[Team]]="","",Games[[#This Row],[PointsFor]]-Games[[#This Row],[PointsAgainst]])</f>
        <v>2</v>
      </c>
      <c r="AC456">
        <f>IF(Games[[#This Row],[Team]]="","",IF(Games[[#This Row],[MOV]]&gt;0,1,IF(Games[[#This Row],[MOV]]=0,0.5,0)))</f>
        <v>1</v>
      </c>
      <c r="AD456">
        <f>IF(Games[[#This Row],[Team]]="","",--(OR(AND(Games[[#This Row],[ExpectedWin]]&gt;=0.5,Games[[#This Row],[Result]]=1),AND(Games[[#This Row],[ExpectedWin]]&lt;0.5,Games[[#This Row],[Result]]=0))))</f>
        <v>1</v>
      </c>
      <c r="AE456">
        <f>IF(Games[[#This Row],[Team]]="","",-(Games[[#This Row],[Result]]*LN(Games[[#This Row],[ExpectedWin]])+(1-Games[[#This Row],[Result]])*LN(1-Games[[#This Row],[ExpectedWin]])))</f>
        <v>0.2297326781340075</v>
      </c>
      <c r="AF456">
        <f>IF(Games[[#This Row],[Team]]="","",IF(Games[[#This Row],[Season]]&gt;=2021,17,16))</f>
        <v>16</v>
      </c>
      <c r="AG456">
        <f>IF(Games[[#This Row],[Team]]="","",KMax-(KMax-KFloor)*MIN(Games[[#This Row],[GamesPlayed]],Games[[#This Row],[SeasonLen]])/Games[[#This Row],[SeasonLen]])</f>
        <v>36.200000000000003</v>
      </c>
      <c r="AH456">
        <f>IF(Games[[#This Row],[Team]]="","",((ABS(Games[[#This Row],[MOV]])+3)^0.8)/(7.5+0.006*ABS(Games[[#This Row],[PreGmRate]]-Games[[#This Row],[OppPreGmRate]]))*IF(Games[[#This Row],[OT]]=1,0.7,1))</f>
        <v>0.42739446554631316</v>
      </c>
      <c r="AI45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6">
        <f>IF(Games[[#This Row],[Team]]="","",Games[[#This Row],[K]]*IF(Games[[#This Row],[DivG]]=1,DivMult,1)*IF(Games[[#This Row],[ConfG]]=1,ConfMult,1)*Games[[#This Row],[POMult]])</f>
        <v>36.200000000000003</v>
      </c>
      <c r="AK456">
        <f>IF(Games[[#This Row],[Team]]="","",(Games[[#This Row],[Keff]]*Games[[#This Row],[MOVMult]])*(Games[[#This Row],[Result]]-Games[[#This Row],[ExpectedWin]]))</f>
        <v>3.1756237161660983</v>
      </c>
      <c r="AL456">
        <f>IF(Games[[#This Row],[Team]]="","",Games[[#This Row],[PreGmRate]]+Games[[#This Row],[RatingChange]])</f>
        <v>1499.8328204509032</v>
      </c>
      <c r="AM456">
        <f>IF(Games[[#This Row],[Team]]="","",IF(Games[[#This Row],[Type]]="R",IF(Games[[#This Row],[Result]]&gt;0.5,1,0),0))</f>
        <v>1</v>
      </c>
      <c r="AN456">
        <f>IF(Games[[#This Row],[Team]]="","",IF(Games[[#This Row],[Type]]="R",IF(Games[[#This Row],[Result]]&lt;0.5,1,0),0))</f>
        <v>0</v>
      </c>
      <c r="AO456">
        <f>IF(Games[[#This Row],[Team]]="","",IF(Games[[#This Row],[Type]]="R",IF(Games[[#This Row],[Result]]=0.5,1,0),0))</f>
        <v>0</v>
      </c>
    </row>
    <row r="457" spans="1:41" x14ac:dyDescent="0.35">
      <c r="A457" s="8">
        <v>35421</v>
      </c>
      <c r="B457">
        <v>1996</v>
      </c>
      <c r="C457" t="s">
        <v>197</v>
      </c>
      <c r="D457" t="s">
        <v>199</v>
      </c>
      <c r="E457" t="s">
        <v>98</v>
      </c>
      <c r="F457" t="s">
        <v>124</v>
      </c>
      <c r="G457" t="s">
        <v>201</v>
      </c>
      <c r="H457">
        <v>17</v>
      </c>
      <c r="I457">
        <v>19</v>
      </c>
      <c r="J457">
        <v>0</v>
      </c>
      <c r="K45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5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5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5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57">
        <f>IF(Games[[#This Row],[Team]]="","",IF(Games[[#This Row],[Conf]]=Games[[#This Row],[OppConf]],1,0))</f>
        <v>0</v>
      </c>
      <c r="P457">
        <f>IF(Games[[#This Row],[Team]]="","",IF(AND(Games[[#This Row],[Conf]]=Games[[#This Row],[OppConf]],Games[[#This Row],[Div]]=Games[[#This Row],[OppDiv]]),1,0))</f>
        <v>0</v>
      </c>
      <c r="Q457">
        <f>IF(Games[[#This Row],[Team]]="","",_xlfn.MINIFS(Games[Date],Games[Season],Games[[#This Row],[Season]]))</f>
        <v>35309</v>
      </c>
      <c r="R457">
        <f>IF(Games[[#This Row],[Team]]="","",INT((Games[[#This Row],[Date]]-(Games[[#This Row],[SeasonStart]]-MOD(WEEKDAY(Games[[#This Row],[SeasonStart]],2)-2,7)))/7)+1)</f>
        <v>17</v>
      </c>
      <c r="S457">
        <f>IF(Games[[#This Row],[Team]]="","",COUNTIFS(Games[Team],Games[[#This Row],[Team]],Games[Season],Games[[#This Row],[Season]],Games[Week],"&lt;="&amp;Games[[#This Row],[Week]]))</f>
        <v>16</v>
      </c>
      <c r="T457">
        <f>IF(Games[[#This Row],[Team]]="","",_xlfn.MAXIFS(Games[Week],Games[Team],Games[[#This Row],[Team]],Games[Season],Games[[#This Row],[Season]],Games[Week],"&lt;"&amp;Games[[#This Row],[Week]]))</f>
        <v>16</v>
      </c>
      <c r="U457">
        <f>IF(Games[[#This Row],[Team]]="","",_xlfn.MAXIFS(Games[Week],Games[Team],Games[[#This Row],[Opponent]],Games[Season],Games[[#This Row],[Season]],Games[Week],"&lt;"&amp;Games[[#This Row],[Week]]))</f>
        <v>16</v>
      </c>
      <c r="V45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5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5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5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1333.4824793393905</v>
      </c>
      <c r="Z45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1496.6571967347372</v>
      </c>
      <c r="AA45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0.20525397289984634</v>
      </c>
      <c r="AB457">
        <f>IF(Games[[#This Row],[Team]]="","",Games[[#This Row],[PointsFor]]-Games[[#This Row],[PointsAgainst]])</f>
        <v>-2</v>
      </c>
      <c r="AC457">
        <f>IF(Games[[#This Row],[Team]]="","",IF(Games[[#This Row],[MOV]]&gt;0,1,IF(Games[[#This Row],[MOV]]=0,0.5,0)))</f>
        <v>0</v>
      </c>
      <c r="AD457">
        <f>IF(Games[[#This Row],[Team]]="","",--(OR(AND(Games[[#This Row],[ExpectedWin]]&gt;=0.5,Games[[#This Row],[Result]]=1),AND(Games[[#This Row],[ExpectedWin]]&lt;0.5,Games[[#This Row],[Result]]=0))))</f>
        <v>1</v>
      </c>
      <c r="AE457">
        <f>IF(Games[[#This Row],[Team]]="","",-(Games[[#This Row],[Result]]*LN(Games[[#This Row],[ExpectedWin]])+(1-Games[[#This Row],[Result]])*LN(1-Games[[#This Row],[ExpectedWin]])))</f>
        <v>0.22973267813400763</v>
      </c>
      <c r="AF457">
        <f>IF(Games[[#This Row],[Team]]="","",IF(Games[[#This Row],[Season]]&gt;=2021,17,16))</f>
        <v>16</v>
      </c>
      <c r="AG457">
        <f>IF(Games[[#This Row],[Team]]="","",KMax-(KMax-KFloor)*MIN(Games[[#This Row],[GamesPlayed]],Games[[#This Row],[SeasonLen]])/Games[[#This Row],[SeasonLen]])</f>
        <v>36.200000000000003</v>
      </c>
      <c r="AH457">
        <f>IF(Games[[#This Row],[Team]]="","",((ABS(Games[[#This Row],[MOV]])+3)^0.8)/(7.5+0.006*ABS(Games[[#This Row],[PreGmRate]]-Games[[#This Row],[OppPreGmRate]]))*IF(Games[[#This Row],[OT]]=1,0.7,1))</f>
        <v>0.42739446554631316</v>
      </c>
      <c r="AI45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7">
        <f>IF(Games[[#This Row],[Team]]="","",Games[[#This Row],[K]]*IF(Games[[#This Row],[DivG]]=1,DivMult,1)*IF(Games[[#This Row],[ConfG]]=1,ConfMult,1)*Games[[#This Row],[POMult]])</f>
        <v>36.200000000000003</v>
      </c>
      <c r="AK457">
        <f>IF(Games[[#This Row],[Team]]="","",(Games[[#This Row],[Keff]]*Games[[#This Row],[MOVMult]])*(Games[[#This Row],[Result]]-Games[[#This Row],[ExpectedWin]]))</f>
        <v>-3.1756237161660996</v>
      </c>
      <c r="AL457">
        <f>IF(Games[[#This Row],[Team]]="","",Games[[#This Row],[PreGmRate]]+Games[[#This Row],[RatingChange]])</f>
        <v>1330.3068556232245</v>
      </c>
      <c r="AM457">
        <f>IF(Games[[#This Row],[Team]]="","",IF(Games[[#This Row],[Type]]="R",IF(Games[[#This Row],[Result]]&gt;0.5,1,0),0))</f>
        <v>0</v>
      </c>
      <c r="AN457">
        <f>IF(Games[[#This Row],[Team]]="","",IF(Games[[#This Row],[Type]]="R",IF(Games[[#This Row],[Result]]&lt;0.5,1,0),0))</f>
        <v>1</v>
      </c>
      <c r="AO457">
        <f>IF(Games[[#This Row],[Team]]="","",IF(Games[[#This Row],[Type]]="R",IF(Games[[#This Row],[Result]]=0.5,1,0),0))</f>
        <v>0</v>
      </c>
    </row>
    <row r="458" spans="1:41" x14ac:dyDescent="0.35">
      <c r="A458" s="8">
        <v>35421</v>
      </c>
      <c r="B458">
        <v>1996</v>
      </c>
      <c r="C458" t="s">
        <v>197</v>
      </c>
      <c r="D458" t="s">
        <v>199</v>
      </c>
      <c r="E458" t="s">
        <v>106</v>
      </c>
      <c r="F458" t="s">
        <v>126</v>
      </c>
      <c r="G458" t="s">
        <v>200</v>
      </c>
      <c r="H458">
        <v>20</v>
      </c>
      <c r="I458">
        <v>9</v>
      </c>
      <c r="J458">
        <v>0</v>
      </c>
      <c r="K45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5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5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5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58">
        <f>IF(Games[[#This Row],[Team]]="","",IF(Games[[#This Row],[Conf]]=Games[[#This Row],[OppConf]],1,0))</f>
        <v>1</v>
      </c>
      <c r="P458">
        <f>IF(Games[[#This Row],[Team]]="","",IF(AND(Games[[#This Row],[Conf]]=Games[[#This Row],[OppConf]],Games[[#This Row],[Div]]=Games[[#This Row],[OppDiv]]),1,0))</f>
        <v>0</v>
      </c>
      <c r="Q458">
        <f>IF(Games[[#This Row],[Team]]="","",_xlfn.MINIFS(Games[Date],Games[Season],Games[[#This Row],[Season]]))</f>
        <v>35309</v>
      </c>
      <c r="R458">
        <f>IF(Games[[#This Row],[Team]]="","",INT((Games[[#This Row],[Date]]-(Games[[#This Row],[SeasonStart]]-MOD(WEEKDAY(Games[[#This Row],[SeasonStart]],2)-2,7)))/7)+1)</f>
        <v>17</v>
      </c>
      <c r="S458">
        <f>IF(Games[[#This Row],[Team]]="","",COUNTIFS(Games[Team],Games[[#This Row],[Team]],Games[Season],Games[[#This Row],[Season]],Games[Week],"&lt;="&amp;Games[[#This Row],[Week]]))</f>
        <v>16</v>
      </c>
      <c r="T458">
        <f>IF(Games[[#This Row],[Team]]="","",_xlfn.MAXIFS(Games[Week],Games[Team],Games[[#This Row],[Team]],Games[Season],Games[[#This Row],[Season]],Games[Week],"&lt;"&amp;Games[[#This Row],[Week]]))</f>
        <v>16</v>
      </c>
      <c r="U458">
        <f>IF(Games[[#This Row],[Team]]="","",_xlfn.MAXIFS(Games[Week],Games[Team],Games[[#This Row],[Opponent]],Games[Season],Games[[#This Row],[Season]],Games[Week],"&lt;"&amp;Games[[#This Row],[Week]]))</f>
        <v>16</v>
      </c>
      <c r="V45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5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5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5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1538.883776043609</v>
      </c>
      <c r="Z45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1509.4317494012573</v>
      </c>
      <c r="AA45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0.63401169797162416</v>
      </c>
      <c r="AB458">
        <f>IF(Games[[#This Row],[Team]]="","",Games[[#This Row],[PointsFor]]-Games[[#This Row],[PointsAgainst]])</f>
        <v>11</v>
      </c>
      <c r="AC458">
        <f>IF(Games[[#This Row],[Team]]="","",IF(Games[[#This Row],[MOV]]&gt;0,1,IF(Games[[#This Row],[MOV]]=0,0.5,0)))</f>
        <v>1</v>
      </c>
      <c r="AD458">
        <f>IF(Games[[#This Row],[Team]]="","",--(OR(AND(Games[[#This Row],[ExpectedWin]]&gt;=0.5,Games[[#This Row],[Result]]=1),AND(Games[[#This Row],[ExpectedWin]]&lt;0.5,Games[[#This Row],[Result]]=0))))</f>
        <v>1</v>
      </c>
      <c r="AE458">
        <f>IF(Games[[#This Row],[Team]]="","",-(Games[[#This Row],[Result]]*LN(Games[[#This Row],[ExpectedWin]])+(1-Games[[#This Row],[Result]])*LN(1-Games[[#This Row],[ExpectedWin]])))</f>
        <v>0.45568787365578572</v>
      </c>
      <c r="AF458">
        <f>IF(Games[[#This Row],[Team]]="","",IF(Games[[#This Row],[Season]]&gt;=2021,17,16))</f>
        <v>16</v>
      </c>
      <c r="AG458">
        <f>IF(Games[[#This Row],[Team]]="","",KMax-(KMax-KFloor)*MIN(Games[[#This Row],[GamesPlayed]],Games[[#This Row],[SeasonLen]])/Games[[#This Row],[SeasonLen]])</f>
        <v>36.200000000000003</v>
      </c>
      <c r="AH458">
        <f>IF(Games[[#This Row],[Team]]="","",((ABS(Games[[#This Row],[MOV]])+3)^0.8)/(7.5+0.006*ABS(Games[[#This Row],[PreGmRate]]-Games[[#This Row],[OppPreGmRate]]))*IF(Games[[#This Row],[OT]]=1,0.7,1))</f>
        <v>1.0757891791459855</v>
      </c>
      <c r="AI45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8">
        <f>IF(Games[[#This Row],[Team]]="","",Games[[#This Row],[K]]*IF(Games[[#This Row],[DivG]]=1,DivMult,1)*IF(Games[[#This Row],[ConfG]]=1,ConfMult,1)*Games[[#This Row],[POMult]])</f>
        <v>36.924000000000007</v>
      </c>
      <c r="AK458">
        <f>IF(Games[[#This Row],[Team]]="","",(Games[[#This Row],[Keff]]*Games[[#This Row],[MOVMult]])*(Games[[#This Row],[Result]]-Games[[#This Row],[ExpectedWin]]))</f>
        <v>14.537948240215936</v>
      </c>
      <c r="AL458">
        <f>IF(Games[[#This Row],[Team]]="","",Games[[#This Row],[PreGmRate]]+Games[[#This Row],[RatingChange]])</f>
        <v>1553.4217242838249</v>
      </c>
      <c r="AM458">
        <f>IF(Games[[#This Row],[Team]]="","",IF(Games[[#This Row],[Type]]="R",IF(Games[[#This Row],[Result]]&gt;0.5,1,0),0))</f>
        <v>1</v>
      </c>
      <c r="AN458">
        <f>IF(Games[[#This Row],[Team]]="","",IF(Games[[#This Row],[Type]]="R",IF(Games[[#This Row],[Result]]&lt;0.5,1,0),0))</f>
        <v>0</v>
      </c>
      <c r="AO458">
        <f>IF(Games[[#This Row],[Team]]="","",IF(Games[[#This Row],[Type]]="R",IF(Games[[#This Row],[Result]]=0.5,1,0),0))</f>
        <v>0</v>
      </c>
    </row>
    <row r="459" spans="1:41" x14ac:dyDescent="0.35">
      <c r="A459" s="8">
        <v>35421</v>
      </c>
      <c r="B459">
        <v>1996</v>
      </c>
      <c r="C459" t="s">
        <v>197</v>
      </c>
      <c r="D459" t="s">
        <v>199</v>
      </c>
      <c r="E459" t="s">
        <v>126</v>
      </c>
      <c r="F459" t="s">
        <v>106</v>
      </c>
      <c r="G459" t="s">
        <v>201</v>
      </c>
      <c r="H459">
        <v>9</v>
      </c>
      <c r="I459">
        <v>20</v>
      </c>
      <c r="J459">
        <v>0</v>
      </c>
      <c r="K45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5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5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5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59">
        <f>IF(Games[[#This Row],[Team]]="","",IF(Games[[#This Row],[Conf]]=Games[[#This Row],[OppConf]],1,0))</f>
        <v>1</v>
      </c>
      <c r="P459">
        <f>IF(Games[[#This Row],[Team]]="","",IF(AND(Games[[#This Row],[Conf]]=Games[[#This Row],[OppConf]],Games[[#This Row],[Div]]=Games[[#This Row],[OppDiv]]),1,0))</f>
        <v>0</v>
      </c>
      <c r="Q459">
        <f>IF(Games[[#This Row],[Team]]="","",_xlfn.MINIFS(Games[Date],Games[Season],Games[[#This Row],[Season]]))</f>
        <v>35309</v>
      </c>
      <c r="R459">
        <f>IF(Games[[#This Row],[Team]]="","",INT((Games[[#This Row],[Date]]-(Games[[#This Row],[SeasonStart]]-MOD(WEEKDAY(Games[[#This Row],[SeasonStart]],2)-2,7)))/7)+1)</f>
        <v>17</v>
      </c>
      <c r="S459">
        <f>IF(Games[[#This Row],[Team]]="","",COUNTIFS(Games[Team],Games[[#This Row],[Team]],Games[Season],Games[[#This Row],[Season]],Games[Week],"&lt;="&amp;Games[[#This Row],[Week]]))</f>
        <v>16</v>
      </c>
      <c r="T459">
        <f>IF(Games[[#This Row],[Team]]="","",_xlfn.MAXIFS(Games[Week],Games[Team],Games[[#This Row],[Team]],Games[Season],Games[[#This Row],[Season]],Games[Week],"&lt;"&amp;Games[[#This Row],[Week]]))</f>
        <v>16</v>
      </c>
      <c r="U459">
        <f>IF(Games[[#This Row],[Team]]="","",_xlfn.MAXIFS(Games[Week],Games[Team],Games[[#This Row],[Opponent]],Games[Season],Games[[#This Row],[Season]],Games[Week],"&lt;"&amp;Games[[#This Row],[Week]]))</f>
        <v>16</v>
      </c>
      <c r="V45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5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5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5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1509.4317494012573</v>
      </c>
      <c r="Z45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1538.883776043609</v>
      </c>
      <c r="AA45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0.36598830202837601</v>
      </c>
      <c r="AB459">
        <f>IF(Games[[#This Row],[Team]]="","",Games[[#This Row],[PointsFor]]-Games[[#This Row],[PointsAgainst]])</f>
        <v>-11</v>
      </c>
      <c r="AC459">
        <f>IF(Games[[#This Row],[Team]]="","",IF(Games[[#This Row],[MOV]]&gt;0,1,IF(Games[[#This Row],[MOV]]=0,0.5,0)))</f>
        <v>0</v>
      </c>
      <c r="AD459">
        <f>IF(Games[[#This Row],[Team]]="","",--(OR(AND(Games[[#This Row],[ExpectedWin]]&gt;=0.5,Games[[#This Row],[Result]]=1),AND(Games[[#This Row],[ExpectedWin]]&lt;0.5,Games[[#This Row],[Result]]=0))))</f>
        <v>1</v>
      </c>
      <c r="AE459">
        <f>IF(Games[[#This Row],[Team]]="","",-(Games[[#This Row],[Result]]*LN(Games[[#This Row],[ExpectedWin]])+(1-Games[[#This Row],[Result]])*LN(1-Games[[#This Row],[ExpectedWin]])))</f>
        <v>0.45568787365578611</v>
      </c>
      <c r="AF459">
        <f>IF(Games[[#This Row],[Team]]="","",IF(Games[[#This Row],[Season]]&gt;=2021,17,16))</f>
        <v>16</v>
      </c>
      <c r="AG459">
        <f>IF(Games[[#This Row],[Team]]="","",KMax-(KMax-KFloor)*MIN(Games[[#This Row],[GamesPlayed]],Games[[#This Row],[SeasonLen]])/Games[[#This Row],[SeasonLen]])</f>
        <v>36.200000000000003</v>
      </c>
      <c r="AH459">
        <f>IF(Games[[#This Row],[Team]]="","",((ABS(Games[[#This Row],[MOV]])+3)^0.8)/(7.5+0.006*ABS(Games[[#This Row],[PreGmRate]]-Games[[#This Row],[OppPreGmRate]]))*IF(Games[[#This Row],[OT]]=1,0.7,1))</f>
        <v>1.0757891791459855</v>
      </c>
      <c r="AI45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9">
        <f>IF(Games[[#This Row],[Team]]="","",Games[[#This Row],[K]]*IF(Games[[#This Row],[DivG]]=1,DivMult,1)*IF(Games[[#This Row],[ConfG]]=1,ConfMult,1)*Games[[#This Row],[POMult]])</f>
        <v>36.924000000000007</v>
      </c>
      <c r="AK459">
        <f>IF(Games[[#This Row],[Team]]="","",(Games[[#This Row],[Keff]]*Games[[#This Row],[MOVMult]])*(Games[[#This Row],[Result]]-Games[[#This Row],[ExpectedWin]]))</f>
        <v>-14.537948240215943</v>
      </c>
      <c r="AL459">
        <f>IF(Games[[#This Row],[Team]]="","",Games[[#This Row],[PreGmRate]]+Games[[#This Row],[RatingChange]])</f>
        <v>1494.8938011610414</v>
      </c>
      <c r="AM459">
        <f>IF(Games[[#This Row],[Team]]="","",IF(Games[[#This Row],[Type]]="R",IF(Games[[#This Row],[Result]]&gt;0.5,1,0),0))</f>
        <v>0</v>
      </c>
      <c r="AN459">
        <f>IF(Games[[#This Row],[Team]]="","",IF(Games[[#This Row],[Type]]="R",IF(Games[[#This Row],[Result]]&lt;0.5,1,0),0))</f>
        <v>1</v>
      </c>
      <c r="AO459">
        <f>IF(Games[[#This Row],[Team]]="","",IF(Games[[#This Row],[Type]]="R",IF(Games[[#This Row],[Result]]=0.5,1,0),0))</f>
        <v>0</v>
      </c>
    </row>
    <row r="460" spans="1:41" x14ac:dyDescent="0.35">
      <c r="A460" s="8">
        <v>35421</v>
      </c>
      <c r="B460">
        <v>1996</v>
      </c>
      <c r="C460" t="s">
        <v>197</v>
      </c>
      <c r="D460" t="s">
        <v>199</v>
      </c>
      <c r="E460" t="s">
        <v>108</v>
      </c>
      <c r="F460" t="s">
        <v>143</v>
      </c>
      <c r="G460" t="s">
        <v>200</v>
      </c>
      <c r="H460">
        <v>18</v>
      </c>
      <c r="I460">
        <v>14</v>
      </c>
      <c r="J460">
        <v>0</v>
      </c>
      <c r="K46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6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6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6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60">
        <f>IF(Games[[#This Row],[Team]]="","",IF(Games[[#This Row],[Conf]]=Games[[#This Row],[OppConf]],1,0))</f>
        <v>0</v>
      </c>
      <c r="P460">
        <f>IF(Games[[#This Row],[Team]]="","",IF(AND(Games[[#This Row],[Conf]]=Games[[#This Row],[OppConf]],Games[[#This Row],[Div]]=Games[[#This Row],[OppDiv]]),1,0))</f>
        <v>0</v>
      </c>
      <c r="Q460">
        <f>IF(Games[[#This Row],[Team]]="","",_xlfn.MINIFS(Games[Date],Games[Season],Games[[#This Row],[Season]]))</f>
        <v>35309</v>
      </c>
      <c r="R460">
        <f>IF(Games[[#This Row],[Team]]="","",INT((Games[[#This Row],[Date]]-(Games[[#This Row],[SeasonStart]]-MOD(WEEKDAY(Games[[#This Row],[SeasonStart]],2)-2,7)))/7)+1)</f>
        <v>17</v>
      </c>
      <c r="S460">
        <f>IF(Games[[#This Row],[Team]]="","",COUNTIFS(Games[Team],Games[[#This Row],[Team]],Games[Season],Games[[#This Row],[Season]],Games[Week],"&lt;="&amp;Games[[#This Row],[Week]]))</f>
        <v>16</v>
      </c>
      <c r="T460">
        <f>IF(Games[[#This Row],[Team]]="","",_xlfn.MAXIFS(Games[Week],Games[Team],Games[[#This Row],[Team]],Games[Season],Games[[#This Row],[Season]],Games[Week],"&lt;"&amp;Games[[#This Row],[Week]]))</f>
        <v>16</v>
      </c>
      <c r="U460">
        <f>IF(Games[[#This Row],[Team]]="","",_xlfn.MAXIFS(Games[Week],Games[Team],Games[[#This Row],[Opponent]],Games[Season],Games[[#This Row],[Season]],Games[Week],"&lt;"&amp;Games[[#This Row],[Week]]))</f>
        <v>16</v>
      </c>
      <c r="V46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6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6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6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1651.4585879058334</v>
      </c>
      <c r="Z46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1567.5213648059587</v>
      </c>
      <c r="AA46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0.7104656821047387</v>
      </c>
      <c r="AB460">
        <f>IF(Games[[#This Row],[Team]]="","",Games[[#This Row],[PointsFor]]-Games[[#This Row],[PointsAgainst]])</f>
        <v>4</v>
      </c>
      <c r="AC460">
        <f>IF(Games[[#This Row],[Team]]="","",IF(Games[[#This Row],[MOV]]&gt;0,1,IF(Games[[#This Row],[MOV]]=0,0.5,0)))</f>
        <v>1</v>
      </c>
      <c r="AD460">
        <f>IF(Games[[#This Row],[Team]]="","",--(OR(AND(Games[[#This Row],[ExpectedWin]]&gt;=0.5,Games[[#This Row],[Result]]=1),AND(Games[[#This Row],[ExpectedWin]]&lt;0.5,Games[[#This Row],[Result]]=0))))</f>
        <v>1</v>
      </c>
      <c r="AE460">
        <f>IF(Games[[#This Row],[Team]]="","",-(Games[[#This Row],[Result]]*LN(Games[[#This Row],[ExpectedWin]])+(1-Games[[#This Row],[Result]])*LN(1-Games[[#This Row],[ExpectedWin]])))</f>
        <v>0.34183463366044009</v>
      </c>
      <c r="AF460">
        <f>IF(Games[[#This Row],[Team]]="","",IF(Games[[#This Row],[Season]]&gt;=2021,17,16))</f>
        <v>16</v>
      </c>
      <c r="AG460">
        <f>IF(Games[[#This Row],[Team]]="","",KMax-(KMax-KFloor)*MIN(Games[[#This Row],[GamesPlayed]],Games[[#This Row],[SeasonLen]])/Games[[#This Row],[SeasonLen]])</f>
        <v>36.200000000000003</v>
      </c>
      <c r="AH460">
        <f>IF(Games[[#This Row],[Team]]="","",((ABS(Games[[#This Row],[MOV]])+3)^0.8)/(7.5+0.006*ABS(Games[[#This Row],[PreGmRate]]-Games[[#This Row],[OppPreGmRate]]))*IF(Games[[#This Row],[OT]]=1,0.7,1))</f>
        <v>0.5926411317893816</v>
      </c>
      <c r="AI46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0">
        <f>IF(Games[[#This Row],[Team]]="","",Games[[#This Row],[K]]*IF(Games[[#This Row],[DivG]]=1,DivMult,1)*IF(Games[[#This Row],[ConfG]]=1,ConfMult,1)*Games[[#This Row],[POMult]])</f>
        <v>36.200000000000003</v>
      </c>
      <c r="AK460">
        <f>IF(Games[[#This Row],[Team]]="","",(Games[[#This Row],[Keff]]*Games[[#This Row],[MOVMult]])*(Games[[#This Row],[Result]]-Games[[#This Row],[ExpectedWin]]))</f>
        <v>6.2115560397451768</v>
      </c>
      <c r="AL460">
        <f>IF(Games[[#This Row],[Team]]="","",Games[[#This Row],[PreGmRate]]+Games[[#This Row],[RatingChange]])</f>
        <v>1657.6701439455785</v>
      </c>
      <c r="AM460">
        <f>IF(Games[[#This Row],[Team]]="","",IF(Games[[#This Row],[Type]]="R",IF(Games[[#This Row],[Result]]&gt;0.5,1,0),0))</f>
        <v>1</v>
      </c>
      <c r="AN460">
        <f>IF(Games[[#This Row],[Team]]="","",IF(Games[[#This Row],[Type]]="R",IF(Games[[#This Row],[Result]]&lt;0.5,1,0),0))</f>
        <v>0</v>
      </c>
      <c r="AO460">
        <f>IF(Games[[#This Row],[Team]]="","",IF(Games[[#This Row],[Type]]="R",IF(Games[[#This Row],[Result]]=0.5,1,0),0))</f>
        <v>0</v>
      </c>
    </row>
    <row r="461" spans="1:41" x14ac:dyDescent="0.35">
      <c r="A461" s="8">
        <v>35421</v>
      </c>
      <c r="B461">
        <v>1996</v>
      </c>
      <c r="C461" t="s">
        <v>197</v>
      </c>
      <c r="D461" t="s">
        <v>199</v>
      </c>
      <c r="E461" t="s">
        <v>143</v>
      </c>
      <c r="F461" t="s">
        <v>108</v>
      </c>
      <c r="G461" t="s">
        <v>201</v>
      </c>
      <c r="H461">
        <v>14</v>
      </c>
      <c r="I461">
        <v>18</v>
      </c>
      <c r="J461">
        <v>0</v>
      </c>
      <c r="K46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6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6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6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61">
        <f>IF(Games[[#This Row],[Team]]="","",IF(Games[[#This Row],[Conf]]=Games[[#This Row],[OppConf]],1,0))</f>
        <v>0</v>
      </c>
      <c r="P461">
        <f>IF(Games[[#This Row],[Team]]="","",IF(AND(Games[[#This Row],[Conf]]=Games[[#This Row],[OppConf]],Games[[#This Row],[Div]]=Games[[#This Row],[OppDiv]]),1,0))</f>
        <v>0</v>
      </c>
      <c r="Q461">
        <f>IF(Games[[#This Row],[Team]]="","",_xlfn.MINIFS(Games[Date],Games[Season],Games[[#This Row],[Season]]))</f>
        <v>35309</v>
      </c>
      <c r="R461">
        <f>IF(Games[[#This Row],[Team]]="","",INT((Games[[#This Row],[Date]]-(Games[[#This Row],[SeasonStart]]-MOD(WEEKDAY(Games[[#This Row],[SeasonStart]],2)-2,7)))/7)+1)</f>
        <v>17</v>
      </c>
      <c r="S461">
        <f>IF(Games[[#This Row],[Team]]="","",COUNTIFS(Games[Team],Games[[#This Row],[Team]],Games[Season],Games[[#This Row],[Season]],Games[Week],"&lt;="&amp;Games[[#This Row],[Week]]))</f>
        <v>16</v>
      </c>
      <c r="T461">
        <f>IF(Games[[#This Row],[Team]]="","",_xlfn.MAXIFS(Games[Week],Games[Team],Games[[#This Row],[Team]],Games[Season],Games[[#This Row],[Season]],Games[Week],"&lt;"&amp;Games[[#This Row],[Week]]))</f>
        <v>16</v>
      </c>
      <c r="U461">
        <f>IF(Games[[#This Row],[Team]]="","",_xlfn.MAXIFS(Games[Week],Games[Team],Games[[#This Row],[Opponent]],Games[Season],Games[[#This Row],[Season]],Games[Week],"&lt;"&amp;Games[[#This Row],[Week]]))</f>
        <v>16</v>
      </c>
      <c r="V46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6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6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6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1567.5213648059587</v>
      </c>
      <c r="Z46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1651.4585879058334</v>
      </c>
      <c r="AA46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0.28953431789526135</v>
      </c>
      <c r="AB461">
        <f>IF(Games[[#This Row],[Team]]="","",Games[[#This Row],[PointsFor]]-Games[[#This Row],[PointsAgainst]])</f>
        <v>-4</v>
      </c>
      <c r="AC461">
        <f>IF(Games[[#This Row],[Team]]="","",IF(Games[[#This Row],[MOV]]&gt;0,1,IF(Games[[#This Row],[MOV]]=0,0.5,0)))</f>
        <v>0</v>
      </c>
      <c r="AD461">
        <f>IF(Games[[#This Row],[Team]]="","",--(OR(AND(Games[[#This Row],[ExpectedWin]]&gt;=0.5,Games[[#This Row],[Result]]=1),AND(Games[[#This Row],[ExpectedWin]]&lt;0.5,Games[[#This Row],[Result]]=0))))</f>
        <v>1</v>
      </c>
      <c r="AE461">
        <f>IF(Games[[#This Row],[Team]]="","",-(Games[[#This Row],[Result]]*LN(Games[[#This Row],[ExpectedWin]])+(1-Games[[#This Row],[Result]])*LN(1-Games[[#This Row],[ExpectedWin]])))</f>
        <v>0.3418346336604402</v>
      </c>
      <c r="AF461">
        <f>IF(Games[[#This Row],[Team]]="","",IF(Games[[#This Row],[Season]]&gt;=2021,17,16))</f>
        <v>16</v>
      </c>
      <c r="AG461">
        <f>IF(Games[[#This Row],[Team]]="","",KMax-(KMax-KFloor)*MIN(Games[[#This Row],[GamesPlayed]],Games[[#This Row],[SeasonLen]])/Games[[#This Row],[SeasonLen]])</f>
        <v>36.200000000000003</v>
      </c>
      <c r="AH461">
        <f>IF(Games[[#This Row],[Team]]="","",((ABS(Games[[#This Row],[MOV]])+3)^0.8)/(7.5+0.006*ABS(Games[[#This Row],[PreGmRate]]-Games[[#This Row],[OppPreGmRate]]))*IF(Games[[#This Row],[OT]]=1,0.7,1))</f>
        <v>0.5926411317893816</v>
      </c>
      <c r="AI46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1">
        <f>IF(Games[[#This Row],[Team]]="","",Games[[#This Row],[K]]*IF(Games[[#This Row],[DivG]]=1,DivMult,1)*IF(Games[[#This Row],[ConfG]]=1,ConfMult,1)*Games[[#This Row],[POMult]])</f>
        <v>36.200000000000003</v>
      </c>
      <c r="AK461">
        <f>IF(Games[[#This Row],[Team]]="","",(Games[[#This Row],[Keff]]*Games[[#This Row],[MOVMult]])*(Games[[#This Row],[Result]]-Games[[#This Row],[ExpectedWin]]))</f>
        <v>-6.2115560397451777</v>
      </c>
      <c r="AL461">
        <f>IF(Games[[#This Row],[Team]]="","",Games[[#This Row],[PreGmRate]]+Games[[#This Row],[RatingChange]])</f>
        <v>1561.3098087662136</v>
      </c>
      <c r="AM461">
        <f>IF(Games[[#This Row],[Team]]="","",IF(Games[[#This Row],[Type]]="R",IF(Games[[#This Row],[Result]]&gt;0.5,1,0),0))</f>
        <v>0</v>
      </c>
      <c r="AN461">
        <f>IF(Games[[#This Row],[Team]]="","",IF(Games[[#This Row],[Type]]="R",IF(Games[[#This Row],[Result]]&lt;0.5,1,0),0))</f>
        <v>1</v>
      </c>
      <c r="AO461">
        <f>IF(Games[[#This Row],[Team]]="","",IF(Games[[#This Row],[Type]]="R",IF(Games[[#This Row],[Result]]=0.5,1,0),0))</f>
        <v>0</v>
      </c>
    </row>
    <row r="462" spans="1:41" x14ac:dyDescent="0.35">
      <c r="A462" s="8">
        <v>35421</v>
      </c>
      <c r="B462">
        <v>1996</v>
      </c>
      <c r="C462" t="s">
        <v>197</v>
      </c>
      <c r="D462" t="s">
        <v>199</v>
      </c>
      <c r="E462" t="s">
        <v>151</v>
      </c>
      <c r="F462" t="s">
        <v>110</v>
      </c>
      <c r="G462" t="s">
        <v>200</v>
      </c>
      <c r="H462">
        <v>34</v>
      </c>
      <c r="I462">
        <v>19</v>
      </c>
      <c r="J462">
        <v>0</v>
      </c>
      <c r="K46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6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6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6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62">
        <f>IF(Games[[#This Row],[Team]]="","",IF(Games[[#This Row],[Conf]]=Games[[#This Row],[OppConf]],1,0))</f>
        <v>1</v>
      </c>
      <c r="P462">
        <f>IF(Games[[#This Row],[Team]]="","",IF(AND(Games[[#This Row],[Conf]]=Games[[#This Row],[OppConf]],Games[[#This Row],[Div]]=Games[[#This Row],[OppDiv]]),1,0))</f>
        <v>1</v>
      </c>
      <c r="Q462">
        <f>IF(Games[[#This Row],[Team]]="","",_xlfn.MINIFS(Games[Date],Games[Season],Games[[#This Row],[Season]]))</f>
        <v>35309</v>
      </c>
      <c r="R462">
        <f>IF(Games[[#This Row],[Team]]="","",INT((Games[[#This Row],[Date]]-(Games[[#This Row],[SeasonStart]]-MOD(WEEKDAY(Games[[#This Row],[SeasonStart]],2)-2,7)))/7)+1)</f>
        <v>17</v>
      </c>
      <c r="S462">
        <f>IF(Games[[#This Row],[Team]]="","",COUNTIFS(Games[Team],Games[[#This Row],[Team]],Games[Season],Games[[#This Row],[Season]],Games[Week],"&lt;="&amp;Games[[#This Row],[Week]]))</f>
        <v>16</v>
      </c>
      <c r="T462">
        <f>IF(Games[[#This Row],[Team]]="","",_xlfn.MAXIFS(Games[Week],Games[Team],Games[[#This Row],[Team]],Games[Season],Games[[#This Row],[Season]],Games[Week],"&lt;"&amp;Games[[#This Row],[Week]]))</f>
        <v>16</v>
      </c>
      <c r="U462">
        <f>IF(Games[[#This Row],[Team]]="","",_xlfn.MAXIFS(Games[Week],Games[Team],Games[[#This Row],[Opponent]],Games[Season],Games[[#This Row],[Season]],Games[Week],"&lt;"&amp;Games[[#This Row],[Week]]))</f>
        <v>16</v>
      </c>
      <c r="V46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6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46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6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1410.5890828861457</v>
      </c>
      <c r="Z46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1496.8366597770748</v>
      </c>
      <c r="AA46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0.47089433696720895</v>
      </c>
      <c r="AB462">
        <f>IF(Games[[#This Row],[Team]]="","",Games[[#This Row],[PointsFor]]-Games[[#This Row],[PointsAgainst]])</f>
        <v>15</v>
      </c>
      <c r="AC462">
        <f>IF(Games[[#This Row],[Team]]="","",IF(Games[[#This Row],[MOV]]&gt;0,1,IF(Games[[#This Row],[MOV]]=0,0.5,0)))</f>
        <v>1</v>
      </c>
      <c r="AD462">
        <f>IF(Games[[#This Row],[Team]]="","",--(OR(AND(Games[[#This Row],[ExpectedWin]]&gt;=0.5,Games[[#This Row],[Result]]=1),AND(Games[[#This Row],[ExpectedWin]]&lt;0.5,Games[[#This Row],[Result]]=0))))</f>
        <v>0</v>
      </c>
      <c r="AE462">
        <f>IF(Games[[#This Row],[Team]]="","",-(Games[[#This Row],[Result]]*LN(Games[[#This Row],[ExpectedWin]])+(1-Games[[#This Row],[Result]])*LN(1-Games[[#This Row],[ExpectedWin]])))</f>
        <v>0.75312154778241169</v>
      </c>
      <c r="AF462">
        <f>IF(Games[[#This Row],[Team]]="","",IF(Games[[#This Row],[Season]]&gt;=2021,17,16))</f>
        <v>16</v>
      </c>
      <c r="AG462">
        <f>IF(Games[[#This Row],[Team]]="","",KMax-(KMax-KFloor)*MIN(Games[[#This Row],[GamesPlayed]],Games[[#This Row],[SeasonLen]])/Games[[#This Row],[SeasonLen]])</f>
        <v>36.200000000000003</v>
      </c>
      <c r="AH462">
        <f>IF(Games[[#This Row],[Team]]="","",((ABS(Games[[#This Row],[MOV]])+3)^0.8)/(7.5+0.006*ABS(Games[[#This Row],[PreGmRate]]-Games[[#This Row],[OppPreGmRate]]))*IF(Games[[#This Row],[OT]]=1,0.7,1))</f>
        <v>1.259446787611775</v>
      </c>
      <c r="AI46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2">
        <f>IF(Games[[#This Row],[Team]]="","",Games[[#This Row],[K]]*IF(Games[[#This Row],[DivG]]=1,DivMult,1)*IF(Games[[#This Row],[ConfG]]=1,ConfMult,1)*Games[[#This Row],[POMult]])</f>
        <v>40.616400000000006</v>
      </c>
      <c r="AK462">
        <f>IF(Games[[#This Row],[Team]]="","",(Games[[#This Row],[Keff]]*Games[[#This Row],[MOVMult]])*(Games[[#This Row],[Result]]-Games[[#This Row],[ExpectedWin]]))</f>
        <v>27.065974000135057</v>
      </c>
      <c r="AL462">
        <f>IF(Games[[#This Row],[Team]]="","",Games[[#This Row],[PreGmRate]]+Games[[#This Row],[RatingChange]])</f>
        <v>1437.6550568862808</v>
      </c>
      <c r="AM462">
        <f>IF(Games[[#This Row],[Team]]="","",IF(Games[[#This Row],[Type]]="R",IF(Games[[#This Row],[Result]]&gt;0.5,1,0),0))</f>
        <v>1</v>
      </c>
      <c r="AN462">
        <f>IF(Games[[#This Row],[Team]]="","",IF(Games[[#This Row],[Type]]="R",IF(Games[[#This Row],[Result]]&lt;0.5,1,0),0))</f>
        <v>0</v>
      </c>
      <c r="AO462">
        <f>IF(Games[[#This Row],[Team]]="","",IF(Games[[#This Row],[Type]]="R",IF(Games[[#This Row],[Result]]=0.5,1,0),0))</f>
        <v>0</v>
      </c>
    </row>
    <row r="463" spans="1:41" x14ac:dyDescent="0.35">
      <c r="A463" s="8">
        <v>35421</v>
      </c>
      <c r="B463">
        <v>1996</v>
      </c>
      <c r="C463" t="s">
        <v>197</v>
      </c>
      <c r="D463" t="s">
        <v>199</v>
      </c>
      <c r="E463" t="s">
        <v>110</v>
      </c>
      <c r="F463" t="s">
        <v>151</v>
      </c>
      <c r="G463" t="s">
        <v>201</v>
      </c>
      <c r="H463">
        <v>19</v>
      </c>
      <c r="I463">
        <v>34</v>
      </c>
      <c r="J463">
        <v>0</v>
      </c>
      <c r="K46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6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6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6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63">
        <f>IF(Games[[#This Row],[Team]]="","",IF(Games[[#This Row],[Conf]]=Games[[#This Row],[OppConf]],1,0))</f>
        <v>1</v>
      </c>
      <c r="P463">
        <f>IF(Games[[#This Row],[Team]]="","",IF(AND(Games[[#This Row],[Conf]]=Games[[#This Row],[OppConf]],Games[[#This Row],[Div]]=Games[[#This Row],[OppDiv]]),1,0))</f>
        <v>1</v>
      </c>
      <c r="Q463">
        <f>IF(Games[[#This Row],[Team]]="","",_xlfn.MINIFS(Games[Date],Games[Season],Games[[#This Row],[Season]]))</f>
        <v>35309</v>
      </c>
      <c r="R463">
        <f>IF(Games[[#This Row],[Team]]="","",INT((Games[[#This Row],[Date]]-(Games[[#This Row],[SeasonStart]]-MOD(WEEKDAY(Games[[#This Row],[SeasonStart]],2)-2,7)))/7)+1)</f>
        <v>17</v>
      </c>
      <c r="S463">
        <f>IF(Games[[#This Row],[Team]]="","",COUNTIFS(Games[Team],Games[[#This Row],[Team]],Games[Season],Games[[#This Row],[Season]],Games[Week],"&lt;="&amp;Games[[#This Row],[Week]]))</f>
        <v>16</v>
      </c>
      <c r="T463">
        <f>IF(Games[[#This Row],[Team]]="","",_xlfn.MAXIFS(Games[Week],Games[Team],Games[[#This Row],[Team]],Games[Season],Games[[#This Row],[Season]],Games[Week],"&lt;"&amp;Games[[#This Row],[Week]]))</f>
        <v>16</v>
      </c>
      <c r="U463">
        <f>IF(Games[[#This Row],[Team]]="","",_xlfn.MAXIFS(Games[Week],Games[Team],Games[[#This Row],[Opponent]],Games[Season],Games[[#This Row],[Season]],Games[Week],"&lt;"&amp;Games[[#This Row],[Week]]))</f>
        <v>16</v>
      </c>
      <c r="V46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46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6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6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1496.8366597770748</v>
      </c>
      <c r="Z46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1410.5890828861457</v>
      </c>
      <c r="AA46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0.52910566303279105</v>
      </c>
      <c r="AB463">
        <f>IF(Games[[#This Row],[Team]]="","",Games[[#This Row],[PointsFor]]-Games[[#This Row],[PointsAgainst]])</f>
        <v>-15</v>
      </c>
      <c r="AC463">
        <f>IF(Games[[#This Row],[Team]]="","",IF(Games[[#This Row],[MOV]]&gt;0,1,IF(Games[[#This Row],[MOV]]=0,0.5,0)))</f>
        <v>0</v>
      </c>
      <c r="AD463">
        <f>IF(Games[[#This Row],[Team]]="","",--(OR(AND(Games[[#This Row],[ExpectedWin]]&gt;=0.5,Games[[#This Row],[Result]]=1),AND(Games[[#This Row],[ExpectedWin]]&lt;0.5,Games[[#This Row],[Result]]=0))))</f>
        <v>0</v>
      </c>
      <c r="AE463">
        <f>IF(Games[[#This Row],[Team]]="","",-(Games[[#This Row],[Result]]*LN(Games[[#This Row],[ExpectedWin]])+(1-Games[[#This Row],[Result]])*LN(1-Games[[#This Row],[ExpectedWin]])))</f>
        <v>0.75312154778241169</v>
      </c>
      <c r="AF463">
        <f>IF(Games[[#This Row],[Team]]="","",IF(Games[[#This Row],[Season]]&gt;=2021,17,16))</f>
        <v>16</v>
      </c>
      <c r="AG463">
        <f>IF(Games[[#This Row],[Team]]="","",KMax-(KMax-KFloor)*MIN(Games[[#This Row],[GamesPlayed]],Games[[#This Row],[SeasonLen]])/Games[[#This Row],[SeasonLen]])</f>
        <v>36.200000000000003</v>
      </c>
      <c r="AH463">
        <f>IF(Games[[#This Row],[Team]]="","",((ABS(Games[[#This Row],[MOV]])+3)^0.8)/(7.5+0.006*ABS(Games[[#This Row],[PreGmRate]]-Games[[#This Row],[OppPreGmRate]]))*IF(Games[[#This Row],[OT]]=1,0.7,1))</f>
        <v>1.259446787611775</v>
      </c>
      <c r="AI46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3">
        <f>IF(Games[[#This Row],[Team]]="","",Games[[#This Row],[K]]*IF(Games[[#This Row],[DivG]]=1,DivMult,1)*IF(Games[[#This Row],[ConfG]]=1,ConfMult,1)*Games[[#This Row],[POMult]])</f>
        <v>40.616400000000006</v>
      </c>
      <c r="AK463">
        <f>IF(Games[[#This Row],[Team]]="","",(Games[[#This Row],[Keff]]*Games[[#This Row],[MOVMult]])*(Games[[#This Row],[Result]]-Games[[#This Row],[ExpectedWin]]))</f>
        <v>-27.065974000135057</v>
      </c>
      <c r="AL463">
        <f>IF(Games[[#This Row],[Team]]="","",Games[[#This Row],[PreGmRate]]+Games[[#This Row],[RatingChange]])</f>
        <v>1469.7706857769397</v>
      </c>
      <c r="AM463">
        <f>IF(Games[[#This Row],[Team]]="","",IF(Games[[#This Row],[Type]]="R",IF(Games[[#This Row],[Result]]&gt;0.5,1,0),0))</f>
        <v>0</v>
      </c>
      <c r="AN463">
        <f>IF(Games[[#This Row],[Team]]="","",IF(Games[[#This Row],[Type]]="R",IF(Games[[#This Row],[Result]]&lt;0.5,1,0),0))</f>
        <v>1</v>
      </c>
      <c r="AO463">
        <f>IF(Games[[#This Row],[Team]]="","",IF(Games[[#This Row],[Type]]="R",IF(Games[[#This Row],[Result]]=0.5,1,0),0))</f>
        <v>0</v>
      </c>
    </row>
    <row r="464" spans="1:41" x14ac:dyDescent="0.35">
      <c r="A464" s="8">
        <v>35421</v>
      </c>
      <c r="B464">
        <v>1996</v>
      </c>
      <c r="C464" t="s">
        <v>197</v>
      </c>
      <c r="D464" t="s">
        <v>199</v>
      </c>
      <c r="E464" t="s">
        <v>112</v>
      </c>
      <c r="F464" t="s">
        <v>122</v>
      </c>
      <c r="G464" t="s">
        <v>200</v>
      </c>
      <c r="H464">
        <v>31</v>
      </c>
      <c r="I464">
        <v>24</v>
      </c>
      <c r="J464">
        <v>0</v>
      </c>
      <c r="K46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6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6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6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64">
        <f>IF(Games[[#This Row],[Team]]="","",IF(Games[[#This Row],[Conf]]=Games[[#This Row],[OppConf]],1,0))</f>
        <v>1</v>
      </c>
      <c r="P464">
        <f>IF(Games[[#This Row],[Team]]="","",IF(AND(Games[[#This Row],[Conf]]=Games[[#This Row],[OppConf]],Games[[#This Row],[Div]]=Games[[#This Row],[OppDiv]]),1,0))</f>
        <v>0</v>
      </c>
      <c r="Q464">
        <f>IF(Games[[#This Row],[Team]]="","",_xlfn.MINIFS(Games[Date],Games[Season],Games[[#This Row],[Season]]))</f>
        <v>35309</v>
      </c>
      <c r="R464">
        <f>IF(Games[[#This Row],[Team]]="","",INT((Games[[#This Row],[Date]]-(Games[[#This Row],[SeasonStart]]-MOD(WEEKDAY(Games[[#This Row],[SeasonStart]],2)-2,7)))/7)+1)</f>
        <v>17</v>
      </c>
      <c r="S464">
        <f>IF(Games[[#This Row],[Team]]="","",COUNTIFS(Games[Team],Games[[#This Row],[Team]],Games[Season],Games[[#This Row],[Season]],Games[Week],"&lt;="&amp;Games[[#This Row],[Week]]))</f>
        <v>16</v>
      </c>
      <c r="T464">
        <f>IF(Games[[#This Row],[Team]]="","",_xlfn.MAXIFS(Games[Week],Games[Team],Games[[#This Row],[Team]],Games[Season],Games[[#This Row],[Season]],Games[Week],"&lt;"&amp;Games[[#This Row],[Week]]))</f>
        <v>16</v>
      </c>
      <c r="U464">
        <f>IF(Games[[#This Row],[Team]]="","",_xlfn.MAXIFS(Games[Week],Games[Team],Games[[#This Row],[Opponent]],Games[Season],Games[[#This Row],[Season]],Games[Week],"&lt;"&amp;Games[[#This Row],[Week]]))</f>
        <v>16</v>
      </c>
      <c r="V46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6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6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6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1514.3677285093343</v>
      </c>
      <c r="Z46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1511.1575527884722</v>
      </c>
      <c r="AA46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0.6065765857836205</v>
      </c>
      <c r="AB464">
        <f>IF(Games[[#This Row],[Team]]="","",Games[[#This Row],[PointsFor]]-Games[[#This Row],[PointsAgainst]])</f>
        <v>7</v>
      </c>
      <c r="AC464">
        <f>IF(Games[[#This Row],[Team]]="","",IF(Games[[#This Row],[MOV]]&gt;0,1,IF(Games[[#This Row],[MOV]]=0,0.5,0)))</f>
        <v>1</v>
      </c>
      <c r="AD464">
        <f>IF(Games[[#This Row],[Team]]="","",--(OR(AND(Games[[#This Row],[ExpectedWin]]&gt;=0.5,Games[[#This Row],[Result]]=1),AND(Games[[#This Row],[ExpectedWin]]&lt;0.5,Games[[#This Row],[Result]]=0))))</f>
        <v>1</v>
      </c>
      <c r="AE464">
        <f>IF(Games[[#This Row],[Team]]="","",-(Games[[#This Row],[Result]]*LN(Games[[#This Row],[ExpectedWin]])+(1-Games[[#This Row],[Result]])*LN(1-Games[[#This Row],[ExpectedWin]])))</f>
        <v>0.49992428357644464</v>
      </c>
      <c r="AF464">
        <f>IF(Games[[#This Row],[Team]]="","",IF(Games[[#This Row],[Season]]&gt;=2021,17,16))</f>
        <v>16</v>
      </c>
      <c r="AG464">
        <f>IF(Games[[#This Row],[Team]]="","",KMax-(KMax-KFloor)*MIN(Games[[#This Row],[GamesPlayed]],Games[[#This Row],[SeasonLen]])/Games[[#This Row],[SeasonLen]])</f>
        <v>36.200000000000003</v>
      </c>
      <c r="AH464">
        <f>IF(Games[[#This Row],[Team]]="","",((ABS(Games[[#This Row],[MOV]])+3)^0.8)/(7.5+0.006*ABS(Games[[#This Row],[PreGmRate]]-Games[[#This Row],[OppPreGmRate]]))*IF(Games[[#This Row],[OT]]=1,0.7,1))</f>
        <v>0.83912147739206233</v>
      </c>
      <c r="AI46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4">
        <f>IF(Games[[#This Row],[Team]]="","",Games[[#This Row],[K]]*IF(Games[[#This Row],[DivG]]=1,DivMult,1)*IF(Games[[#This Row],[ConfG]]=1,ConfMult,1)*Games[[#This Row],[POMult]])</f>
        <v>36.924000000000007</v>
      </c>
      <c r="AK464">
        <f>IF(Games[[#This Row],[Team]]="","",(Games[[#This Row],[Keff]]*Games[[#This Row],[MOVMult]])*(Games[[#This Row],[Result]]-Games[[#This Row],[ExpectedWin]]))</f>
        <v>12.189721470601558</v>
      </c>
      <c r="AL464">
        <f>IF(Games[[#This Row],[Team]]="","",Games[[#This Row],[PreGmRate]]+Games[[#This Row],[RatingChange]])</f>
        <v>1526.5574499799359</v>
      </c>
      <c r="AM464">
        <f>IF(Games[[#This Row],[Team]]="","",IF(Games[[#This Row],[Type]]="R",IF(Games[[#This Row],[Result]]&gt;0.5,1,0),0))</f>
        <v>1</v>
      </c>
      <c r="AN464">
        <f>IF(Games[[#This Row],[Team]]="","",IF(Games[[#This Row],[Type]]="R",IF(Games[[#This Row],[Result]]&lt;0.5,1,0),0))</f>
        <v>0</v>
      </c>
      <c r="AO464">
        <f>IF(Games[[#This Row],[Team]]="","",IF(Games[[#This Row],[Type]]="R",IF(Games[[#This Row],[Result]]=0.5,1,0),0))</f>
        <v>0</v>
      </c>
    </row>
    <row r="465" spans="1:41" x14ac:dyDescent="0.35">
      <c r="A465" s="8">
        <v>35421</v>
      </c>
      <c r="B465">
        <v>1996</v>
      </c>
      <c r="C465" t="s">
        <v>197</v>
      </c>
      <c r="D465" t="s">
        <v>199</v>
      </c>
      <c r="E465" t="s">
        <v>122</v>
      </c>
      <c r="F465" t="s">
        <v>112</v>
      </c>
      <c r="G465" t="s">
        <v>201</v>
      </c>
      <c r="H465">
        <v>24</v>
      </c>
      <c r="I465">
        <v>31</v>
      </c>
      <c r="J465">
        <v>0</v>
      </c>
      <c r="K46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6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6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6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65">
        <f>IF(Games[[#This Row],[Team]]="","",IF(Games[[#This Row],[Conf]]=Games[[#This Row],[OppConf]],1,0))</f>
        <v>1</v>
      </c>
      <c r="P465">
        <f>IF(Games[[#This Row],[Team]]="","",IF(AND(Games[[#This Row],[Conf]]=Games[[#This Row],[OppConf]],Games[[#This Row],[Div]]=Games[[#This Row],[OppDiv]]),1,0))</f>
        <v>0</v>
      </c>
      <c r="Q465">
        <f>IF(Games[[#This Row],[Team]]="","",_xlfn.MINIFS(Games[Date],Games[Season],Games[[#This Row],[Season]]))</f>
        <v>35309</v>
      </c>
      <c r="R465">
        <f>IF(Games[[#This Row],[Team]]="","",INT((Games[[#This Row],[Date]]-(Games[[#This Row],[SeasonStart]]-MOD(WEEKDAY(Games[[#This Row],[SeasonStart]],2)-2,7)))/7)+1)</f>
        <v>17</v>
      </c>
      <c r="S465">
        <f>IF(Games[[#This Row],[Team]]="","",COUNTIFS(Games[Team],Games[[#This Row],[Team]],Games[Season],Games[[#This Row],[Season]],Games[Week],"&lt;="&amp;Games[[#This Row],[Week]]))</f>
        <v>16</v>
      </c>
      <c r="T465">
        <f>IF(Games[[#This Row],[Team]]="","",_xlfn.MAXIFS(Games[Week],Games[Team],Games[[#This Row],[Team]],Games[Season],Games[[#This Row],[Season]],Games[Week],"&lt;"&amp;Games[[#This Row],[Week]]))</f>
        <v>16</v>
      </c>
      <c r="U465">
        <f>IF(Games[[#This Row],[Team]]="","",_xlfn.MAXIFS(Games[Week],Games[Team],Games[[#This Row],[Opponent]],Games[Season],Games[[#This Row],[Season]],Games[Week],"&lt;"&amp;Games[[#This Row],[Week]]))</f>
        <v>16</v>
      </c>
      <c r="V46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6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6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6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1511.1575527884722</v>
      </c>
      <c r="Z46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1514.3677285093343</v>
      </c>
      <c r="AA46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0.39342341421637944</v>
      </c>
      <c r="AB465">
        <f>IF(Games[[#This Row],[Team]]="","",Games[[#This Row],[PointsFor]]-Games[[#This Row],[PointsAgainst]])</f>
        <v>-7</v>
      </c>
      <c r="AC465">
        <f>IF(Games[[#This Row],[Team]]="","",IF(Games[[#This Row],[MOV]]&gt;0,1,IF(Games[[#This Row],[MOV]]=0,0.5,0)))</f>
        <v>0</v>
      </c>
      <c r="AD465">
        <f>IF(Games[[#This Row],[Team]]="","",--(OR(AND(Games[[#This Row],[ExpectedWin]]&gt;=0.5,Games[[#This Row],[Result]]=1),AND(Games[[#This Row],[ExpectedWin]]&lt;0.5,Games[[#This Row],[Result]]=0))))</f>
        <v>1</v>
      </c>
      <c r="AE465">
        <f>IF(Games[[#This Row],[Team]]="","",-(Games[[#This Row],[Result]]*LN(Games[[#This Row],[ExpectedWin]])+(1-Games[[#This Row],[Result]])*LN(1-Games[[#This Row],[ExpectedWin]])))</f>
        <v>0.49992428357644464</v>
      </c>
      <c r="AF465">
        <f>IF(Games[[#This Row],[Team]]="","",IF(Games[[#This Row],[Season]]&gt;=2021,17,16))</f>
        <v>16</v>
      </c>
      <c r="AG465">
        <f>IF(Games[[#This Row],[Team]]="","",KMax-(KMax-KFloor)*MIN(Games[[#This Row],[GamesPlayed]],Games[[#This Row],[SeasonLen]])/Games[[#This Row],[SeasonLen]])</f>
        <v>36.200000000000003</v>
      </c>
      <c r="AH465">
        <f>IF(Games[[#This Row],[Team]]="","",((ABS(Games[[#This Row],[MOV]])+3)^0.8)/(7.5+0.006*ABS(Games[[#This Row],[PreGmRate]]-Games[[#This Row],[OppPreGmRate]]))*IF(Games[[#This Row],[OT]]=1,0.7,1))</f>
        <v>0.83912147739206233</v>
      </c>
      <c r="AI46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5">
        <f>IF(Games[[#This Row],[Team]]="","",Games[[#This Row],[K]]*IF(Games[[#This Row],[DivG]]=1,DivMult,1)*IF(Games[[#This Row],[ConfG]]=1,ConfMult,1)*Games[[#This Row],[POMult]])</f>
        <v>36.924000000000007</v>
      </c>
      <c r="AK465">
        <f>IF(Games[[#This Row],[Team]]="","",(Games[[#This Row],[Keff]]*Games[[#This Row],[MOVMult]])*(Games[[#This Row],[Result]]-Games[[#This Row],[ExpectedWin]]))</f>
        <v>-12.189721470601556</v>
      </c>
      <c r="AL465">
        <f>IF(Games[[#This Row],[Team]]="","",Games[[#This Row],[PreGmRate]]+Games[[#This Row],[RatingChange]])</f>
        <v>1498.9678313178706</v>
      </c>
      <c r="AM465">
        <f>IF(Games[[#This Row],[Team]]="","",IF(Games[[#This Row],[Type]]="R",IF(Games[[#This Row],[Result]]&gt;0.5,1,0),0))</f>
        <v>0</v>
      </c>
      <c r="AN465">
        <f>IF(Games[[#This Row],[Team]]="","",IF(Games[[#This Row],[Type]]="R",IF(Games[[#This Row],[Result]]&lt;0.5,1,0),0))</f>
        <v>1</v>
      </c>
      <c r="AO465">
        <f>IF(Games[[#This Row],[Team]]="","",IF(Games[[#This Row],[Type]]="R",IF(Games[[#This Row],[Result]]=0.5,1,0),0))</f>
        <v>0</v>
      </c>
    </row>
    <row r="466" spans="1:41" x14ac:dyDescent="0.35">
      <c r="A466" s="8">
        <v>35421</v>
      </c>
      <c r="B466">
        <v>1996</v>
      </c>
      <c r="C466" t="s">
        <v>197</v>
      </c>
      <c r="D466" t="s">
        <v>199</v>
      </c>
      <c r="E466" t="s">
        <v>141</v>
      </c>
      <c r="F466" t="s">
        <v>93</v>
      </c>
      <c r="G466" t="s">
        <v>200</v>
      </c>
      <c r="H466">
        <v>29</v>
      </c>
      <c r="I466">
        <v>19</v>
      </c>
      <c r="J466">
        <v>0</v>
      </c>
      <c r="K46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6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6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6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66">
        <f>IF(Games[[#This Row],[Team]]="","",IF(Games[[#This Row],[Conf]]=Games[[#This Row],[OppConf]],1,0))</f>
        <v>1</v>
      </c>
      <c r="P466">
        <f>IF(Games[[#This Row],[Team]]="","",IF(AND(Games[[#This Row],[Conf]]=Games[[#This Row],[OppConf]],Games[[#This Row],[Div]]=Games[[#This Row],[OppDiv]]),1,0))</f>
        <v>1</v>
      </c>
      <c r="Q466">
        <f>IF(Games[[#This Row],[Team]]="","",_xlfn.MINIFS(Games[Date],Games[Season],Games[[#This Row],[Season]]))</f>
        <v>35309</v>
      </c>
      <c r="R466">
        <f>IF(Games[[#This Row],[Team]]="","",INT((Games[[#This Row],[Date]]-(Games[[#This Row],[SeasonStart]]-MOD(WEEKDAY(Games[[#This Row],[SeasonStart]],2)-2,7)))/7)+1)</f>
        <v>17</v>
      </c>
      <c r="S466">
        <f>IF(Games[[#This Row],[Team]]="","",COUNTIFS(Games[Team],Games[[#This Row],[Team]],Games[Season],Games[[#This Row],[Season]],Games[Week],"&lt;="&amp;Games[[#This Row],[Week]]))</f>
        <v>16</v>
      </c>
      <c r="T466">
        <f>IF(Games[[#This Row],[Team]]="","",_xlfn.MAXIFS(Games[Week],Games[Team],Games[[#This Row],[Team]],Games[Season],Games[[#This Row],[Season]],Games[Week],"&lt;"&amp;Games[[#This Row],[Week]]))</f>
        <v>16</v>
      </c>
      <c r="U466">
        <f>IF(Games[[#This Row],[Team]]="","",_xlfn.MAXIFS(Games[Week],Games[Team],Games[[#This Row],[Opponent]],Games[Season],Games[[#This Row],[Season]],Games[Week],"&lt;"&amp;Games[[#This Row],[Week]]))</f>
        <v>16</v>
      </c>
      <c r="V46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46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6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6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1532.5486245445404</v>
      </c>
      <c r="Z46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1416.8185411126215</v>
      </c>
      <c r="AA46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0.75309728166804701</v>
      </c>
      <c r="AB466">
        <f>IF(Games[[#This Row],[Team]]="","",Games[[#This Row],[PointsFor]]-Games[[#This Row],[PointsAgainst]])</f>
        <v>10</v>
      </c>
      <c r="AC466">
        <f>IF(Games[[#This Row],[Team]]="","",IF(Games[[#This Row],[MOV]]&gt;0,1,IF(Games[[#This Row],[MOV]]=0,0.5,0)))</f>
        <v>1</v>
      </c>
      <c r="AD466">
        <f>IF(Games[[#This Row],[Team]]="","",--(OR(AND(Games[[#This Row],[ExpectedWin]]&gt;=0.5,Games[[#This Row],[Result]]=1),AND(Games[[#This Row],[ExpectedWin]]&lt;0.5,Games[[#This Row],[Result]]=0))))</f>
        <v>1</v>
      </c>
      <c r="AE466">
        <f>IF(Games[[#This Row],[Team]]="","",-(Games[[#This Row],[Result]]*LN(Games[[#This Row],[ExpectedWin]])+(1-Games[[#This Row],[Result]])*LN(1-Games[[#This Row],[ExpectedWin]])))</f>
        <v>0.28356086740458664</v>
      </c>
      <c r="AF466">
        <f>IF(Games[[#This Row],[Team]]="","",IF(Games[[#This Row],[Season]]&gt;=2021,17,16))</f>
        <v>16</v>
      </c>
      <c r="AG466">
        <f>IF(Games[[#This Row],[Team]]="","",KMax-(KMax-KFloor)*MIN(Games[[#This Row],[GamesPlayed]],Games[[#This Row],[SeasonLen]])/Games[[#This Row],[SeasonLen]])</f>
        <v>36.200000000000003</v>
      </c>
      <c r="AH466">
        <f>IF(Games[[#This Row],[Team]]="","",((ABS(Games[[#This Row],[MOV]])+3)^0.8)/(7.5+0.006*ABS(Games[[#This Row],[PreGmRate]]-Games[[#This Row],[OppPreGmRate]]))*IF(Games[[#This Row],[OT]]=1,0.7,1))</f>
        <v>0.94981397574565185</v>
      </c>
      <c r="AI46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6">
        <f>IF(Games[[#This Row],[Team]]="","",Games[[#This Row],[K]]*IF(Games[[#This Row],[DivG]]=1,DivMult,1)*IF(Games[[#This Row],[ConfG]]=1,ConfMult,1)*Games[[#This Row],[POMult]])</f>
        <v>40.616400000000006</v>
      </c>
      <c r="AK466">
        <f>IF(Games[[#This Row],[Team]]="","",(Games[[#This Row],[Keff]]*Games[[#This Row],[MOVMult]])*(Games[[#This Row],[Result]]-Games[[#This Row],[ExpectedWin]]))</f>
        <v>9.5250190834653647</v>
      </c>
      <c r="AL466">
        <f>IF(Games[[#This Row],[Team]]="","",Games[[#This Row],[PreGmRate]]+Games[[#This Row],[RatingChange]])</f>
        <v>1542.0736436280058</v>
      </c>
      <c r="AM466">
        <f>IF(Games[[#This Row],[Team]]="","",IF(Games[[#This Row],[Type]]="R",IF(Games[[#This Row],[Result]]&gt;0.5,1,0),0))</f>
        <v>1</v>
      </c>
      <c r="AN466">
        <f>IF(Games[[#This Row],[Team]]="","",IF(Games[[#This Row],[Type]]="R",IF(Games[[#This Row],[Result]]&lt;0.5,1,0),0))</f>
        <v>0</v>
      </c>
      <c r="AO466">
        <f>IF(Games[[#This Row],[Team]]="","",IF(Games[[#This Row],[Type]]="R",IF(Games[[#This Row],[Result]]=0.5,1,0),0))</f>
        <v>0</v>
      </c>
    </row>
    <row r="467" spans="1:41" x14ac:dyDescent="0.35">
      <c r="A467" s="8">
        <v>35421</v>
      </c>
      <c r="B467">
        <v>1996</v>
      </c>
      <c r="C467" t="s">
        <v>197</v>
      </c>
      <c r="D467" t="s">
        <v>199</v>
      </c>
      <c r="E467" t="s">
        <v>93</v>
      </c>
      <c r="F467" t="s">
        <v>141</v>
      </c>
      <c r="G467" t="s">
        <v>201</v>
      </c>
      <c r="H467">
        <v>19</v>
      </c>
      <c r="I467">
        <v>29</v>
      </c>
      <c r="J467">
        <v>0</v>
      </c>
      <c r="K46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6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6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6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67">
        <f>IF(Games[[#This Row],[Team]]="","",IF(Games[[#This Row],[Conf]]=Games[[#This Row],[OppConf]],1,0))</f>
        <v>1</v>
      </c>
      <c r="P467">
        <f>IF(Games[[#This Row],[Team]]="","",IF(AND(Games[[#This Row],[Conf]]=Games[[#This Row],[OppConf]],Games[[#This Row],[Div]]=Games[[#This Row],[OppDiv]]),1,0))</f>
        <v>1</v>
      </c>
      <c r="Q467">
        <f>IF(Games[[#This Row],[Team]]="","",_xlfn.MINIFS(Games[Date],Games[Season],Games[[#This Row],[Season]]))</f>
        <v>35309</v>
      </c>
      <c r="R467">
        <f>IF(Games[[#This Row],[Team]]="","",INT((Games[[#This Row],[Date]]-(Games[[#This Row],[SeasonStart]]-MOD(WEEKDAY(Games[[#This Row],[SeasonStart]],2)-2,7)))/7)+1)</f>
        <v>17</v>
      </c>
      <c r="S467">
        <f>IF(Games[[#This Row],[Team]]="","",COUNTIFS(Games[Team],Games[[#This Row],[Team]],Games[Season],Games[[#This Row],[Season]],Games[Week],"&lt;="&amp;Games[[#This Row],[Week]]))</f>
        <v>16</v>
      </c>
      <c r="T467">
        <f>IF(Games[[#This Row],[Team]]="","",_xlfn.MAXIFS(Games[Week],Games[Team],Games[[#This Row],[Team]],Games[Season],Games[[#This Row],[Season]],Games[Week],"&lt;"&amp;Games[[#This Row],[Week]]))</f>
        <v>16</v>
      </c>
      <c r="U467">
        <f>IF(Games[[#This Row],[Team]]="","",_xlfn.MAXIFS(Games[Week],Games[Team],Games[[#This Row],[Opponent]],Games[Season],Games[[#This Row],[Season]],Games[Week],"&lt;"&amp;Games[[#This Row],[Week]]))</f>
        <v>16</v>
      </c>
      <c r="V46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6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46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6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1416.8185411126215</v>
      </c>
      <c r="Z46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1532.5486245445404</v>
      </c>
      <c r="AA46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0.24690271833195299</v>
      </c>
      <c r="AB467">
        <f>IF(Games[[#This Row],[Team]]="","",Games[[#This Row],[PointsFor]]-Games[[#This Row],[PointsAgainst]])</f>
        <v>-10</v>
      </c>
      <c r="AC467">
        <f>IF(Games[[#This Row],[Team]]="","",IF(Games[[#This Row],[MOV]]&gt;0,1,IF(Games[[#This Row],[MOV]]=0,0.5,0)))</f>
        <v>0</v>
      </c>
      <c r="AD467">
        <f>IF(Games[[#This Row],[Team]]="","",--(OR(AND(Games[[#This Row],[ExpectedWin]]&gt;=0.5,Games[[#This Row],[Result]]=1),AND(Games[[#This Row],[ExpectedWin]]&lt;0.5,Games[[#This Row],[Result]]=0))))</f>
        <v>1</v>
      </c>
      <c r="AE467">
        <f>IF(Games[[#This Row],[Team]]="","",-(Games[[#This Row],[Result]]*LN(Games[[#This Row],[ExpectedWin]])+(1-Games[[#This Row],[Result]])*LN(1-Games[[#This Row],[ExpectedWin]])))</f>
        <v>0.28356086740458664</v>
      </c>
      <c r="AF467">
        <f>IF(Games[[#This Row],[Team]]="","",IF(Games[[#This Row],[Season]]&gt;=2021,17,16))</f>
        <v>16</v>
      </c>
      <c r="AG467">
        <f>IF(Games[[#This Row],[Team]]="","",KMax-(KMax-KFloor)*MIN(Games[[#This Row],[GamesPlayed]],Games[[#This Row],[SeasonLen]])/Games[[#This Row],[SeasonLen]])</f>
        <v>36.200000000000003</v>
      </c>
      <c r="AH467">
        <f>IF(Games[[#This Row],[Team]]="","",((ABS(Games[[#This Row],[MOV]])+3)^0.8)/(7.5+0.006*ABS(Games[[#This Row],[PreGmRate]]-Games[[#This Row],[OppPreGmRate]]))*IF(Games[[#This Row],[OT]]=1,0.7,1))</f>
        <v>0.94981397574565185</v>
      </c>
      <c r="AI46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7">
        <f>IF(Games[[#This Row],[Team]]="","",Games[[#This Row],[K]]*IF(Games[[#This Row],[DivG]]=1,DivMult,1)*IF(Games[[#This Row],[ConfG]]=1,ConfMult,1)*Games[[#This Row],[POMult]])</f>
        <v>40.616400000000006</v>
      </c>
      <c r="AK467">
        <f>IF(Games[[#This Row],[Team]]="","",(Games[[#This Row],[Keff]]*Games[[#This Row],[MOVMult]])*(Games[[#This Row],[Result]]-Games[[#This Row],[ExpectedWin]]))</f>
        <v>-9.5250190834653647</v>
      </c>
      <c r="AL467">
        <f>IF(Games[[#This Row],[Team]]="","",Games[[#This Row],[PreGmRate]]+Games[[#This Row],[RatingChange]])</f>
        <v>1407.2935220291561</v>
      </c>
      <c r="AM467">
        <f>IF(Games[[#This Row],[Team]]="","",IF(Games[[#This Row],[Type]]="R",IF(Games[[#This Row],[Result]]&gt;0.5,1,0),0))</f>
        <v>0</v>
      </c>
      <c r="AN467">
        <f>IF(Games[[#This Row],[Team]]="","",IF(Games[[#This Row],[Type]]="R",IF(Games[[#This Row],[Result]]&lt;0.5,1,0),0))</f>
        <v>1</v>
      </c>
      <c r="AO467">
        <f>IF(Games[[#This Row],[Team]]="","",IF(Games[[#This Row],[Type]]="R",IF(Games[[#This Row],[Result]]=0.5,1,0),0))</f>
        <v>0</v>
      </c>
    </row>
    <row r="468" spans="1:41" x14ac:dyDescent="0.35">
      <c r="A468" s="8">
        <v>35421</v>
      </c>
      <c r="B468">
        <v>1996</v>
      </c>
      <c r="C468" t="s">
        <v>197</v>
      </c>
      <c r="D468" t="s">
        <v>199</v>
      </c>
      <c r="E468" t="s">
        <v>120</v>
      </c>
      <c r="F468" t="s">
        <v>130</v>
      </c>
      <c r="G468" t="s">
        <v>200</v>
      </c>
      <c r="H468">
        <v>38</v>
      </c>
      <c r="I468">
        <v>10</v>
      </c>
      <c r="J468">
        <v>0</v>
      </c>
      <c r="K46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6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6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6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68">
        <f>IF(Games[[#This Row],[Team]]="","",IF(Games[[#This Row],[Conf]]=Games[[#This Row],[OppConf]],1,0))</f>
        <v>1</v>
      </c>
      <c r="P468">
        <f>IF(Games[[#This Row],[Team]]="","",IF(AND(Games[[#This Row],[Conf]]=Games[[#This Row],[OppConf]],Games[[#This Row],[Div]]=Games[[#This Row],[OppDiv]]),1,0))</f>
        <v>1</v>
      </c>
      <c r="Q468">
        <f>IF(Games[[#This Row],[Team]]="","",_xlfn.MINIFS(Games[Date],Games[Season],Games[[#This Row],[Season]]))</f>
        <v>35309</v>
      </c>
      <c r="R468">
        <f>IF(Games[[#This Row],[Team]]="","",INT((Games[[#This Row],[Date]]-(Games[[#This Row],[SeasonStart]]-MOD(WEEKDAY(Games[[#This Row],[SeasonStart]],2)-2,7)))/7)+1)</f>
        <v>17</v>
      </c>
      <c r="S468">
        <f>IF(Games[[#This Row],[Team]]="","",COUNTIFS(Games[Team],Games[[#This Row],[Team]],Games[Season],Games[[#This Row],[Season]],Games[Week],"&lt;="&amp;Games[[#This Row],[Week]]))</f>
        <v>16</v>
      </c>
      <c r="T468">
        <f>IF(Games[[#This Row],[Team]]="","",_xlfn.MAXIFS(Games[Week],Games[Team],Games[[#This Row],[Team]],Games[Season],Games[[#This Row],[Season]],Games[Week],"&lt;"&amp;Games[[#This Row],[Week]]))</f>
        <v>16</v>
      </c>
      <c r="U468">
        <f>IF(Games[[#This Row],[Team]]="","",_xlfn.MAXIFS(Games[Week],Games[Team],Games[[#This Row],[Opponent]],Games[Season],Games[[#This Row],[Season]],Games[Week],"&lt;"&amp;Games[[#This Row],[Week]]))</f>
        <v>16</v>
      </c>
      <c r="V46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6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6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6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1713.1126180172398</v>
      </c>
      <c r="Z46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1515.3046988231031</v>
      </c>
      <c r="AA46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0.82536667206796976</v>
      </c>
      <c r="AB468">
        <f>IF(Games[[#This Row],[Team]]="","",Games[[#This Row],[PointsFor]]-Games[[#This Row],[PointsAgainst]])</f>
        <v>28</v>
      </c>
      <c r="AC468">
        <f>IF(Games[[#This Row],[Team]]="","",IF(Games[[#This Row],[MOV]]&gt;0,1,IF(Games[[#This Row],[MOV]]=0,0.5,0)))</f>
        <v>1</v>
      </c>
      <c r="AD468">
        <f>IF(Games[[#This Row],[Team]]="","",--(OR(AND(Games[[#This Row],[ExpectedWin]]&gt;=0.5,Games[[#This Row],[Result]]=1),AND(Games[[#This Row],[ExpectedWin]]&lt;0.5,Games[[#This Row],[Result]]=0))))</f>
        <v>1</v>
      </c>
      <c r="AE468">
        <f>IF(Games[[#This Row],[Team]]="","",-(Games[[#This Row],[Result]]*LN(Games[[#This Row],[ExpectedWin]])+(1-Games[[#This Row],[Result]])*LN(1-Games[[#This Row],[ExpectedWin]])))</f>
        <v>0.1919275403950641</v>
      </c>
      <c r="AF468">
        <f>IF(Games[[#This Row],[Team]]="","",IF(Games[[#This Row],[Season]]&gt;=2021,17,16))</f>
        <v>16</v>
      </c>
      <c r="AG468">
        <f>IF(Games[[#This Row],[Team]]="","",KMax-(KMax-KFloor)*MIN(Games[[#This Row],[GamesPlayed]],Games[[#This Row],[SeasonLen]])/Games[[#This Row],[SeasonLen]])</f>
        <v>36.200000000000003</v>
      </c>
      <c r="AH468">
        <f>IF(Games[[#This Row],[Team]]="","",((ABS(Games[[#This Row],[MOV]])+3)^0.8)/(7.5+0.006*ABS(Games[[#This Row],[PreGmRate]]-Games[[#This Row],[OppPreGmRate]]))*IF(Games[[#This Row],[OT]]=1,0.7,1))</f>
        <v>1.7956726043277358</v>
      </c>
      <c r="AI46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8">
        <f>IF(Games[[#This Row],[Team]]="","",Games[[#This Row],[K]]*IF(Games[[#This Row],[DivG]]=1,DivMult,1)*IF(Games[[#This Row],[ConfG]]=1,ConfMult,1)*Games[[#This Row],[POMult]])</f>
        <v>40.616400000000006</v>
      </c>
      <c r="AK468">
        <f>IF(Games[[#This Row],[Team]]="","",(Games[[#This Row],[Keff]]*Games[[#This Row],[MOVMult]])*(Games[[#This Row],[Result]]-Games[[#This Row],[ExpectedWin]]))</f>
        <v>12.736664662704641</v>
      </c>
      <c r="AL468">
        <f>IF(Games[[#This Row],[Team]]="","",Games[[#This Row],[PreGmRate]]+Games[[#This Row],[RatingChange]])</f>
        <v>1725.8492826799445</v>
      </c>
      <c r="AM468">
        <f>IF(Games[[#This Row],[Team]]="","",IF(Games[[#This Row],[Type]]="R",IF(Games[[#This Row],[Result]]&gt;0.5,1,0),0))</f>
        <v>1</v>
      </c>
      <c r="AN468">
        <f>IF(Games[[#This Row],[Team]]="","",IF(Games[[#This Row],[Type]]="R",IF(Games[[#This Row],[Result]]&lt;0.5,1,0),0))</f>
        <v>0</v>
      </c>
      <c r="AO468">
        <f>IF(Games[[#This Row],[Team]]="","",IF(Games[[#This Row],[Type]]="R",IF(Games[[#This Row],[Result]]=0.5,1,0),0))</f>
        <v>0</v>
      </c>
    </row>
    <row r="469" spans="1:41" x14ac:dyDescent="0.35">
      <c r="A469" s="8">
        <v>35421</v>
      </c>
      <c r="B469">
        <v>1996</v>
      </c>
      <c r="C469" t="s">
        <v>197</v>
      </c>
      <c r="D469" t="s">
        <v>199</v>
      </c>
      <c r="E469" t="s">
        <v>130</v>
      </c>
      <c r="F469" t="s">
        <v>120</v>
      </c>
      <c r="G469" t="s">
        <v>201</v>
      </c>
      <c r="H469">
        <v>10</v>
      </c>
      <c r="I469">
        <v>38</v>
      </c>
      <c r="J469">
        <v>0</v>
      </c>
      <c r="K46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6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6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6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69">
        <f>IF(Games[[#This Row],[Team]]="","",IF(Games[[#This Row],[Conf]]=Games[[#This Row],[OppConf]],1,0))</f>
        <v>1</v>
      </c>
      <c r="P469">
        <f>IF(Games[[#This Row],[Team]]="","",IF(AND(Games[[#This Row],[Conf]]=Games[[#This Row],[OppConf]],Games[[#This Row],[Div]]=Games[[#This Row],[OppDiv]]),1,0))</f>
        <v>1</v>
      </c>
      <c r="Q469">
        <f>IF(Games[[#This Row],[Team]]="","",_xlfn.MINIFS(Games[Date],Games[Season],Games[[#This Row],[Season]]))</f>
        <v>35309</v>
      </c>
      <c r="R469">
        <f>IF(Games[[#This Row],[Team]]="","",INT((Games[[#This Row],[Date]]-(Games[[#This Row],[SeasonStart]]-MOD(WEEKDAY(Games[[#This Row],[SeasonStart]],2)-2,7)))/7)+1)</f>
        <v>17</v>
      </c>
      <c r="S469">
        <f>IF(Games[[#This Row],[Team]]="","",COUNTIFS(Games[Team],Games[[#This Row],[Team]],Games[Season],Games[[#This Row],[Season]],Games[Week],"&lt;="&amp;Games[[#This Row],[Week]]))</f>
        <v>16</v>
      </c>
      <c r="T469">
        <f>IF(Games[[#This Row],[Team]]="","",_xlfn.MAXIFS(Games[Week],Games[Team],Games[[#This Row],[Team]],Games[Season],Games[[#This Row],[Season]],Games[Week],"&lt;"&amp;Games[[#This Row],[Week]]))</f>
        <v>16</v>
      </c>
      <c r="U469">
        <f>IF(Games[[#This Row],[Team]]="","",_xlfn.MAXIFS(Games[Week],Games[Team],Games[[#This Row],[Opponent]],Games[Season],Games[[#This Row],[Season]],Games[Week],"&lt;"&amp;Games[[#This Row],[Week]]))</f>
        <v>16</v>
      </c>
      <c r="V46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6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6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6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1515.3046988231031</v>
      </c>
      <c r="Z46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1713.1126180172398</v>
      </c>
      <c r="AA46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0.17463332793203012</v>
      </c>
      <c r="AB469">
        <f>IF(Games[[#This Row],[Team]]="","",Games[[#This Row],[PointsFor]]-Games[[#This Row],[PointsAgainst]])</f>
        <v>-28</v>
      </c>
      <c r="AC469">
        <f>IF(Games[[#This Row],[Team]]="","",IF(Games[[#This Row],[MOV]]&gt;0,1,IF(Games[[#This Row],[MOV]]=0,0.5,0)))</f>
        <v>0</v>
      </c>
      <c r="AD469">
        <f>IF(Games[[#This Row],[Team]]="","",--(OR(AND(Games[[#This Row],[ExpectedWin]]&gt;=0.5,Games[[#This Row],[Result]]=1),AND(Games[[#This Row],[ExpectedWin]]&lt;0.5,Games[[#This Row],[Result]]=0))))</f>
        <v>1</v>
      </c>
      <c r="AE469">
        <f>IF(Games[[#This Row],[Team]]="","",-(Games[[#This Row],[Result]]*LN(Games[[#This Row],[ExpectedWin]])+(1-Games[[#This Row],[Result]])*LN(1-Games[[#This Row],[ExpectedWin]])))</f>
        <v>0.19192754039506396</v>
      </c>
      <c r="AF469">
        <f>IF(Games[[#This Row],[Team]]="","",IF(Games[[#This Row],[Season]]&gt;=2021,17,16))</f>
        <v>16</v>
      </c>
      <c r="AG469">
        <f>IF(Games[[#This Row],[Team]]="","",KMax-(KMax-KFloor)*MIN(Games[[#This Row],[GamesPlayed]],Games[[#This Row],[SeasonLen]])/Games[[#This Row],[SeasonLen]])</f>
        <v>36.200000000000003</v>
      </c>
      <c r="AH469">
        <f>IF(Games[[#This Row],[Team]]="","",((ABS(Games[[#This Row],[MOV]])+3)^0.8)/(7.5+0.006*ABS(Games[[#This Row],[PreGmRate]]-Games[[#This Row],[OppPreGmRate]]))*IF(Games[[#This Row],[OT]]=1,0.7,1))</f>
        <v>1.7956726043277358</v>
      </c>
      <c r="AI46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9">
        <f>IF(Games[[#This Row],[Team]]="","",Games[[#This Row],[K]]*IF(Games[[#This Row],[DivG]]=1,DivMult,1)*IF(Games[[#This Row],[ConfG]]=1,ConfMult,1)*Games[[#This Row],[POMult]])</f>
        <v>40.616400000000006</v>
      </c>
      <c r="AK469">
        <f>IF(Games[[#This Row],[Team]]="","",(Games[[#This Row],[Keff]]*Games[[#This Row],[MOVMult]])*(Games[[#This Row],[Result]]-Games[[#This Row],[ExpectedWin]]))</f>
        <v>-12.736664662704632</v>
      </c>
      <c r="AL469">
        <f>IF(Games[[#This Row],[Team]]="","",Games[[#This Row],[PreGmRate]]+Games[[#This Row],[RatingChange]])</f>
        <v>1502.5680341603984</v>
      </c>
      <c r="AM469">
        <f>IF(Games[[#This Row],[Team]]="","",IF(Games[[#This Row],[Type]]="R",IF(Games[[#This Row],[Result]]&gt;0.5,1,0),0))</f>
        <v>0</v>
      </c>
      <c r="AN469">
        <f>IF(Games[[#This Row],[Team]]="","",IF(Games[[#This Row],[Type]]="R",IF(Games[[#This Row],[Result]]&lt;0.5,1,0),0))</f>
        <v>1</v>
      </c>
      <c r="AO469">
        <f>IF(Games[[#This Row],[Team]]="","",IF(Games[[#This Row],[Type]]="R",IF(Games[[#This Row],[Result]]=0.5,1,0),0))</f>
        <v>0</v>
      </c>
    </row>
    <row r="470" spans="1:41" x14ac:dyDescent="0.35">
      <c r="A470" s="8">
        <v>35421</v>
      </c>
      <c r="B470">
        <v>1996</v>
      </c>
      <c r="C470" t="s">
        <v>197</v>
      </c>
      <c r="D470" t="s">
        <v>199</v>
      </c>
      <c r="E470" t="s">
        <v>128</v>
      </c>
      <c r="F470" t="s">
        <v>138</v>
      </c>
      <c r="G470" t="s">
        <v>201</v>
      </c>
      <c r="H470">
        <v>31</v>
      </c>
      <c r="I470">
        <v>28</v>
      </c>
      <c r="J470">
        <v>0</v>
      </c>
      <c r="K47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7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7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7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70">
        <f>IF(Games[[#This Row],[Team]]="","",IF(Games[[#This Row],[Conf]]=Games[[#This Row],[OppConf]],1,0))</f>
        <v>1</v>
      </c>
      <c r="P470">
        <f>IF(Games[[#This Row],[Team]]="","",IF(AND(Games[[#This Row],[Conf]]=Games[[#This Row],[OppConf]],Games[[#This Row],[Div]]=Games[[#This Row],[OppDiv]]),1,0))</f>
        <v>1</v>
      </c>
      <c r="Q470">
        <f>IF(Games[[#This Row],[Team]]="","",_xlfn.MINIFS(Games[Date],Games[Season],Games[[#This Row],[Season]]))</f>
        <v>35309</v>
      </c>
      <c r="R470">
        <f>IF(Games[[#This Row],[Team]]="","",INT((Games[[#This Row],[Date]]-(Games[[#This Row],[SeasonStart]]-MOD(WEEKDAY(Games[[#This Row],[SeasonStart]],2)-2,7)))/7)+1)</f>
        <v>17</v>
      </c>
      <c r="S470">
        <f>IF(Games[[#This Row],[Team]]="","",COUNTIFS(Games[Team],Games[[#This Row],[Team]],Games[Season],Games[[#This Row],[Season]],Games[Week],"&lt;="&amp;Games[[#This Row],[Week]]))</f>
        <v>16</v>
      </c>
      <c r="T470">
        <f>IF(Games[[#This Row],[Team]]="","",_xlfn.MAXIFS(Games[Week],Games[Team],Games[[#This Row],[Team]],Games[Season],Games[[#This Row],[Season]],Games[Week],"&lt;"&amp;Games[[#This Row],[Week]]))</f>
        <v>16</v>
      </c>
      <c r="U470">
        <f>IF(Games[[#This Row],[Team]]="","",_xlfn.MAXIFS(Games[Week],Games[Team],Games[[#This Row],[Opponent]],Games[Season],Games[[#This Row],[Season]],Games[Week],"&lt;"&amp;Games[[#This Row],[Week]]))</f>
        <v>16</v>
      </c>
      <c r="V47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7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47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7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1496.096521599982</v>
      </c>
      <c r="Z47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1304.4779154168539</v>
      </c>
      <c r="AA47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0.65792057540493909</v>
      </c>
      <c r="AB470">
        <f>IF(Games[[#This Row],[Team]]="","",Games[[#This Row],[PointsFor]]-Games[[#This Row],[PointsAgainst]])</f>
        <v>3</v>
      </c>
      <c r="AC470">
        <f>IF(Games[[#This Row],[Team]]="","",IF(Games[[#This Row],[MOV]]&gt;0,1,IF(Games[[#This Row],[MOV]]=0,0.5,0)))</f>
        <v>1</v>
      </c>
      <c r="AD470">
        <f>IF(Games[[#This Row],[Team]]="","",--(OR(AND(Games[[#This Row],[ExpectedWin]]&gt;=0.5,Games[[#This Row],[Result]]=1),AND(Games[[#This Row],[ExpectedWin]]&lt;0.5,Games[[#This Row],[Result]]=0))))</f>
        <v>1</v>
      </c>
      <c r="AE470">
        <f>IF(Games[[#This Row],[Team]]="","",-(Games[[#This Row],[Result]]*LN(Games[[#This Row],[ExpectedWin]])+(1-Games[[#This Row],[Result]])*LN(1-Games[[#This Row],[ExpectedWin]])))</f>
        <v>0.41867106101390511</v>
      </c>
      <c r="AF470">
        <f>IF(Games[[#This Row],[Team]]="","",IF(Games[[#This Row],[Season]]&gt;=2021,17,16))</f>
        <v>16</v>
      </c>
      <c r="AG470">
        <f>IF(Games[[#This Row],[Team]]="","",KMax-(KMax-KFloor)*MIN(Games[[#This Row],[GamesPlayed]],Games[[#This Row],[SeasonLen]])/Games[[#This Row],[SeasonLen]])</f>
        <v>36.200000000000003</v>
      </c>
      <c r="AH470">
        <f>IF(Games[[#This Row],[Team]]="","",((ABS(Games[[#This Row],[MOV]])+3)^0.8)/(7.5+0.006*ABS(Games[[#This Row],[PreGmRate]]-Games[[#This Row],[OppPreGmRate]]))*IF(Games[[#This Row],[OT]]=1,0.7,1))</f>
        <v>0.48475173376252034</v>
      </c>
      <c r="AI47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0">
        <f>IF(Games[[#This Row],[Team]]="","",Games[[#This Row],[K]]*IF(Games[[#This Row],[DivG]]=1,DivMult,1)*IF(Games[[#This Row],[ConfG]]=1,ConfMult,1)*Games[[#This Row],[POMult]])</f>
        <v>40.616400000000006</v>
      </c>
      <c r="AK470">
        <f>IF(Games[[#This Row],[Team]]="","",(Games[[#This Row],[Keff]]*Games[[#This Row],[MOVMult]])*(Games[[#This Row],[Result]]-Games[[#This Row],[ExpectedWin]]))</f>
        <v>6.7351574297159846</v>
      </c>
      <c r="AL470">
        <f>IF(Games[[#This Row],[Team]]="","",Games[[#This Row],[PreGmRate]]+Games[[#This Row],[RatingChange]])</f>
        <v>1502.8316790296981</v>
      </c>
      <c r="AM470">
        <f>IF(Games[[#This Row],[Team]]="","",IF(Games[[#This Row],[Type]]="R",IF(Games[[#This Row],[Result]]&gt;0.5,1,0),0))</f>
        <v>1</v>
      </c>
      <c r="AN470">
        <f>IF(Games[[#This Row],[Team]]="","",IF(Games[[#This Row],[Type]]="R",IF(Games[[#This Row],[Result]]&lt;0.5,1,0),0))</f>
        <v>0</v>
      </c>
      <c r="AO470">
        <f>IF(Games[[#This Row],[Team]]="","",IF(Games[[#This Row],[Type]]="R",IF(Games[[#This Row],[Result]]=0.5,1,0),0))</f>
        <v>0</v>
      </c>
    </row>
    <row r="471" spans="1:41" x14ac:dyDescent="0.35">
      <c r="A471" s="8">
        <v>35421</v>
      </c>
      <c r="B471">
        <v>1996</v>
      </c>
      <c r="C471" t="s">
        <v>197</v>
      </c>
      <c r="D471" t="s">
        <v>199</v>
      </c>
      <c r="E471" t="s">
        <v>138</v>
      </c>
      <c r="F471" t="s">
        <v>128</v>
      </c>
      <c r="G471" t="s">
        <v>200</v>
      </c>
      <c r="H471">
        <v>28</v>
      </c>
      <c r="I471">
        <v>31</v>
      </c>
      <c r="J471">
        <v>0</v>
      </c>
      <c r="K47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7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7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7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71">
        <f>IF(Games[[#This Row],[Team]]="","",IF(Games[[#This Row],[Conf]]=Games[[#This Row],[OppConf]],1,0))</f>
        <v>1</v>
      </c>
      <c r="P471">
        <f>IF(Games[[#This Row],[Team]]="","",IF(AND(Games[[#This Row],[Conf]]=Games[[#This Row],[OppConf]],Games[[#This Row],[Div]]=Games[[#This Row],[OppDiv]]),1,0))</f>
        <v>1</v>
      </c>
      <c r="Q471">
        <f>IF(Games[[#This Row],[Team]]="","",_xlfn.MINIFS(Games[Date],Games[Season],Games[[#This Row],[Season]]))</f>
        <v>35309</v>
      </c>
      <c r="R471">
        <f>IF(Games[[#This Row],[Team]]="","",INT((Games[[#This Row],[Date]]-(Games[[#This Row],[SeasonStart]]-MOD(WEEKDAY(Games[[#This Row],[SeasonStart]],2)-2,7)))/7)+1)</f>
        <v>17</v>
      </c>
      <c r="S471">
        <f>IF(Games[[#This Row],[Team]]="","",COUNTIFS(Games[Team],Games[[#This Row],[Team]],Games[Season],Games[[#This Row],[Season]],Games[Week],"&lt;="&amp;Games[[#This Row],[Week]]))</f>
        <v>16</v>
      </c>
      <c r="T471">
        <f>IF(Games[[#This Row],[Team]]="","",_xlfn.MAXIFS(Games[Week],Games[Team],Games[[#This Row],[Team]],Games[Season],Games[[#This Row],[Season]],Games[Week],"&lt;"&amp;Games[[#This Row],[Week]]))</f>
        <v>16</v>
      </c>
      <c r="U471">
        <f>IF(Games[[#This Row],[Team]]="","",_xlfn.MAXIFS(Games[Week],Games[Team],Games[[#This Row],[Opponent]],Games[Season],Games[[#This Row],[Season]],Games[Week],"&lt;"&amp;Games[[#This Row],[Week]]))</f>
        <v>16</v>
      </c>
      <c r="V47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47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7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7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1304.4779154168539</v>
      </c>
      <c r="Z47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1496.096521599982</v>
      </c>
      <c r="AA47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0.34207942459506097</v>
      </c>
      <c r="AB471">
        <f>IF(Games[[#This Row],[Team]]="","",Games[[#This Row],[PointsFor]]-Games[[#This Row],[PointsAgainst]])</f>
        <v>-3</v>
      </c>
      <c r="AC471">
        <f>IF(Games[[#This Row],[Team]]="","",IF(Games[[#This Row],[MOV]]&gt;0,1,IF(Games[[#This Row],[MOV]]=0,0.5,0)))</f>
        <v>0</v>
      </c>
      <c r="AD471">
        <f>IF(Games[[#This Row],[Team]]="","",--(OR(AND(Games[[#This Row],[ExpectedWin]]&gt;=0.5,Games[[#This Row],[Result]]=1),AND(Games[[#This Row],[ExpectedWin]]&lt;0.5,Games[[#This Row],[Result]]=0))))</f>
        <v>1</v>
      </c>
      <c r="AE471">
        <f>IF(Games[[#This Row],[Team]]="","",-(Games[[#This Row],[Result]]*LN(Games[[#This Row],[ExpectedWin]])+(1-Games[[#This Row],[Result]])*LN(1-Games[[#This Row],[ExpectedWin]])))</f>
        <v>0.41867106101390511</v>
      </c>
      <c r="AF471">
        <f>IF(Games[[#This Row],[Team]]="","",IF(Games[[#This Row],[Season]]&gt;=2021,17,16))</f>
        <v>16</v>
      </c>
      <c r="AG471">
        <f>IF(Games[[#This Row],[Team]]="","",KMax-(KMax-KFloor)*MIN(Games[[#This Row],[GamesPlayed]],Games[[#This Row],[SeasonLen]])/Games[[#This Row],[SeasonLen]])</f>
        <v>36.200000000000003</v>
      </c>
      <c r="AH471">
        <f>IF(Games[[#This Row],[Team]]="","",((ABS(Games[[#This Row],[MOV]])+3)^0.8)/(7.5+0.006*ABS(Games[[#This Row],[PreGmRate]]-Games[[#This Row],[OppPreGmRate]]))*IF(Games[[#This Row],[OT]]=1,0.7,1))</f>
        <v>0.48475173376252034</v>
      </c>
      <c r="AI47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1">
        <f>IF(Games[[#This Row],[Team]]="","",Games[[#This Row],[K]]*IF(Games[[#This Row],[DivG]]=1,DivMult,1)*IF(Games[[#This Row],[ConfG]]=1,ConfMult,1)*Games[[#This Row],[POMult]])</f>
        <v>40.616400000000006</v>
      </c>
      <c r="AK471">
        <f>IF(Games[[#This Row],[Team]]="","",(Games[[#This Row],[Keff]]*Games[[#This Row],[MOVMult]])*(Games[[#This Row],[Result]]-Games[[#This Row],[ExpectedWin]]))</f>
        <v>-6.7351574297159855</v>
      </c>
      <c r="AL471">
        <f>IF(Games[[#This Row],[Team]]="","",Games[[#This Row],[PreGmRate]]+Games[[#This Row],[RatingChange]])</f>
        <v>1297.7427579871378</v>
      </c>
      <c r="AM471">
        <f>IF(Games[[#This Row],[Team]]="","",IF(Games[[#This Row],[Type]]="R",IF(Games[[#This Row],[Result]]&gt;0.5,1,0),0))</f>
        <v>0</v>
      </c>
      <c r="AN471">
        <f>IF(Games[[#This Row],[Team]]="","",IF(Games[[#This Row],[Type]]="R",IF(Games[[#This Row],[Result]]&lt;0.5,1,0),0))</f>
        <v>1</v>
      </c>
      <c r="AO471">
        <f>IF(Games[[#This Row],[Team]]="","",IF(Games[[#This Row],[Type]]="R",IF(Games[[#This Row],[Result]]=0.5,1,0),0))</f>
        <v>0</v>
      </c>
    </row>
    <row r="472" spans="1:41" x14ac:dyDescent="0.35">
      <c r="A472" s="8">
        <v>35421</v>
      </c>
      <c r="B472">
        <v>1996</v>
      </c>
      <c r="C472" t="s">
        <v>197</v>
      </c>
      <c r="D472" t="s">
        <v>199</v>
      </c>
      <c r="E472" t="s">
        <v>153</v>
      </c>
      <c r="F472" t="s">
        <v>101</v>
      </c>
      <c r="G472" t="s">
        <v>201</v>
      </c>
      <c r="H472">
        <v>24</v>
      </c>
      <c r="I472">
        <v>21</v>
      </c>
      <c r="J472">
        <v>0</v>
      </c>
      <c r="K47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7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7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7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72">
        <f>IF(Games[[#This Row],[Team]]="","",IF(Games[[#This Row],[Conf]]=Games[[#This Row],[OppConf]],1,0))</f>
        <v>1</v>
      </c>
      <c r="P472">
        <f>IF(Games[[#This Row],[Team]]="","",IF(AND(Games[[#This Row],[Conf]]=Games[[#This Row],[OppConf]],Games[[#This Row],[Div]]=Games[[#This Row],[OppDiv]]),1,0))</f>
        <v>1</v>
      </c>
      <c r="Q472">
        <f>IF(Games[[#This Row],[Team]]="","",_xlfn.MINIFS(Games[Date],Games[Season],Games[[#This Row],[Season]]))</f>
        <v>35309</v>
      </c>
      <c r="R472">
        <f>IF(Games[[#This Row],[Team]]="","",INT((Games[[#This Row],[Date]]-(Games[[#This Row],[SeasonStart]]-MOD(WEEKDAY(Games[[#This Row],[SeasonStart]],2)-2,7)))/7)+1)</f>
        <v>17</v>
      </c>
      <c r="S472">
        <f>IF(Games[[#This Row],[Team]]="","",COUNTIFS(Games[Team],Games[[#This Row],[Team]],Games[Season],Games[[#This Row],[Season]],Games[Week],"&lt;="&amp;Games[[#This Row],[Week]]))</f>
        <v>16</v>
      </c>
      <c r="T472">
        <f>IF(Games[[#This Row],[Team]]="","",_xlfn.MAXIFS(Games[Week],Games[Team],Games[[#This Row],[Team]],Games[Season],Games[[#This Row],[Season]],Games[Week],"&lt;"&amp;Games[[#This Row],[Week]]))</f>
        <v>16</v>
      </c>
      <c r="U472">
        <f>IF(Games[[#This Row],[Team]]="","",_xlfn.MAXIFS(Games[Week],Games[Team],Games[[#This Row],[Opponent]],Games[Season],Games[[#This Row],[Season]],Games[Week],"&lt;"&amp;Games[[#This Row],[Week]]))</f>
        <v>16</v>
      </c>
      <c r="V47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7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7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7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1482.5571861383798</v>
      </c>
      <c r="Z47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1416.304418428763</v>
      </c>
      <c r="AA47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0.49172982219454797</v>
      </c>
      <c r="AB472">
        <f>IF(Games[[#This Row],[Team]]="","",Games[[#This Row],[PointsFor]]-Games[[#This Row],[PointsAgainst]])</f>
        <v>3</v>
      </c>
      <c r="AC472">
        <f>IF(Games[[#This Row],[Team]]="","",IF(Games[[#This Row],[MOV]]&gt;0,1,IF(Games[[#This Row],[MOV]]=0,0.5,0)))</f>
        <v>1</v>
      </c>
      <c r="AD472">
        <f>IF(Games[[#This Row],[Team]]="","",--(OR(AND(Games[[#This Row],[ExpectedWin]]&gt;=0.5,Games[[#This Row],[Result]]=1),AND(Games[[#This Row],[ExpectedWin]]&lt;0.5,Games[[#This Row],[Result]]=0))))</f>
        <v>0</v>
      </c>
      <c r="AE472">
        <f>IF(Games[[#This Row],[Team]]="","",-(Games[[#This Row],[Result]]*LN(Games[[#This Row],[ExpectedWin]])+(1-Games[[#This Row],[Result]])*LN(1-Games[[#This Row],[ExpectedWin]])))</f>
        <v>0.70982585520445363</v>
      </c>
      <c r="AF472">
        <f>IF(Games[[#This Row],[Team]]="","",IF(Games[[#This Row],[Season]]&gt;=2021,17,16))</f>
        <v>16</v>
      </c>
      <c r="AG472">
        <f>IF(Games[[#This Row],[Team]]="","",KMax-(KMax-KFloor)*MIN(Games[[#This Row],[GamesPlayed]],Games[[#This Row],[SeasonLen]])/Games[[#This Row],[SeasonLen]])</f>
        <v>36.200000000000003</v>
      </c>
      <c r="AH472">
        <f>IF(Games[[#This Row],[Team]]="","",((ABS(Games[[#This Row],[MOV]])+3)^0.8)/(7.5+0.006*ABS(Games[[#This Row],[PreGmRate]]-Games[[#This Row],[OppPreGmRate]]))*IF(Games[[#This Row],[OT]]=1,0.7,1))</f>
        <v>0.53092167090945108</v>
      </c>
      <c r="AI47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2">
        <f>IF(Games[[#This Row],[Team]]="","",Games[[#This Row],[K]]*IF(Games[[#This Row],[DivG]]=1,DivMult,1)*IF(Games[[#This Row],[ConfG]]=1,ConfMult,1)*Games[[#This Row],[POMult]])</f>
        <v>40.616400000000006</v>
      </c>
      <c r="AK472">
        <f>IF(Games[[#This Row],[Team]]="","",(Games[[#This Row],[Keff]]*Games[[#This Row],[MOVMult]])*(Games[[#This Row],[Result]]-Games[[#This Row],[ExpectedWin]]))</f>
        <v>10.960402641294937</v>
      </c>
      <c r="AL472">
        <f>IF(Games[[#This Row],[Team]]="","",Games[[#This Row],[PreGmRate]]+Games[[#This Row],[RatingChange]])</f>
        <v>1493.5175887796747</v>
      </c>
      <c r="AM472">
        <f>IF(Games[[#This Row],[Team]]="","",IF(Games[[#This Row],[Type]]="R",IF(Games[[#This Row],[Result]]&gt;0.5,1,0),0))</f>
        <v>1</v>
      </c>
      <c r="AN472">
        <f>IF(Games[[#This Row],[Team]]="","",IF(Games[[#This Row],[Type]]="R",IF(Games[[#This Row],[Result]]&lt;0.5,1,0),0))</f>
        <v>0</v>
      </c>
      <c r="AO472">
        <f>IF(Games[[#This Row],[Team]]="","",IF(Games[[#This Row],[Type]]="R",IF(Games[[#This Row],[Result]]=0.5,1,0),0))</f>
        <v>0</v>
      </c>
    </row>
    <row r="473" spans="1:41" x14ac:dyDescent="0.35">
      <c r="A473" s="8">
        <v>35421</v>
      </c>
      <c r="B473">
        <v>1996</v>
      </c>
      <c r="C473" t="s">
        <v>197</v>
      </c>
      <c r="D473" t="s">
        <v>199</v>
      </c>
      <c r="E473" t="s">
        <v>101</v>
      </c>
      <c r="F473" t="s">
        <v>153</v>
      </c>
      <c r="G473" t="s">
        <v>200</v>
      </c>
      <c r="H473">
        <v>21</v>
      </c>
      <c r="I473">
        <v>24</v>
      </c>
      <c r="J473">
        <v>0</v>
      </c>
      <c r="K47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7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7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7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73">
        <f>IF(Games[[#This Row],[Team]]="","",IF(Games[[#This Row],[Conf]]=Games[[#This Row],[OppConf]],1,0))</f>
        <v>1</v>
      </c>
      <c r="P473">
        <f>IF(Games[[#This Row],[Team]]="","",IF(AND(Games[[#This Row],[Conf]]=Games[[#This Row],[OppConf]],Games[[#This Row],[Div]]=Games[[#This Row],[OppDiv]]),1,0))</f>
        <v>1</v>
      </c>
      <c r="Q473">
        <f>IF(Games[[#This Row],[Team]]="","",_xlfn.MINIFS(Games[Date],Games[Season],Games[[#This Row],[Season]]))</f>
        <v>35309</v>
      </c>
      <c r="R473">
        <f>IF(Games[[#This Row],[Team]]="","",INT((Games[[#This Row],[Date]]-(Games[[#This Row],[SeasonStart]]-MOD(WEEKDAY(Games[[#This Row],[SeasonStart]],2)-2,7)))/7)+1)</f>
        <v>17</v>
      </c>
      <c r="S473">
        <f>IF(Games[[#This Row],[Team]]="","",COUNTIFS(Games[Team],Games[[#This Row],[Team]],Games[Season],Games[[#This Row],[Season]],Games[Week],"&lt;="&amp;Games[[#This Row],[Week]]))</f>
        <v>16</v>
      </c>
      <c r="T473">
        <f>IF(Games[[#This Row],[Team]]="","",_xlfn.MAXIFS(Games[Week],Games[Team],Games[[#This Row],[Team]],Games[Season],Games[[#This Row],[Season]],Games[Week],"&lt;"&amp;Games[[#This Row],[Week]]))</f>
        <v>16</v>
      </c>
      <c r="U473">
        <f>IF(Games[[#This Row],[Team]]="","",_xlfn.MAXIFS(Games[Week],Games[Team],Games[[#This Row],[Opponent]],Games[Season],Games[[#This Row],[Season]],Games[Week],"&lt;"&amp;Games[[#This Row],[Week]]))</f>
        <v>16</v>
      </c>
      <c r="V47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7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7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7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1416.304418428763</v>
      </c>
      <c r="Z47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1482.5571861383798</v>
      </c>
      <c r="AA47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0.50827017780545203</v>
      </c>
      <c r="AB473">
        <f>IF(Games[[#This Row],[Team]]="","",Games[[#This Row],[PointsFor]]-Games[[#This Row],[PointsAgainst]])</f>
        <v>-3</v>
      </c>
      <c r="AC473">
        <f>IF(Games[[#This Row],[Team]]="","",IF(Games[[#This Row],[MOV]]&gt;0,1,IF(Games[[#This Row],[MOV]]=0,0.5,0)))</f>
        <v>0</v>
      </c>
      <c r="AD473">
        <f>IF(Games[[#This Row],[Team]]="","",--(OR(AND(Games[[#This Row],[ExpectedWin]]&gt;=0.5,Games[[#This Row],[Result]]=1),AND(Games[[#This Row],[ExpectedWin]]&lt;0.5,Games[[#This Row],[Result]]=0))))</f>
        <v>0</v>
      </c>
      <c r="AE473">
        <f>IF(Games[[#This Row],[Team]]="","",-(Games[[#This Row],[Result]]*LN(Games[[#This Row],[ExpectedWin]])+(1-Games[[#This Row],[Result]])*LN(1-Games[[#This Row],[ExpectedWin]])))</f>
        <v>0.70982585520445363</v>
      </c>
      <c r="AF473">
        <f>IF(Games[[#This Row],[Team]]="","",IF(Games[[#This Row],[Season]]&gt;=2021,17,16))</f>
        <v>16</v>
      </c>
      <c r="AG473">
        <f>IF(Games[[#This Row],[Team]]="","",KMax-(KMax-KFloor)*MIN(Games[[#This Row],[GamesPlayed]],Games[[#This Row],[SeasonLen]])/Games[[#This Row],[SeasonLen]])</f>
        <v>36.200000000000003</v>
      </c>
      <c r="AH473">
        <f>IF(Games[[#This Row],[Team]]="","",((ABS(Games[[#This Row],[MOV]])+3)^0.8)/(7.5+0.006*ABS(Games[[#This Row],[PreGmRate]]-Games[[#This Row],[OppPreGmRate]]))*IF(Games[[#This Row],[OT]]=1,0.7,1))</f>
        <v>0.53092167090945108</v>
      </c>
      <c r="AI47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3">
        <f>IF(Games[[#This Row],[Team]]="","",Games[[#This Row],[K]]*IF(Games[[#This Row],[DivG]]=1,DivMult,1)*IF(Games[[#This Row],[ConfG]]=1,ConfMult,1)*Games[[#This Row],[POMult]])</f>
        <v>40.616400000000006</v>
      </c>
      <c r="AK473">
        <f>IF(Games[[#This Row],[Team]]="","",(Games[[#This Row],[Keff]]*Games[[#This Row],[MOVMult]])*(Games[[#This Row],[Result]]-Games[[#This Row],[ExpectedWin]]))</f>
        <v>-10.960402641294937</v>
      </c>
      <c r="AL473">
        <f>IF(Games[[#This Row],[Team]]="","",Games[[#This Row],[PreGmRate]]+Games[[#This Row],[RatingChange]])</f>
        <v>1405.3440157874682</v>
      </c>
      <c r="AM473">
        <f>IF(Games[[#This Row],[Team]]="","",IF(Games[[#This Row],[Type]]="R",IF(Games[[#This Row],[Result]]&gt;0.5,1,0),0))</f>
        <v>0</v>
      </c>
      <c r="AN473">
        <f>IF(Games[[#This Row],[Team]]="","",IF(Games[[#This Row],[Type]]="R",IF(Games[[#This Row],[Result]]&lt;0.5,1,0),0))</f>
        <v>1</v>
      </c>
      <c r="AO473">
        <f>IF(Games[[#This Row],[Team]]="","",IF(Games[[#This Row],[Type]]="R",IF(Games[[#This Row],[Result]]=0.5,1,0),0))</f>
        <v>0</v>
      </c>
    </row>
    <row r="474" spans="1:41" x14ac:dyDescent="0.35">
      <c r="A474" s="8">
        <v>35421</v>
      </c>
      <c r="B474">
        <v>1996</v>
      </c>
      <c r="C474" t="s">
        <v>197</v>
      </c>
      <c r="D474" t="s">
        <v>199</v>
      </c>
      <c r="E474" t="s">
        <v>154</v>
      </c>
      <c r="F474" t="s">
        <v>114</v>
      </c>
      <c r="G474" t="s">
        <v>200</v>
      </c>
      <c r="H474">
        <v>37</v>
      </c>
      <c r="I474">
        <v>10</v>
      </c>
      <c r="J474">
        <v>0</v>
      </c>
      <c r="K47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7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7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7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74">
        <f>IF(Games[[#This Row],[Team]]="","",IF(Games[[#This Row],[Conf]]=Games[[#This Row],[OppConf]],1,0))</f>
        <v>1</v>
      </c>
      <c r="P474">
        <f>IF(Games[[#This Row],[Team]]="","",IF(AND(Games[[#This Row],[Conf]]=Games[[#This Row],[OppConf]],Games[[#This Row],[Div]]=Games[[#This Row],[OppDiv]]),1,0))</f>
        <v>1</v>
      </c>
      <c r="Q474">
        <f>IF(Games[[#This Row],[Team]]="","",_xlfn.MINIFS(Games[Date],Games[Season],Games[[#This Row],[Season]]))</f>
        <v>35309</v>
      </c>
      <c r="R474">
        <f>IF(Games[[#This Row],[Team]]="","",INT((Games[[#This Row],[Date]]-(Games[[#This Row],[SeasonStart]]-MOD(WEEKDAY(Games[[#This Row],[SeasonStart]],2)-2,7)))/7)+1)</f>
        <v>17</v>
      </c>
      <c r="S474">
        <f>IF(Games[[#This Row],[Team]]="","",COUNTIFS(Games[Team],Games[[#This Row],[Team]],Games[Season],Games[[#This Row],[Season]],Games[Week],"&lt;="&amp;Games[[#This Row],[Week]]))</f>
        <v>16</v>
      </c>
      <c r="T474">
        <f>IF(Games[[#This Row],[Team]]="","",_xlfn.MAXIFS(Games[Week],Games[Team],Games[[#This Row],[Team]],Games[Season],Games[[#This Row],[Season]],Games[Week],"&lt;"&amp;Games[[#This Row],[Week]]))</f>
        <v>16</v>
      </c>
      <c r="U474">
        <f>IF(Games[[#This Row],[Team]]="","",_xlfn.MAXIFS(Games[Week],Games[Team],Games[[#This Row],[Opponent]],Games[Season],Games[[#This Row],[Season]],Games[Week],"&lt;"&amp;Games[[#This Row],[Week]]))</f>
        <v>16</v>
      </c>
      <c r="V47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7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7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7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1513.5101168558115</v>
      </c>
      <c r="Z47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1599.5689717602274</v>
      </c>
      <c r="AA47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0.47977871690350898</v>
      </c>
      <c r="AB474">
        <f>IF(Games[[#This Row],[Team]]="","",Games[[#This Row],[PointsFor]]-Games[[#This Row],[PointsAgainst]])</f>
        <v>27</v>
      </c>
      <c r="AC474">
        <f>IF(Games[[#This Row],[Team]]="","",IF(Games[[#This Row],[MOV]]&gt;0,1,IF(Games[[#This Row],[MOV]]=0,0.5,0)))</f>
        <v>1</v>
      </c>
      <c r="AD474">
        <f>IF(Games[[#This Row],[Team]]="","",--(OR(AND(Games[[#This Row],[ExpectedWin]]&gt;=0.5,Games[[#This Row],[Result]]=1),AND(Games[[#This Row],[ExpectedWin]]&lt;0.5,Games[[#This Row],[Result]]=0))))</f>
        <v>0</v>
      </c>
      <c r="AE474">
        <f>IF(Games[[#This Row],[Team]]="","",-(Games[[#This Row],[Result]]*LN(Games[[#This Row],[ExpectedWin]])+(1-Games[[#This Row],[Result]])*LN(1-Games[[#This Row],[ExpectedWin]])))</f>
        <v>0.73443028782736741</v>
      </c>
      <c r="AF474">
        <f>IF(Games[[#This Row],[Team]]="","",IF(Games[[#This Row],[Season]]&gt;=2021,17,16))</f>
        <v>16</v>
      </c>
      <c r="AG474">
        <f>IF(Games[[#This Row],[Team]]="","",KMax-(KMax-KFloor)*MIN(Games[[#This Row],[GamesPlayed]],Games[[#This Row],[SeasonLen]])/Games[[#This Row],[SeasonLen]])</f>
        <v>36.200000000000003</v>
      </c>
      <c r="AH474">
        <f>IF(Games[[#This Row],[Team]]="","",((ABS(Games[[#This Row],[MOV]])+3)^0.8)/(7.5+0.006*ABS(Games[[#This Row],[PreGmRate]]-Games[[#This Row],[OppPreGmRate]]))*IF(Games[[#This Row],[OT]]=1,0.7,1))</f>
        <v>1.8954841781590297</v>
      </c>
      <c r="AI47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4">
        <f>IF(Games[[#This Row],[Team]]="","",Games[[#This Row],[K]]*IF(Games[[#This Row],[DivG]]=1,DivMult,1)*IF(Games[[#This Row],[ConfG]]=1,ConfMult,1)*Games[[#This Row],[POMult]])</f>
        <v>40.616400000000006</v>
      </c>
      <c r="AK474">
        <f>IF(Games[[#This Row],[Team]]="","",(Games[[#This Row],[Keff]]*Games[[#This Row],[MOVMult]])*(Games[[#This Row],[Result]]-Games[[#This Row],[ExpectedWin]]))</f>
        <v>40.050662744654645</v>
      </c>
      <c r="AL474">
        <f>IF(Games[[#This Row],[Team]]="","",Games[[#This Row],[PreGmRate]]+Games[[#This Row],[RatingChange]])</f>
        <v>1553.560779600466</v>
      </c>
      <c r="AM474">
        <f>IF(Games[[#This Row],[Team]]="","",IF(Games[[#This Row],[Type]]="R",IF(Games[[#This Row],[Result]]&gt;0.5,1,0),0))</f>
        <v>1</v>
      </c>
      <c r="AN474">
        <f>IF(Games[[#This Row],[Team]]="","",IF(Games[[#This Row],[Type]]="R",IF(Games[[#This Row],[Result]]&lt;0.5,1,0),0))</f>
        <v>0</v>
      </c>
      <c r="AO474">
        <f>IF(Games[[#This Row],[Team]]="","",IF(Games[[#This Row],[Type]]="R",IF(Games[[#This Row],[Result]]=0.5,1,0),0))</f>
        <v>0</v>
      </c>
    </row>
    <row r="475" spans="1:41" x14ac:dyDescent="0.35">
      <c r="A475" s="8">
        <v>35421</v>
      </c>
      <c r="B475">
        <v>1996</v>
      </c>
      <c r="C475" t="s">
        <v>197</v>
      </c>
      <c r="D475" t="s">
        <v>199</v>
      </c>
      <c r="E475" t="s">
        <v>114</v>
      </c>
      <c r="F475" t="s">
        <v>154</v>
      </c>
      <c r="G475" t="s">
        <v>201</v>
      </c>
      <c r="H475">
        <v>10</v>
      </c>
      <c r="I475">
        <v>37</v>
      </c>
      <c r="J475">
        <v>0</v>
      </c>
      <c r="K47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7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7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7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75">
        <f>IF(Games[[#This Row],[Team]]="","",IF(Games[[#This Row],[Conf]]=Games[[#This Row],[OppConf]],1,0))</f>
        <v>1</v>
      </c>
      <c r="P475">
        <f>IF(Games[[#This Row],[Team]]="","",IF(AND(Games[[#This Row],[Conf]]=Games[[#This Row],[OppConf]],Games[[#This Row],[Div]]=Games[[#This Row],[OppDiv]]),1,0))</f>
        <v>1</v>
      </c>
      <c r="Q475">
        <f>IF(Games[[#This Row],[Team]]="","",_xlfn.MINIFS(Games[Date],Games[Season],Games[[#This Row],[Season]]))</f>
        <v>35309</v>
      </c>
      <c r="R475">
        <f>IF(Games[[#This Row],[Team]]="","",INT((Games[[#This Row],[Date]]-(Games[[#This Row],[SeasonStart]]-MOD(WEEKDAY(Games[[#This Row],[SeasonStart]],2)-2,7)))/7)+1)</f>
        <v>17</v>
      </c>
      <c r="S475">
        <f>IF(Games[[#This Row],[Team]]="","",COUNTIFS(Games[Team],Games[[#This Row],[Team]],Games[Season],Games[[#This Row],[Season]],Games[Week],"&lt;="&amp;Games[[#This Row],[Week]]))</f>
        <v>16</v>
      </c>
      <c r="T475">
        <f>IF(Games[[#This Row],[Team]]="","",_xlfn.MAXIFS(Games[Week],Games[Team],Games[[#This Row],[Team]],Games[Season],Games[[#This Row],[Season]],Games[Week],"&lt;"&amp;Games[[#This Row],[Week]]))</f>
        <v>16</v>
      </c>
      <c r="U475">
        <f>IF(Games[[#This Row],[Team]]="","",_xlfn.MAXIFS(Games[Week],Games[Team],Games[[#This Row],[Opponent]],Games[Season],Games[[#This Row],[Season]],Games[Week],"&lt;"&amp;Games[[#This Row],[Week]]))</f>
        <v>16</v>
      </c>
      <c r="V47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7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7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7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1599.5689717602274</v>
      </c>
      <c r="Z47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1513.5101168558115</v>
      </c>
      <c r="AA47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0.52022128309649107</v>
      </c>
      <c r="AB475">
        <f>IF(Games[[#This Row],[Team]]="","",Games[[#This Row],[PointsFor]]-Games[[#This Row],[PointsAgainst]])</f>
        <v>-27</v>
      </c>
      <c r="AC475">
        <f>IF(Games[[#This Row],[Team]]="","",IF(Games[[#This Row],[MOV]]&gt;0,1,IF(Games[[#This Row],[MOV]]=0,0.5,0)))</f>
        <v>0</v>
      </c>
      <c r="AD475">
        <f>IF(Games[[#This Row],[Team]]="","",--(OR(AND(Games[[#This Row],[ExpectedWin]]&gt;=0.5,Games[[#This Row],[Result]]=1),AND(Games[[#This Row],[ExpectedWin]]&lt;0.5,Games[[#This Row],[Result]]=0))))</f>
        <v>0</v>
      </c>
      <c r="AE475">
        <f>IF(Games[[#This Row],[Team]]="","",-(Games[[#This Row],[Result]]*LN(Games[[#This Row],[ExpectedWin]])+(1-Games[[#This Row],[Result]])*LN(1-Games[[#This Row],[ExpectedWin]])))</f>
        <v>0.73443028782736752</v>
      </c>
      <c r="AF475">
        <f>IF(Games[[#This Row],[Team]]="","",IF(Games[[#This Row],[Season]]&gt;=2021,17,16))</f>
        <v>16</v>
      </c>
      <c r="AG475">
        <f>IF(Games[[#This Row],[Team]]="","",KMax-(KMax-KFloor)*MIN(Games[[#This Row],[GamesPlayed]],Games[[#This Row],[SeasonLen]])/Games[[#This Row],[SeasonLen]])</f>
        <v>36.200000000000003</v>
      </c>
      <c r="AH475">
        <f>IF(Games[[#This Row],[Team]]="","",((ABS(Games[[#This Row],[MOV]])+3)^0.8)/(7.5+0.006*ABS(Games[[#This Row],[PreGmRate]]-Games[[#This Row],[OppPreGmRate]]))*IF(Games[[#This Row],[OT]]=1,0.7,1))</f>
        <v>1.8954841781590297</v>
      </c>
      <c r="AI47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5">
        <f>IF(Games[[#This Row],[Team]]="","",Games[[#This Row],[K]]*IF(Games[[#This Row],[DivG]]=1,DivMult,1)*IF(Games[[#This Row],[ConfG]]=1,ConfMult,1)*Games[[#This Row],[POMult]])</f>
        <v>40.616400000000006</v>
      </c>
      <c r="AK475">
        <f>IF(Games[[#This Row],[Team]]="","",(Games[[#This Row],[Keff]]*Games[[#This Row],[MOVMult]])*(Games[[#This Row],[Result]]-Games[[#This Row],[ExpectedWin]]))</f>
        <v>-40.050662744654652</v>
      </c>
      <c r="AL475">
        <f>IF(Games[[#This Row],[Team]]="","",Games[[#This Row],[PreGmRate]]+Games[[#This Row],[RatingChange]])</f>
        <v>1559.5183090155729</v>
      </c>
      <c r="AM475">
        <f>IF(Games[[#This Row],[Team]]="","",IF(Games[[#This Row],[Type]]="R",IF(Games[[#This Row],[Result]]&gt;0.5,1,0),0))</f>
        <v>0</v>
      </c>
      <c r="AN475">
        <f>IF(Games[[#This Row],[Team]]="","",IF(Games[[#This Row],[Type]]="R",IF(Games[[#This Row],[Result]]&lt;0.5,1,0),0))</f>
        <v>1</v>
      </c>
      <c r="AO475">
        <f>IF(Games[[#This Row],[Team]]="","",IF(Games[[#This Row],[Type]]="R",IF(Games[[#This Row],[Result]]=0.5,1,0),0))</f>
        <v>0</v>
      </c>
    </row>
    <row r="476" spans="1:41" x14ac:dyDescent="0.35">
      <c r="A476" s="8">
        <v>35421</v>
      </c>
      <c r="B476">
        <v>1996</v>
      </c>
      <c r="C476" t="s">
        <v>197</v>
      </c>
      <c r="D476" t="s">
        <v>199</v>
      </c>
      <c r="E476" t="s">
        <v>146</v>
      </c>
      <c r="F476" t="s">
        <v>140</v>
      </c>
      <c r="G476" t="s">
        <v>201</v>
      </c>
      <c r="H476">
        <v>28</v>
      </c>
      <c r="I476">
        <v>21</v>
      </c>
      <c r="J476">
        <v>0</v>
      </c>
      <c r="K47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7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7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7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76">
        <f>IF(Games[[#This Row],[Team]]="","",IF(Games[[#This Row],[Conf]]=Games[[#This Row],[OppConf]],1,0))</f>
        <v>1</v>
      </c>
      <c r="P476">
        <f>IF(Games[[#This Row],[Team]]="","",IF(AND(Games[[#This Row],[Conf]]=Games[[#This Row],[OppConf]],Games[[#This Row],[Div]]=Games[[#This Row],[OppDiv]]),1,0))</f>
        <v>1</v>
      </c>
      <c r="Q476">
        <f>IF(Games[[#This Row],[Team]]="","",_xlfn.MINIFS(Games[Date],Games[Season],Games[[#This Row],[Season]]))</f>
        <v>35309</v>
      </c>
      <c r="R476">
        <f>IF(Games[[#This Row],[Team]]="","",INT((Games[[#This Row],[Date]]-(Games[[#This Row],[SeasonStart]]-MOD(WEEKDAY(Games[[#This Row],[SeasonStart]],2)-2,7)))/7)+1)</f>
        <v>17</v>
      </c>
      <c r="S476">
        <f>IF(Games[[#This Row],[Team]]="","",COUNTIFS(Games[Team],Games[[#This Row],[Team]],Games[Season],Games[[#This Row],[Season]],Games[Week],"&lt;="&amp;Games[[#This Row],[Week]]))</f>
        <v>16</v>
      </c>
      <c r="T476">
        <f>IF(Games[[#This Row],[Team]]="","",_xlfn.MAXIFS(Games[Week],Games[Team],Games[[#This Row],[Team]],Games[Season],Games[[#This Row],[Season]],Games[Week],"&lt;"&amp;Games[[#This Row],[Week]]))</f>
        <v>16</v>
      </c>
      <c r="U476">
        <f>IF(Games[[#This Row],[Team]]="","",_xlfn.MAXIFS(Games[Week],Games[Team],Games[[#This Row],[Opponent]],Games[Season],Games[[#This Row],[Season]],Games[Week],"&lt;"&amp;Games[[#This Row],[Week]]))</f>
        <v>16</v>
      </c>
      <c r="V47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7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7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7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1460.2914814640274</v>
      </c>
      <c r="Z47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1573.2930293014738</v>
      </c>
      <c r="AA47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0.25636377936110866</v>
      </c>
      <c r="AB476">
        <f>IF(Games[[#This Row],[Team]]="","",Games[[#This Row],[PointsFor]]-Games[[#This Row],[PointsAgainst]])</f>
        <v>7</v>
      </c>
      <c r="AC476">
        <f>IF(Games[[#This Row],[Team]]="","",IF(Games[[#This Row],[MOV]]&gt;0,1,IF(Games[[#This Row],[MOV]]=0,0.5,0)))</f>
        <v>1</v>
      </c>
      <c r="AD476">
        <f>IF(Games[[#This Row],[Team]]="","",--(OR(AND(Games[[#This Row],[ExpectedWin]]&gt;=0.5,Games[[#This Row],[Result]]=1),AND(Games[[#This Row],[ExpectedWin]]&lt;0.5,Games[[#This Row],[Result]]=0))))</f>
        <v>0</v>
      </c>
      <c r="AE476">
        <f>IF(Games[[#This Row],[Team]]="","",-(Games[[#This Row],[Result]]*LN(Games[[#This Row],[ExpectedWin]])+(1-Games[[#This Row],[Result]])*LN(1-Games[[#This Row],[ExpectedWin]])))</f>
        <v>1.3611578300569454</v>
      </c>
      <c r="AF476">
        <f>IF(Games[[#This Row],[Team]]="","",IF(Games[[#This Row],[Season]]&gt;=2021,17,16))</f>
        <v>16</v>
      </c>
      <c r="AG476">
        <f>IF(Games[[#This Row],[Team]]="","",KMax-(KMax-KFloor)*MIN(Games[[#This Row],[GamesPlayed]],Games[[#This Row],[SeasonLen]])/Games[[#This Row],[SeasonLen]])</f>
        <v>36.200000000000003</v>
      </c>
      <c r="AH476">
        <f>IF(Games[[#This Row],[Team]]="","",((ABS(Games[[#This Row],[MOV]])+3)^0.8)/(7.5+0.006*ABS(Games[[#This Row],[PreGmRate]]-Games[[#This Row],[OppPreGmRate]]))*IF(Games[[#This Row],[OT]]=1,0.7,1))</f>
        <v>0.77152925893747448</v>
      </c>
      <c r="AI47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6">
        <f>IF(Games[[#This Row],[Team]]="","",Games[[#This Row],[K]]*IF(Games[[#This Row],[DivG]]=1,DivMult,1)*IF(Games[[#This Row],[ConfG]]=1,ConfMult,1)*Games[[#This Row],[POMult]])</f>
        <v>40.616400000000006</v>
      </c>
      <c r="AK476">
        <f>IF(Games[[#This Row],[Team]]="","",(Games[[#This Row],[Keff]]*Games[[#This Row],[MOVMult]])*(Games[[#This Row],[Result]]-Games[[#This Row],[ExpectedWin]]))</f>
        <v>23.30313563895723</v>
      </c>
      <c r="AL476">
        <f>IF(Games[[#This Row],[Team]]="","",Games[[#This Row],[PreGmRate]]+Games[[#This Row],[RatingChange]])</f>
        <v>1483.5946171029846</v>
      </c>
      <c r="AM476">
        <f>IF(Games[[#This Row],[Team]]="","",IF(Games[[#This Row],[Type]]="R",IF(Games[[#This Row],[Result]]&gt;0.5,1,0),0))</f>
        <v>1</v>
      </c>
      <c r="AN476">
        <f>IF(Games[[#This Row],[Team]]="","",IF(Games[[#This Row],[Type]]="R",IF(Games[[#This Row],[Result]]&lt;0.5,1,0),0))</f>
        <v>0</v>
      </c>
      <c r="AO476">
        <f>IF(Games[[#This Row],[Team]]="","",IF(Games[[#This Row],[Type]]="R",IF(Games[[#This Row],[Result]]=0.5,1,0),0))</f>
        <v>0</v>
      </c>
    </row>
    <row r="477" spans="1:41" x14ac:dyDescent="0.35">
      <c r="A477" s="8">
        <v>35421</v>
      </c>
      <c r="B477">
        <v>1996</v>
      </c>
      <c r="C477" t="s">
        <v>197</v>
      </c>
      <c r="D477" t="s">
        <v>199</v>
      </c>
      <c r="E477" t="s">
        <v>140</v>
      </c>
      <c r="F477" t="s">
        <v>146</v>
      </c>
      <c r="G477" t="s">
        <v>200</v>
      </c>
      <c r="H477">
        <v>21</v>
      </c>
      <c r="I477">
        <v>28</v>
      </c>
      <c r="J477">
        <v>0</v>
      </c>
      <c r="K47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7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7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7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77">
        <f>IF(Games[[#This Row],[Team]]="","",IF(Games[[#This Row],[Conf]]=Games[[#This Row],[OppConf]],1,0))</f>
        <v>1</v>
      </c>
      <c r="P477">
        <f>IF(Games[[#This Row],[Team]]="","",IF(AND(Games[[#This Row],[Conf]]=Games[[#This Row],[OppConf]],Games[[#This Row],[Div]]=Games[[#This Row],[OppDiv]]),1,0))</f>
        <v>1</v>
      </c>
      <c r="Q477">
        <f>IF(Games[[#This Row],[Team]]="","",_xlfn.MINIFS(Games[Date],Games[Season],Games[[#This Row],[Season]]))</f>
        <v>35309</v>
      </c>
      <c r="R477">
        <f>IF(Games[[#This Row],[Team]]="","",INT((Games[[#This Row],[Date]]-(Games[[#This Row],[SeasonStart]]-MOD(WEEKDAY(Games[[#This Row],[SeasonStart]],2)-2,7)))/7)+1)</f>
        <v>17</v>
      </c>
      <c r="S477">
        <f>IF(Games[[#This Row],[Team]]="","",COUNTIFS(Games[Team],Games[[#This Row],[Team]],Games[Season],Games[[#This Row],[Season]],Games[Week],"&lt;="&amp;Games[[#This Row],[Week]]))</f>
        <v>16</v>
      </c>
      <c r="T477">
        <f>IF(Games[[#This Row],[Team]]="","",_xlfn.MAXIFS(Games[Week],Games[Team],Games[[#This Row],[Team]],Games[Season],Games[[#This Row],[Season]],Games[Week],"&lt;"&amp;Games[[#This Row],[Week]]))</f>
        <v>16</v>
      </c>
      <c r="U477">
        <f>IF(Games[[#This Row],[Team]]="","",_xlfn.MAXIFS(Games[Week],Games[Team],Games[[#This Row],[Opponent]],Games[Season],Games[[#This Row],[Season]],Games[Week],"&lt;"&amp;Games[[#This Row],[Week]]))</f>
        <v>16</v>
      </c>
      <c r="V47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7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7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7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1573.2930293014738</v>
      </c>
      <c r="Z47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1460.2914814640274</v>
      </c>
      <c r="AA47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0.74363622063889134</v>
      </c>
      <c r="AB477">
        <f>IF(Games[[#This Row],[Team]]="","",Games[[#This Row],[PointsFor]]-Games[[#This Row],[PointsAgainst]])</f>
        <v>-7</v>
      </c>
      <c r="AC477">
        <f>IF(Games[[#This Row],[Team]]="","",IF(Games[[#This Row],[MOV]]&gt;0,1,IF(Games[[#This Row],[MOV]]=0,0.5,0)))</f>
        <v>0</v>
      </c>
      <c r="AD477">
        <f>IF(Games[[#This Row],[Team]]="","",--(OR(AND(Games[[#This Row],[ExpectedWin]]&gt;=0.5,Games[[#This Row],[Result]]=1),AND(Games[[#This Row],[ExpectedWin]]&lt;0.5,Games[[#This Row],[Result]]=0))))</f>
        <v>0</v>
      </c>
      <c r="AE477">
        <f>IF(Games[[#This Row],[Team]]="","",-(Games[[#This Row],[Result]]*LN(Games[[#This Row],[ExpectedWin]])+(1-Games[[#This Row],[Result]])*LN(1-Games[[#This Row],[ExpectedWin]])))</f>
        <v>1.3611578300569454</v>
      </c>
      <c r="AF477">
        <f>IF(Games[[#This Row],[Team]]="","",IF(Games[[#This Row],[Season]]&gt;=2021,17,16))</f>
        <v>16</v>
      </c>
      <c r="AG477">
        <f>IF(Games[[#This Row],[Team]]="","",KMax-(KMax-KFloor)*MIN(Games[[#This Row],[GamesPlayed]],Games[[#This Row],[SeasonLen]])/Games[[#This Row],[SeasonLen]])</f>
        <v>36.200000000000003</v>
      </c>
      <c r="AH477">
        <f>IF(Games[[#This Row],[Team]]="","",((ABS(Games[[#This Row],[MOV]])+3)^0.8)/(7.5+0.006*ABS(Games[[#This Row],[PreGmRate]]-Games[[#This Row],[OppPreGmRate]]))*IF(Games[[#This Row],[OT]]=1,0.7,1))</f>
        <v>0.77152925893747448</v>
      </c>
      <c r="AI47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7">
        <f>IF(Games[[#This Row],[Team]]="","",Games[[#This Row],[K]]*IF(Games[[#This Row],[DivG]]=1,DivMult,1)*IF(Games[[#This Row],[ConfG]]=1,ConfMult,1)*Games[[#This Row],[POMult]])</f>
        <v>40.616400000000006</v>
      </c>
      <c r="AK477">
        <f>IF(Games[[#This Row],[Team]]="","",(Games[[#This Row],[Keff]]*Games[[#This Row],[MOVMult]])*(Games[[#This Row],[Result]]-Games[[#This Row],[ExpectedWin]]))</f>
        <v>-23.30313563895723</v>
      </c>
      <c r="AL477">
        <f>IF(Games[[#This Row],[Team]]="","",Games[[#This Row],[PreGmRate]]+Games[[#This Row],[RatingChange]])</f>
        <v>1549.9898936625166</v>
      </c>
      <c r="AM477">
        <f>IF(Games[[#This Row],[Team]]="","",IF(Games[[#This Row],[Type]]="R",IF(Games[[#This Row],[Result]]&gt;0.5,1,0),0))</f>
        <v>0</v>
      </c>
      <c r="AN477">
        <f>IF(Games[[#This Row],[Team]]="","",IF(Games[[#This Row],[Type]]="R",IF(Games[[#This Row],[Result]]&lt;0.5,1,0),0))</f>
        <v>1</v>
      </c>
      <c r="AO477">
        <f>IF(Games[[#This Row],[Team]]="","",IF(Games[[#This Row],[Type]]="R",IF(Games[[#This Row],[Result]]=0.5,1,0),0))</f>
        <v>0</v>
      </c>
    </row>
    <row r="478" spans="1:41" x14ac:dyDescent="0.35">
      <c r="A478" s="8">
        <v>35421</v>
      </c>
      <c r="B478">
        <v>1996</v>
      </c>
      <c r="C478" t="s">
        <v>197</v>
      </c>
      <c r="D478" t="s">
        <v>199</v>
      </c>
      <c r="E478" t="s">
        <v>145</v>
      </c>
      <c r="F478" t="s">
        <v>116</v>
      </c>
      <c r="G478" t="s">
        <v>200</v>
      </c>
      <c r="H478">
        <v>16</v>
      </c>
      <c r="I478">
        <v>10</v>
      </c>
      <c r="J478">
        <v>0</v>
      </c>
      <c r="K47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7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7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7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78">
        <f>IF(Games[[#This Row],[Team]]="","",IF(Games[[#This Row],[Conf]]=Games[[#This Row],[OppConf]],1,0))</f>
        <v>1</v>
      </c>
      <c r="P478">
        <f>IF(Games[[#This Row],[Team]]="","",IF(AND(Games[[#This Row],[Conf]]=Games[[#This Row],[OppConf]],Games[[#This Row],[Div]]=Games[[#This Row],[OppDiv]]),1,0))</f>
        <v>1</v>
      </c>
      <c r="Q478">
        <f>IF(Games[[#This Row],[Team]]="","",_xlfn.MINIFS(Games[Date],Games[Season],Games[[#This Row],[Season]]))</f>
        <v>35309</v>
      </c>
      <c r="R478">
        <f>IF(Games[[#This Row],[Team]]="","",INT((Games[[#This Row],[Date]]-(Games[[#This Row],[SeasonStart]]-MOD(WEEKDAY(Games[[#This Row],[SeasonStart]],2)-2,7)))/7)+1)</f>
        <v>17</v>
      </c>
      <c r="S478">
        <f>IF(Games[[#This Row],[Team]]="","",COUNTIFS(Games[Team],Games[[#This Row],[Team]],Games[Season],Games[[#This Row],[Season]],Games[Week],"&lt;="&amp;Games[[#This Row],[Week]]))</f>
        <v>16</v>
      </c>
      <c r="T478">
        <f>IF(Games[[#This Row],[Team]]="","",_xlfn.MAXIFS(Games[Week],Games[Team],Games[[#This Row],[Team]],Games[Season],Games[[#This Row],[Season]],Games[Week],"&lt;"&amp;Games[[#This Row],[Week]]))</f>
        <v>16</v>
      </c>
      <c r="U478">
        <f>IF(Games[[#This Row],[Team]]="","",_xlfn.MAXIFS(Games[Week],Games[Team],Games[[#This Row],[Opponent]],Games[Season],Games[[#This Row],[Season]],Games[Week],"&lt;"&amp;Games[[#This Row],[Week]]))</f>
        <v>16</v>
      </c>
      <c r="V47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47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7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7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1436.4291441661453</v>
      </c>
      <c r="Z47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1667.7854498456543</v>
      </c>
      <c r="AA47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0.29259998545921828</v>
      </c>
      <c r="AB478">
        <f>IF(Games[[#This Row],[Team]]="","",Games[[#This Row],[PointsFor]]-Games[[#This Row],[PointsAgainst]])</f>
        <v>6</v>
      </c>
      <c r="AC478">
        <f>IF(Games[[#This Row],[Team]]="","",IF(Games[[#This Row],[MOV]]&gt;0,1,IF(Games[[#This Row],[MOV]]=0,0.5,0)))</f>
        <v>1</v>
      </c>
      <c r="AD478">
        <f>IF(Games[[#This Row],[Team]]="","",--(OR(AND(Games[[#This Row],[ExpectedWin]]&gt;=0.5,Games[[#This Row],[Result]]=1),AND(Games[[#This Row],[ExpectedWin]]&lt;0.5,Games[[#This Row],[Result]]=0))))</f>
        <v>0</v>
      </c>
      <c r="AE478">
        <f>IF(Games[[#This Row],[Team]]="","",-(Games[[#This Row],[Result]]*LN(Games[[#This Row],[ExpectedWin]])+(1-Games[[#This Row],[Result]])*LN(1-Games[[#This Row],[ExpectedWin]])))</f>
        <v>1.2289488400911988</v>
      </c>
      <c r="AF478">
        <f>IF(Games[[#This Row],[Team]]="","",IF(Games[[#This Row],[Season]]&gt;=2021,17,16))</f>
        <v>16</v>
      </c>
      <c r="AG478">
        <f>IF(Games[[#This Row],[Team]]="","",KMax-(KMax-KFloor)*MIN(Games[[#This Row],[GamesPlayed]],Games[[#This Row],[SeasonLen]])/Games[[#This Row],[SeasonLen]])</f>
        <v>36.200000000000003</v>
      </c>
      <c r="AH478">
        <f>IF(Games[[#This Row],[Team]]="","",((ABS(Games[[#This Row],[MOV]])+3)^0.8)/(7.5+0.006*ABS(Games[[#This Row],[PreGmRate]]-Games[[#This Row],[OppPreGmRate]]))*IF(Games[[#This Row],[OT]]=1,0.7,1))</f>
        <v>0.65250407262586252</v>
      </c>
      <c r="AI47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8">
        <f>IF(Games[[#This Row],[Team]]="","",Games[[#This Row],[K]]*IF(Games[[#This Row],[DivG]]=1,DivMult,1)*IF(Games[[#This Row],[ConfG]]=1,ConfMult,1)*Games[[#This Row],[POMult]])</f>
        <v>40.616400000000006</v>
      </c>
      <c r="AK478">
        <f>IF(Games[[#This Row],[Team]]="","",(Games[[#This Row],[Keff]]*Games[[#This Row],[MOVMult]])*(Games[[#This Row],[Result]]-Games[[#This Row],[ExpectedWin]]))</f>
        <v>18.747774387619852</v>
      </c>
      <c r="AL478">
        <f>IF(Games[[#This Row],[Team]]="","",Games[[#This Row],[PreGmRate]]+Games[[#This Row],[RatingChange]])</f>
        <v>1455.1769185537651</v>
      </c>
      <c r="AM478">
        <f>IF(Games[[#This Row],[Team]]="","",IF(Games[[#This Row],[Type]]="R",IF(Games[[#This Row],[Result]]&gt;0.5,1,0),0))</f>
        <v>1</v>
      </c>
      <c r="AN478">
        <f>IF(Games[[#This Row],[Team]]="","",IF(Games[[#This Row],[Type]]="R",IF(Games[[#This Row],[Result]]&lt;0.5,1,0),0))</f>
        <v>0</v>
      </c>
      <c r="AO478">
        <f>IF(Games[[#This Row],[Team]]="","",IF(Games[[#This Row],[Type]]="R",IF(Games[[#This Row],[Result]]=0.5,1,0),0))</f>
        <v>0</v>
      </c>
    </row>
    <row r="479" spans="1:41" x14ac:dyDescent="0.35">
      <c r="A479" s="8">
        <v>35421</v>
      </c>
      <c r="B479">
        <v>1996</v>
      </c>
      <c r="C479" t="s">
        <v>197</v>
      </c>
      <c r="D479" t="s">
        <v>199</v>
      </c>
      <c r="E479" t="s">
        <v>116</v>
      </c>
      <c r="F479" t="s">
        <v>145</v>
      </c>
      <c r="G479" t="s">
        <v>201</v>
      </c>
      <c r="H479">
        <v>10</v>
      </c>
      <c r="I479">
        <v>16</v>
      </c>
      <c r="J479">
        <v>0</v>
      </c>
      <c r="K47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7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7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7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79">
        <f>IF(Games[[#This Row],[Team]]="","",IF(Games[[#This Row],[Conf]]=Games[[#This Row],[OppConf]],1,0))</f>
        <v>1</v>
      </c>
      <c r="P479">
        <f>IF(Games[[#This Row],[Team]]="","",IF(AND(Games[[#This Row],[Conf]]=Games[[#This Row],[OppConf]],Games[[#This Row],[Div]]=Games[[#This Row],[OppDiv]]),1,0))</f>
        <v>1</v>
      </c>
      <c r="Q479">
        <f>IF(Games[[#This Row],[Team]]="","",_xlfn.MINIFS(Games[Date],Games[Season],Games[[#This Row],[Season]]))</f>
        <v>35309</v>
      </c>
      <c r="R479">
        <f>IF(Games[[#This Row],[Team]]="","",INT((Games[[#This Row],[Date]]-(Games[[#This Row],[SeasonStart]]-MOD(WEEKDAY(Games[[#This Row],[SeasonStart]],2)-2,7)))/7)+1)</f>
        <v>17</v>
      </c>
      <c r="S479">
        <f>IF(Games[[#This Row],[Team]]="","",COUNTIFS(Games[Team],Games[[#This Row],[Team]],Games[Season],Games[[#This Row],[Season]],Games[Week],"&lt;="&amp;Games[[#This Row],[Week]]))</f>
        <v>16</v>
      </c>
      <c r="T479">
        <f>IF(Games[[#This Row],[Team]]="","",_xlfn.MAXIFS(Games[Week],Games[Team],Games[[#This Row],[Team]],Games[Season],Games[[#This Row],[Season]],Games[Week],"&lt;"&amp;Games[[#This Row],[Week]]))</f>
        <v>16</v>
      </c>
      <c r="U479">
        <f>IF(Games[[#This Row],[Team]]="","",_xlfn.MAXIFS(Games[Week],Games[Team],Games[[#This Row],[Opponent]],Games[Season],Games[[#This Row],[Season]],Games[Week],"&lt;"&amp;Games[[#This Row],[Week]]))</f>
        <v>16</v>
      </c>
      <c r="V47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7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47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7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1667.7854498456543</v>
      </c>
      <c r="Z47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1436.4291441661453</v>
      </c>
      <c r="AA47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0.70740001454078172</v>
      </c>
      <c r="AB479">
        <f>IF(Games[[#This Row],[Team]]="","",Games[[#This Row],[PointsFor]]-Games[[#This Row],[PointsAgainst]])</f>
        <v>-6</v>
      </c>
      <c r="AC479">
        <f>IF(Games[[#This Row],[Team]]="","",IF(Games[[#This Row],[MOV]]&gt;0,1,IF(Games[[#This Row],[MOV]]=0,0.5,0)))</f>
        <v>0</v>
      </c>
      <c r="AD479">
        <f>IF(Games[[#This Row],[Team]]="","",--(OR(AND(Games[[#This Row],[ExpectedWin]]&gt;=0.5,Games[[#This Row],[Result]]=1),AND(Games[[#This Row],[ExpectedWin]]&lt;0.5,Games[[#This Row],[Result]]=0))))</f>
        <v>0</v>
      </c>
      <c r="AE479">
        <f>IF(Games[[#This Row],[Team]]="","",-(Games[[#This Row],[Result]]*LN(Games[[#This Row],[ExpectedWin]])+(1-Games[[#This Row],[Result]])*LN(1-Games[[#This Row],[ExpectedWin]])))</f>
        <v>1.2289488400911988</v>
      </c>
      <c r="AF479">
        <f>IF(Games[[#This Row],[Team]]="","",IF(Games[[#This Row],[Season]]&gt;=2021,17,16))</f>
        <v>16</v>
      </c>
      <c r="AG479">
        <f>IF(Games[[#This Row],[Team]]="","",KMax-(KMax-KFloor)*MIN(Games[[#This Row],[GamesPlayed]],Games[[#This Row],[SeasonLen]])/Games[[#This Row],[SeasonLen]])</f>
        <v>36.200000000000003</v>
      </c>
      <c r="AH479">
        <f>IF(Games[[#This Row],[Team]]="","",((ABS(Games[[#This Row],[MOV]])+3)^0.8)/(7.5+0.006*ABS(Games[[#This Row],[PreGmRate]]-Games[[#This Row],[OppPreGmRate]]))*IF(Games[[#This Row],[OT]]=1,0.7,1))</f>
        <v>0.65250407262586252</v>
      </c>
      <c r="AI47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9">
        <f>IF(Games[[#This Row],[Team]]="","",Games[[#This Row],[K]]*IF(Games[[#This Row],[DivG]]=1,DivMult,1)*IF(Games[[#This Row],[ConfG]]=1,ConfMult,1)*Games[[#This Row],[POMult]])</f>
        <v>40.616400000000006</v>
      </c>
      <c r="AK479">
        <f>IF(Games[[#This Row],[Team]]="","",(Games[[#This Row],[Keff]]*Games[[#This Row],[MOVMult]])*(Games[[#This Row],[Result]]-Games[[#This Row],[ExpectedWin]]))</f>
        <v>-18.747774387619852</v>
      </c>
      <c r="AL479">
        <f>IF(Games[[#This Row],[Team]]="","",Games[[#This Row],[PreGmRate]]+Games[[#This Row],[RatingChange]])</f>
        <v>1649.0376754580345</v>
      </c>
      <c r="AM479">
        <f>IF(Games[[#This Row],[Team]]="","",IF(Games[[#This Row],[Type]]="R",IF(Games[[#This Row],[Result]]&gt;0.5,1,0),0))</f>
        <v>0</v>
      </c>
      <c r="AN479">
        <f>IF(Games[[#This Row],[Team]]="","",IF(Games[[#This Row],[Type]]="R",IF(Games[[#This Row],[Result]]&lt;0.5,1,0),0))</f>
        <v>1</v>
      </c>
      <c r="AO479">
        <f>IF(Games[[#This Row],[Team]]="","",IF(Games[[#This Row],[Type]]="R",IF(Games[[#This Row],[Result]]=0.5,1,0),0))</f>
        <v>0</v>
      </c>
    </row>
    <row r="480" spans="1:41" x14ac:dyDescent="0.35">
      <c r="A480" s="8">
        <v>35422</v>
      </c>
      <c r="B480">
        <v>1996</v>
      </c>
      <c r="C480" t="s">
        <v>197</v>
      </c>
      <c r="D480" t="s">
        <v>199</v>
      </c>
      <c r="E480" t="s">
        <v>148</v>
      </c>
      <c r="F480" t="s">
        <v>118</v>
      </c>
      <c r="G480" t="s">
        <v>200</v>
      </c>
      <c r="H480">
        <v>24</v>
      </c>
      <c r="I480">
        <v>14</v>
      </c>
      <c r="J480">
        <v>0</v>
      </c>
      <c r="K48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8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8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8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80">
        <f>IF(Games[[#This Row],[Team]]="","",IF(Games[[#This Row],[Conf]]=Games[[#This Row],[OppConf]],1,0))</f>
        <v>1</v>
      </c>
      <c r="P480">
        <f>IF(Games[[#This Row],[Team]]="","",IF(AND(Games[[#This Row],[Conf]]=Games[[#This Row],[OppConf]],Games[[#This Row],[Div]]=Games[[#This Row],[OppDiv]]),1,0))</f>
        <v>0</v>
      </c>
      <c r="Q480">
        <f>IF(Games[[#This Row],[Team]]="","",_xlfn.MINIFS(Games[Date],Games[Season],Games[[#This Row],[Season]]))</f>
        <v>35309</v>
      </c>
      <c r="R480">
        <f>IF(Games[[#This Row],[Team]]="","",INT((Games[[#This Row],[Date]]-(Games[[#This Row],[SeasonStart]]-MOD(WEEKDAY(Games[[#This Row],[SeasonStart]],2)-2,7)))/7)+1)</f>
        <v>17</v>
      </c>
      <c r="S480">
        <f>IF(Games[[#This Row],[Team]]="","",COUNTIFS(Games[Team],Games[[#This Row],[Team]],Games[Season],Games[[#This Row],[Season]],Games[Week],"&lt;="&amp;Games[[#This Row],[Week]]))</f>
        <v>16</v>
      </c>
      <c r="T480">
        <f>IF(Games[[#This Row],[Team]]="","",_xlfn.MAXIFS(Games[Week],Games[Team],Games[[#This Row],[Team]],Games[Season],Games[[#This Row],[Season]],Games[Week],"&lt;"&amp;Games[[#This Row],[Week]]))</f>
        <v>16</v>
      </c>
      <c r="U480">
        <f>IF(Games[[#This Row],[Team]]="","",_xlfn.MAXIFS(Games[Week],Games[Team],Games[[#This Row],[Opponent]],Games[Season],Games[[#This Row],[Season]],Games[Week],"&lt;"&amp;Games[[#This Row],[Week]]))</f>
        <v>16</v>
      </c>
      <c r="V48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48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48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8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1637.7855266287622</v>
      </c>
      <c r="Z48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1399.5225610964583</v>
      </c>
      <c r="AA48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0.85643827891340141</v>
      </c>
      <c r="AB480">
        <f>IF(Games[[#This Row],[Team]]="","",Games[[#This Row],[PointsFor]]-Games[[#This Row],[PointsAgainst]])</f>
        <v>10</v>
      </c>
      <c r="AC480">
        <f>IF(Games[[#This Row],[Team]]="","",IF(Games[[#This Row],[MOV]]&gt;0,1,IF(Games[[#This Row],[MOV]]=0,0.5,0)))</f>
        <v>1</v>
      </c>
      <c r="AD480">
        <f>IF(Games[[#This Row],[Team]]="","",--(OR(AND(Games[[#This Row],[ExpectedWin]]&gt;=0.5,Games[[#This Row],[Result]]=1),AND(Games[[#This Row],[ExpectedWin]]&lt;0.5,Games[[#This Row],[Result]]=0))))</f>
        <v>1</v>
      </c>
      <c r="AE480">
        <f>IF(Games[[#This Row],[Team]]="","",-(Games[[#This Row],[Result]]*LN(Games[[#This Row],[ExpectedWin]])+(1-Games[[#This Row],[Result]])*LN(1-Games[[#This Row],[ExpectedWin]])))</f>
        <v>0.1549730257954024</v>
      </c>
      <c r="AF480">
        <f>IF(Games[[#This Row],[Team]]="","",IF(Games[[#This Row],[Season]]&gt;=2021,17,16))</f>
        <v>16</v>
      </c>
      <c r="AG480">
        <f>IF(Games[[#This Row],[Team]]="","",KMax-(KMax-KFloor)*MIN(Games[[#This Row],[GamesPlayed]],Games[[#This Row],[SeasonLen]])/Games[[#This Row],[SeasonLen]])</f>
        <v>36.200000000000003</v>
      </c>
      <c r="AH480">
        <f>IF(Games[[#This Row],[Team]]="","",((ABS(Games[[#This Row],[MOV]])+3)^0.8)/(7.5+0.006*ABS(Games[[#This Row],[PreGmRate]]-Games[[#This Row],[OppPreGmRate]]))*IF(Games[[#This Row],[OT]]=1,0.7,1))</f>
        <v>0.8716131156807686</v>
      </c>
      <c r="AI48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80">
        <f>IF(Games[[#This Row],[Team]]="","",Games[[#This Row],[K]]*IF(Games[[#This Row],[DivG]]=1,DivMult,1)*IF(Games[[#This Row],[ConfG]]=1,ConfMult,1)*Games[[#This Row],[POMult]])</f>
        <v>36.924000000000007</v>
      </c>
      <c r="AK480">
        <f>IF(Games[[#This Row],[Team]]="","",(Games[[#This Row],[Keff]]*Games[[#This Row],[MOVMult]])*(Games[[#This Row],[Result]]-Games[[#This Row],[ExpectedWin]]))</f>
        <v>4.6203104221203297</v>
      </c>
      <c r="AL480">
        <f>IF(Games[[#This Row],[Team]]="","",Games[[#This Row],[PreGmRate]]+Games[[#This Row],[RatingChange]])</f>
        <v>1642.4058370508826</v>
      </c>
      <c r="AM480">
        <f>IF(Games[[#This Row],[Team]]="","",IF(Games[[#This Row],[Type]]="R",IF(Games[[#This Row],[Result]]&gt;0.5,1,0),0))</f>
        <v>1</v>
      </c>
      <c r="AN480">
        <f>IF(Games[[#This Row],[Team]]="","",IF(Games[[#This Row],[Type]]="R",IF(Games[[#This Row],[Result]]&lt;0.5,1,0),0))</f>
        <v>0</v>
      </c>
      <c r="AO480">
        <f>IF(Games[[#This Row],[Team]]="","",IF(Games[[#This Row],[Type]]="R",IF(Games[[#This Row],[Result]]=0.5,1,0),0))</f>
        <v>0</v>
      </c>
    </row>
    <row r="481" spans="1:41" x14ac:dyDescent="0.35">
      <c r="A481" s="8">
        <v>35422</v>
      </c>
      <c r="B481">
        <v>1996</v>
      </c>
      <c r="C481" t="s">
        <v>197</v>
      </c>
      <c r="D481" t="s">
        <v>199</v>
      </c>
      <c r="E481" t="s">
        <v>118</v>
      </c>
      <c r="F481" t="s">
        <v>148</v>
      </c>
      <c r="G481" t="s">
        <v>201</v>
      </c>
      <c r="H481">
        <v>14</v>
      </c>
      <c r="I481">
        <v>24</v>
      </c>
      <c r="J481">
        <v>0</v>
      </c>
      <c r="K48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8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8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8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81">
        <f>IF(Games[[#This Row],[Team]]="","",IF(Games[[#This Row],[Conf]]=Games[[#This Row],[OppConf]],1,0))</f>
        <v>1</v>
      </c>
      <c r="P481">
        <f>IF(Games[[#This Row],[Team]]="","",IF(AND(Games[[#This Row],[Conf]]=Games[[#This Row],[OppConf]],Games[[#This Row],[Div]]=Games[[#This Row],[OppDiv]]),1,0))</f>
        <v>0</v>
      </c>
      <c r="Q481">
        <f>IF(Games[[#This Row],[Team]]="","",_xlfn.MINIFS(Games[Date],Games[Season],Games[[#This Row],[Season]]))</f>
        <v>35309</v>
      </c>
      <c r="R481">
        <f>IF(Games[[#This Row],[Team]]="","",INT((Games[[#This Row],[Date]]-(Games[[#This Row],[SeasonStart]]-MOD(WEEKDAY(Games[[#This Row],[SeasonStart]],2)-2,7)))/7)+1)</f>
        <v>17</v>
      </c>
      <c r="S481">
        <f>IF(Games[[#This Row],[Team]]="","",COUNTIFS(Games[Team],Games[[#This Row],[Team]],Games[Season],Games[[#This Row],[Season]],Games[Week],"&lt;="&amp;Games[[#This Row],[Week]]))</f>
        <v>16</v>
      </c>
      <c r="T481">
        <f>IF(Games[[#This Row],[Team]]="","",_xlfn.MAXIFS(Games[Week],Games[Team],Games[[#This Row],[Team]],Games[Season],Games[[#This Row],[Season]],Games[Week],"&lt;"&amp;Games[[#This Row],[Week]]))</f>
        <v>16</v>
      </c>
      <c r="U481">
        <f>IF(Games[[#This Row],[Team]]="","",_xlfn.MAXIFS(Games[Week],Games[Team],Games[[#This Row],[Opponent]],Games[Season],Games[[#This Row],[Season]],Games[Week],"&lt;"&amp;Games[[#This Row],[Week]]))</f>
        <v>16</v>
      </c>
      <c r="V48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48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48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8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1399.5225610964583</v>
      </c>
      <c r="Z48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1637.7855266287622</v>
      </c>
      <c r="AA48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0.14356172108659868</v>
      </c>
      <c r="AB481">
        <f>IF(Games[[#This Row],[Team]]="","",Games[[#This Row],[PointsFor]]-Games[[#This Row],[PointsAgainst]])</f>
        <v>-10</v>
      </c>
      <c r="AC481">
        <f>IF(Games[[#This Row],[Team]]="","",IF(Games[[#This Row],[MOV]]&gt;0,1,IF(Games[[#This Row],[MOV]]=0,0.5,0)))</f>
        <v>0</v>
      </c>
      <c r="AD481">
        <f>IF(Games[[#This Row],[Team]]="","",--(OR(AND(Games[[#This Row],[ExpectedWin]]&gt;=0.5,Games[[#This Row],[Result]]=1),AND(Games[[#This Row],[ExpectedWin]]&lt;0.5,Games[[#This Row],[Result]]=0))))</f>
        <v>1</v>
      </c>
      <c r="AE481">
        <f>IF(Games[[#This Row],[Team]]="","",-(Games[[#This Row],[Result]]*LN(Games[[#This Row],[ExpectedWin]])+(1-Games[[#This Row],[Result]])*LN(1-Games[[#This Row],[ExpectedWin]])))</f>
        <v>0.15497302579540254</v>
      </c>
      <c r="AF481">
        <f>IF(Games[[#This Row],[Team]]="","",IF(Games[[#This Row],[Season]]&gt;=2021,17,16))</f>
        <v>16</v>
      </c>
      <c r="AG481">
        <f>IF(Games[[#This Row],[Team]]="","",KMax-(KMax-KFloor)*MIN(Games[[#This Row],[GamesPlayed]],Games[[#This Row],[SeasonLen]])/Games[[#This Row],[SeasonLen]])</f>
        <v>36.200000000000003</v>
      </c>
      <c r="AH481">
        <f>IF(Games[[#This Row],[Team]]="","",((ABS(Games[[#This Row],[MOV]])+3)^0.8)/(7.5+0.006*ABS(Games[[#This Row],[PreGmRate]]-Games[[#This Row],[OppPreGmRate]]))*IF(Games[[#This Row],[OT]]=1,0.7,1))</f>
        <v>0.8716131156807686</v>
      </c>
      <c r="AI48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81">
        <f>IF(Games[[#This Row],[Team]]="","",Games[[#This Row],[K]]*IF(Games[[#This Row],[DivG]]=1,DivMult,1)*IF(Games[[#This Row],[ConfG]]=1,ConfMult,1)*Games[[#This Row],[POMult]])</f>
        <v>36.924000000000007</v>
      </c>
      <c r="AK481">
        <f>IF(Games[[#This Row],[Team]]="","",(Games[[#This Row],[Keff]]*Games[[#This Row],[MOVMult]])*(Games[[#This Row],[Result]]-Games[[#This Row],[ExpectedWin]]))</f>
        <v>-4.6203104221203324</v>
      </c>
      <c r="AL481">
        <f>IF(Games[[#This Row],[Team]]="","",Games[[#This Row],[PreGmRate]]+Games[[#This Row],[RatingChange]])</f>
        <v>1394.9022506743379</v>
      </c>
      <c r="AM481">
        <f>IF(Games[[#This Row],[Team]]="","",IF(Games[[#This Row],[Type]]="R",IF(Games[[#This Row],[Result]]&gt;0.5,1,0),0))</f>
        <v>0</v>
      </c>
      <c r="AN481">
        <f>IF(Games[[#This Row],[Team]]="","",IF(Games[[#This Row],[Type]]="R",IF(Games[[#This Row],[Result]]&lt;0.5,1,0),0))</f>
        <v>1</v>
      </c>
      <c r="AO481">
        <f>IF(Games[[#This Row],[Team]]="","",IF(Games[[#This Row],[Type]]="R",IF(Games[[#This Row],[Result]]=0.5,1,0),0))</f>
        <v>0</v>
      </c>
    </row>
    <row r="482" spans="1:41" x14ac:dyDescent="0.35">
      <c r="A482" s="8">
        <v>35427</v>
      </c>
      <c r="B482">
        <v>1996</v>
      </c>
      <c r="C482" t="s">
        <v>198</v>
      </c>
      <c r="D482" t="s">
        <v>202</v>
      </c>
      <c r="E482" t="s">
        <v>124</v>
      </c>
      <c r="F482" t="s">
        <v>106</v>
      </c>
      <c r="G482" t="s">
        <v>201</v>
      </c>
      <c r="H482">
        <v>30</v>
      </c>
      <c r="I482">
        <v>27</v>
      </c>
      <c r="J482">
        <v>0</v>
      </c>
      <c r="K48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8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8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8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82">
        <f>IF(Games[[#This Row],[Team]]="","",IF(Games[[#This Row],[Conf]]=Games[[#This Row],[OppConf]],1,0))</f>
        <v>1</v>
      </c>
      <c r="P482">
        <f>IF(Games[[#This Row],[Team]]="","",IF(AND(Games[[#This Row],[Conf]]=Games[[#This Row],[OppConf]],Games[[#This Row],[Div]]=Games[[#This Row],[OppDiv]]),1,0))</f>
        <v>0</v>
      </c>
      <c r="Q482">
        <f>IF(Games[[#This Row],[Team]]="","",_xlfn.MINIFS(Games[Date],Games[Season],Games[[#This Row],[Season]]))</f>
        <v>35309</v>
      </c>
      <c r="R482">
        <f>IF(Games[[#This Row],[Team]]="","",INT((Games[[#This Row],[Date]]-(Games[[#This Row],[SeasonStart]]-MOD(WEEKDAY(Games[[#This Row],[SeasonStart]],2)-2,7)))/7)+1)</f>
        <v>18</v>
      </c>
      <c r="S482">
        <f>IF(Games[[#This Row],[Team]]="","",COUNTIFS(Games[Team],Games[[#This Row],[Team]],Games[Season],Games[[#This Row],[Season]],Games[Week],"&lt;="&amp;Games[[#This Row],[Week]]))</f>
        <v>17</v>
      </c>
      <c r="T482">
        <f>IF(Games[[#This Row],[Team]]="","",_xlfn.MAXIFS(Games[Week],Games[Team],Games[[#This Row],[Team]],Games[Season],Games[[#This Row],[Season]],Games[Week],"&lt;"&amp;Games[[#This Row],[Week]]))</f>
        <v>17</v>
      </c>
      <c r="U482">
        <f>IF(Games[[#This Row],[Team]]="","",_xlfn.MAXIFS(Games[Week],Games[Team],Games[[#This Row],[Opponent]],Games[Season],Games[[#This Row],[Season]],Games[Week],"&lt;"&amp;Games[[#This Row],[Week]]))</f>
        <v>17</v>
      </c>
      <c r="V48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8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8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8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1499.8328204509032</v>
      </c>
      <c r="Z48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1553.4217242838249</v>
      </c>
      <c r="AA48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0.32674417806365286</v>
      </c>
      <c r="AB482">
        <f>IF(Games[[#This Row],[Team]]="","",Games[[#This Row],[PointsFor]]-Games[[#This Row],[PointsAgainst]])</f>
        <v>3</v>
      </c>
      <c r="AC482">
        <f>IF(Games[[#This Row],[Team]]="","",IF(Games[[#This Row],[MOV]]&gt;0,1,IF(Games[[#This Row],[MOV]]=0,0.5,0)))</f>
        <v>1</v>
      </c>
      <c r="AD482">
        <f>IF(Games[[#This Row],[Team]]="","",--(OR(AND(Games[[#This Row],[ExpectedWin]]&gt;=0.5,Games[[#This Row],[Result]]=1),AND(Games[[#This Row],[ExpectedWin]]&lt;0.5,Games[[#This Row],[Result]]=0))))</f>
        <v>0</v>
      </c>
      <c r="AE482">
        <f>IF(Games[[#This Row],[Team]]="","",-(Games[[#This Row],[Result]]*LN(Games[[#This Row],[ExpectedWin]])+(1-Games[[#This Row],[Result]])*LN(1-Games[[#This Row],[ExpectedWin]])))</f>
        <v>1.1185777443453331</v>
      </c>
      <c r="AF482">
        <f>IF(Games[[#This Row],[Team]]="","",IF(Games[[#This Row],[Season]]&gt;=2021,17,16))</f>
        <v>16</v>
      </c>
      <c r="AG482">
        <f>IF(Games[[#This Row],[Team]]="","",KMax-(KMax-KFloor)*MIN(Games[[#This Row],[GamesPlayed]],Games[[#This Row],[SeasonLen]])/Games[[#This Row],[SeasonLen]])</f>
        <v>36.200000000000003</v>
      </c>
      <c r="AH482">
        <f>IF(Games[[#This Row],[Team]]="","",((ABS(Games[[#This Row],[MOV]])+3)^0.8)/(7.5+0.006*ABS(Games[[#This Row],[PreGmRate]]-Games[[#This Row],[OppPreGmRate]]))*IF(Games[[#This Row],[OT]]=1,0.7,1))</f>
        <v>0.53607937035734887</v>
      </c>
      <c r="AI48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1.1000000000000001</v>
      </c>
      <c r="AJ482">
        <f>IF(Games[[#This Row],[Team]]="","",Games[[#This Row],[K]]*IF(Games[[#This Row],[DivG]]=1,DivMult,1)*IF(Games[[#This Row],[ConfG]]=1,ConfMult,1)*Games[[#This Row],[POMult]])</f>
        <v>40.616400000000013</v>
      </c>
      <c r="AK482">
        <f>IF(Games[[#This Row],[Team]]="","",(Games[[#This Row],[Keff]]*Games[[#This Row],[MOVMult]])*(Games[[#This Row],[Result]]-Games[[#This Row],[ExpectedWin]]))</f>
        <v>14.659212483126748</v>
      </c>
      <c r="AL482">
        <f>IF(Games[[#This Row],[Team]]="","",Games[[#This Row],[PreGmRate]]+Games[[#This Row],[RatingChange]])</f>
        <v>1514.49203293403</v>
      </c>
      <c r="AM482">
        <f>IF(Games[[#This Row],[Team]]="","",IF(Games[[#This Row],[Type]]="R",IF(Games[[#This Row],[Result]]&gt;0.5,1,0),0))</f>
        <v>0</v>
      </c>
      <c r="AN482">
        <f>IF(Games[[#This Row],[Team]]="","",IF(Games[[#This Row],[Type]]="R",IF(Games[[#This Row],[Result]]&lt;0.5,1,0),0))</f>
        <v>0</v>
      </c>
      <c r="AO482">
        <f>IF(Games[[#This Row],[Team]]="","",IF(Games[[#This Row],[Type]]="R",IF(Games[[#This Row],[Result]]=0.5,1,0),0))</f>
        <v>0</v>
      </c>
    </row>
    <row r="483" spans="1:41" x14ac:dyDescent="0.35">
      <c r="A483" s="8">
        <v>35427</v>
      </c>
      <c r="B483">
        <v>1996</v>
      </c>
      <c r="C483" t="s">
        <v>198</v>
      </c>
      <c r="D483" t="s">
        <v>202</v>
      </c>
      <c r="E483" t="s">
        <v>106</v>
      </c>
      <c r="F483" t="s">
        <v>124</v>
      </c>
      <c r="G483" t="s">
        <v>200</v>
      </c>
      <c r="H483">
        <v>27</v>
      </c>
      <c r="I483">
        <v>30</v>
      </c>
      <c r="J483">
        <v>0</v>
      </c>
      <c r="K48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8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8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8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83">
        <f>IF(Games[[#This Row],[Team]]="","",IF(Games[[#This Row],[Conf]]=Games[[#This Row],[OppConf]],1,0))</f>
        <v>1</v>
      </c>
      <c r="P483">
        <f>IF(Games[[#This Row],[Team]]="","",IF(AND(Games[[#This Row],[Conf]]=Games[[#This Row],[OppConf]],Games[[#This Row],[Div]]=Games[[#This Row],[OppDiv]]),1,0))</f>
        <v>0</v>
      </c>
      <c r="Q483">
        <f>IF(Games[[#This Row],[Team]]="","",_xlfn.MINIFS(Games[Date],Games[Season],Games[[#This Row],[Season]]))</f>
        <v>35309</v>
      </c>
      <c r="R483">
        <f>IF(Games[[#This Row],[Team]]="","",INT((Games[[#This Row],[Date]]-(Games[[#This Row],[SeasonStart]]-MOD(WEEKDAY(Games[[#This Row],[SeasonStart]],2)-2,7)))/7)+1)</f>
        <v>18</v>
      </c>
      <c r="S483">
        <f>IF(Games[[#This Row],[Team]]="","",COUNTIFS(Games[Team],Games[[#This Row],[Team]],Games[Season],Games[[#This Row],[Season]],Games[Week],"&lt;="&amp;Games[[#This Row],[Week]]))</f>
        <v>17</v>
      </c>
      <c r="T483">
        <f>IF(Games[[#This Row],[Team]]="","",_xlfn.MAXIFS(Games[Week],Games[Team],Games[[#This Row],[Team]],Games[Season],Games[[#This Row],[Season]],Games[Week],"&lt;"&amp;Games[[#This Row],[Week]]))</f>
        <v>17</v>
      </c>
      <c r="U483">
        <f>IF(Games[[#This Row],[Team]]="","",_xlfn.MAXIFS(Games[Week],Games[Team],Games[[#This Row],[Opponent]],Games[Season],Games[[#This Row],[Season]],Games[Week],"&lt;"&amp;Games[[#This Row],[Week]]))</f>
        <v>17</v>
      </c>
      <c r="V48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8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8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8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1553.4217242838249</v>
      </c>
      <c r="Z48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1499.8328204509032</v>
      </c>
      <c r="AA48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0.67325582193634714</v>
      </c>
      <c r="AB483">
        <f>IF(Games[[#This Row],[Team]]="","",Games[[#This Row],[PointsFor]]-Games[[#This Row],[PointsAgainst]])</f>
        <v>-3</v>
      </c>
      <c r="AC483">
        <f>IF(Games[[#This Row],[Team]]="","",IF(Games[[#This Row],[MOV]]&gt;0,1,IF(Games[[#This Row],[MOV]]=0,0.5,0)))</f>
        <v>0</v>
      </c>
      <c r="AD483">
        <f>IF(Games[[#This Row],[Team]]="","",--(OR(AND(Games[[#This Row],[ExpectedWin]]&gt;=0.5,Games[[#This Row],[Result]]=1),AND(Games[[#This Row],[ExpectedWin]]&lt;0.5,Games[[#This Row],[Result]]=0))))</f>
        <v>0</v>
      </c>
      <c r="AE483">
        <f>IF(Games[[#This Row],[Team]]="","",-(Games[[#This Row],[Result]]*LN(Games[[#This Row],[ExpectedWin]])+(1-Games[[#This Row],[Result]])*LN(1-Games[[#This Row],[ExpectedWin]])))</f>
        <v>1.1185777443453331</v>
      </c>
      <c r="AF483">
        <f>IF(Games[[#This Row],[Team]]="","",IF(Games[[#This Row],[Season]]&gt;=2021,17,16))</f>
        <v>16</v>
      </c>
      <c r="AG483">
        <f>IF(Games[[#This Row],[Team]]="","",KMax-(KMax-KFloor)*MIN(Games[[#This Row],[GamesPlayed]],Games[[#This Row],[SeasonLen]])/Games[[#This Row],[SeasonLen]])</f>
        <v>36.200000000000003</v>
      </c>
      <c r="AH483">
        <f>IF(Games[[#This Row],[Team]]="","",((ABS(Games[[#This Row],[MOV]])+3)^0.8)/(7.5+0.006*ABS(Games[[#This Row],[PreGmRate]]-Games[[#This Row],[OppPreGmRate]]))*IF(Games[[#This Row],[OT]]=1,0.7,1))</f>
        <v>0.53607937035734887</v>
      </c>
      <c r="AI48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1.1000000000000001</v>
      </c>
      <c r="AJ483">
        <f>IF(Games[[#This Row],[Team]]="","",Games[[#This Row],[K]]*IF(Games[[#This Row],[DivG]]=1,DivMult,1)*IF(Games[[#This Row],[ConfG]]=1,ConfMult,1)*Games[[#This Row],[POMult]])</f>
        <v>40.616400000000013</v>
      </c>
      <c r="AK483">
        <f>IF(Games[[#This Row],[Team]]="","",(Games[[#This Row],[Keff]]*Games[[#This Row],[MOVMult]])*(Games[[#This Row],[Result]]-Games[[#This Row],[ExpectedWin]]))</f>
        <v>-14.659212483126748</v>
      </c>
      <c r="AL483">
        <f>IF(Games[[#This Row],[Team]]="","",Games[[#This Row],[PreGmRate]]+Games[[#This Row],[RatingChange]])</f>
        <v>1538.7625118006981</v>
      </c>
      <c r="AM483">
        <f>IF(Games[[#This Row],[Team]]="","",IF(Games[[#This Row],[Type]]="R",IF(Games[[#This Row],[Result]]&gt;0.5,1,0),0))</f>
        <v>0</v>
      </c>
      <c r="AN483">
        <f>IF(Games[[#This Row],[Team]]="","",IF(Games[[#This Row],[Type]]="R",IF(Games[[#This Row],[Result]]&lt;0.5,1,0),0))</f>
        <v>0</v>
      </c>
      <c r="AO483">
        <f>IF(Games[[#This Row],[Team]]="","",IF(Games[[#This Row],[Type]]="R",IF(Games[[#This Row],[Result]]=0.5,1,0),0))</f>
        <v>0</v>
      </c>
    </row>
    <row r="484" spans="1:41" x14ac:dyDescent="0.35">
      <c r="A484" s="8">
        <v>35427</v>
      </c>
      <c r="B484">
        <v>1996</v>
      </c>
      <c r="C484" t="s">
        <v>198</v>
      </c>
      <c r="D484" t="s">
        <v>202</v>
      </c>
      <c r="E484" t="s">
        <v>114</v>
      </c>
      <c r="F484" t="s">
        <v>130</v>
      </c>
      <c r="G484" t="s">
        <v>200</v>
      </c>
      <c r="H484">
        <v>40</v>
      </c>
      <c r="I484">
        <v>15</v>
      </c>
      <c r="J484">
        <v>0</v>
      </c>
      <c r="K48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8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8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8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84">
        <f>IF(Games[[#This Row],[Team]]="","",IF(Games[[#This Row],[Conf]]=Games[[#This Row],[OppConf]],1,0))</f>
        <v>1</v>
      </c>
      <c r="P484">
        <f>IF(Games[[#This Row],[Team]]="","",IF(AND(Games[[#This Row],[Conf]]=Games[[#This Row],[OppConf]],Games[[#This Row],[Div]]=Games[[#This Row],[OppDiv]]),1,0))</f>
        <v>0</v>
      </c>
      <c r="Q484">
        <f>IF(Games[[#This Row],[Team]]="","",_xlfn.MINIFS(Games[Date],Games[Season],Games[[#This Row],[Season]]))</f>
        <v>35309</v>
      </c>
      <c r="R484">
        <f>IF(Games[[#This Row],[Team]]="","",INT((Games[[#This Row],[Date]]-(Games[[#This Row],[SeasonStart]]-MOD(WEEKDAY(Games[[#This Row],[SeasonStart]],2)-2,7)))/7)+1)</f>
        <v>18</v>
      </c>
      <c r="S484">
        <f>IF(Games[[#This Row],[Team]]="","",COUNTIFS(Games[Team],Games[[#This Row],[Team]],Games[Season],Games[[#This Row],[Season]],Games[Week],"&lt;="&amp;Games[[#This Row],[Week]]))</f>
        <v>17</v>
      </c>
      <c r="T484">
        <f>IF(Games[[#This Row],[Team]]="","",_xlfn.MAXIFS(Games[Week],Games[Team],Games[[#This Row],[Team]],Games[Season],Games[[#This Row],[Season]],Games[Week],"&lt;"&amp;Games[[#This Row],[Week]]))</f>
        <v>17</v>
      </c>
      <c r="U484">
        <f>IF(Games[[#This Row],[Team]]="","",_xlfn.MAXIFS(Games[Week],Games[Team],Games[[#This Row],[Opponent]],Games[Season],Games[[#This Row],[Season]],Games[Week],"&lt;"&amp;Games[[#This Row],[Week]]))</f>
        <v>17</v>
      </c>
      <c r="V48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8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8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8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1559.5183090155729</v>
      </c>
      <c r="Z48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1502.5680341603984</v>
      </c>
      <c r="AA48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0.67749804120685886</v>
      </c>
      <c r="AB484">
        <f>IF(Games[[#This Row],[Team]]="","",Games[[#This Row],[PointsFor]]-Games[[#This Row],[PointsAgainst]])</f>
        <v>25</v>
      </c>
      <c r="AC484">
        <f>IF(Games[[#This Row],[Team]]="","",IF(Games[[#This Row],[MOV]]&gt;0,1,IF(Games[[#This Row],[MOV]]=0,0.5,0)))</f>
        <v>1</v>
      </c>
      <c r="AD484">
        <f>IF(Games[[#This Row],[Team]]="","",--(OR(AND(Games[[#This Row],[ExpectedWin]]&gt;=0.5,Games[[#This Row],[Result]]=1),AND(Games[[#This Row],[ExpectedWin]]&lt;0.5,Games[[#This Row],[Result]]=0))))</f>
        <v>1</v>
      </c>
      <c r="AE484">
        <f>IF(Games[[#This Row],[Team]]="","",-(Games[[#This Row],[Result]]*LN(Games[[#This Row],[ExpectedWin]])+(1-Games[[#This Row],[Result]])*LN(1-Games[[#This Row],[ExpectedWin]])))</f>
        <v>0.38934861744004906</v>
      </c>
      <c r="AF484">
        <f>IF(Games[[#This Row],[Team]]="","",IF(Games[[#This Row],[Season]]&gt;=2021,17,16))</f>
        <v>16</v>
      </c>
      <c r="AG484">
        <f>IF(Games[[#This Row],[Team]]="","",KMax-(KMax-KFloor)*MIN(Games[[#This Row],[GamesPlayed]],Games[[#This Row],[SeasonLen]])/Games[[#This Row],[SeasonLen]])</f>
        <v>36.200000000000003</v>
      </c>
      <c r="AH484">
        <f>IF(Games[[#This Row],[Team]]="","",((ABS(Games[[#This Row],[MOV]])+3)^0.8)/(7.5+0.006*ABS(Games[[#This Row],[PreGmRate]]-Games[[#This Row],[OppPreGmRate]]))*IF(Games[[#This Row],[OT]]=1,0.7,1))</f>
        <v>1.8336485960090407</v>
      </c>
      <c r="AI48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1.1000000000000001</v>
      </c>
      <c r="AJ484">
        <f>IF(Games[[#This Row],[Team]]="","",Games[[#This Row],[K]]*IF(Games[[#This Row],[DivG]]=1,DivMult,1)*IF(Games[[#This Row],[ConfG]]=1,ConfMult,1)*Games[[#This Row],[POMult]])</f>
        <v>40.616400000000013</v>
      </c>
      <c r="AK484">
        <f>IF(Games[[#This Row],[Team]]="","",(Games[[#This Row],[Keff]]*Games[[#This Row],[MOVMult]])*(Games[[#This Row],[Result]]-Games[[#This Row],[ExpectedWin]]))</f>
        <v>24.018721942747884</v>
      </c>
      <c r="AL484">
        <f>IF(Games[[#This Row],[Team]]="","",Games[[#This Row],[PreGmRate]]+Games[[#This Row],[RatingChange]])</f>
        <v>1583.5370309583207</v>
      </c>
      <c r="AM484">
        <f>IF(Games[[#This Row],[Team]]="","",IF(Games[[#This Row],[Type]]="R",IF(Games[[#This Row],[Result]]&gt;0.5,1,0),0))</f>
        <v>0</v>
      </c>
      <c r="AN484">
        <f>IF(Games[[#This Row],[Team]]="","",IF(Games[[#This Row],[Type]]="R",IF(Games[[#This Row],[Result]]&lt;0.5,1,0),0))</f>
        <v>0</v>
      </c>
      <c r="AO484">
        <f>IF(Games[[#This Row],[Team]]="","",IF(Games[[#This Row],[Type]]="R",IF(Games[[#This Row],[Result]]=0.5,1,0),0))</f>
        <v>0</v>
      </c>
    </row>
    <row r="485" spans="1:41" x14ac:dyDescent="0.35">
      <c r="A485" s="8">
        <v>35427</v>
      </c>
      <c r="B485">
        <v>1996</v>
      </c>
      <c r="C485" t="s">
        <v>198</v>
      </c>
      <c r="D485" t="s">
        <v>202</v>
      </c>
      <c r="E485" t="s">
        <v>130</v>
      </c>
      <c r="F485" t="s">
        <v>114</v>
      </c>
      <c r="G485" t="s">
        <v>201</v>
      </c>
      <c r="H485">
        <v>15</v>
      </c>
      <c r="I485">
        <v>40</v>
      </c>
      <c r="J485">
        <v>0</v>
      </c>
      <c r="K48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8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8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8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85">
        <f>IF(Games[[#This Row],[Team]]="","",IF(Games[[#This Row],[Conf]]=Games[[#This Row],[OppConf]],1,0))</f>
        <v>1</v>
      </c>
      <c r="P485">
        <f>IF(Games[[#This Row],[Team]]="","",IF(AND(Games[[#This Row],[Conf]]=Games[[#This Row],[OppConf]],Games[[#This Row],[Div]]=Games[[#This Row],[OppDiv]]),1,0))</f>
        <v>0</v>
      </c>
      <c r="Q485">
        <f>IF(Games[[#This Row],[Team]]="","",_xlfn.MINIFS(Games[Date],Games[Season],Games[[#This Row],[Season]]))</f>
        <v>35309</v>
      </c>
      <c r="R485">
        <f>IF(Games[[#This Row],[Team]]="","",INT((Games[[#This Row],[Date]]-(Games[[#This Row],[SeasonStart]]-MOD(WEEKDAY(Games[[#This Row],[SeasonStart]],2)-2,7)))/7)+1)</f>
        <v>18</v>
      </c>
      <c r="S485">
        <f>IF(Games[[#This Row],[Team]]="","",COUNTIFS(Games[Team],Games[[#This Row],[Team]],Games[Season],Games[[#This Row],[Season]],Games[Week],"&lt;="&amp;Games[[#This Row],[Week]]))</f>
        <v>17</v>
      </c>
      <c r="T485">
        <f>IF(Games[[#This Row],[Team]]="","",_xlfn.MAXIFS(Games[Week],Games[Team],Games[[#This Row],[Team]],Games[Season],Games[[#This Row],[Season]],Games[Week],"&lt;"&amp;Games[[#This Row],[Week]]))</f>
        <v>17</v>
      </c>
      <c r="U485">
        <f>IF(Games[[#This Row],[Team]]="","",_xlfn.MAXIFS(Games[Week],Games[Team],Games[[#This Row],[Opponent]],Games[Season],Games[[#This Row],[Season]],Games[Week],"&lt;"&amp;Games[[#This Row],[Week]]))</f>
        <v>17</v>
      </c>
      <c r="V48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8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8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8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1502.5680341603984</v>
      </c>
      <c r="Z48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1559.5183090155729</v>
      </c>
      <c r="AA48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0.32250195879314114</v>
      </c>
      <c r="AB485">
        <f>IF(Games[[#This Row],[Team]]="","",Games[[#This Row],[PointsFor]]-Games[[#This Row],[PointsAgainst]])</f>
        <v>-25</v>
      </c>
      <c r="AC485">
        <f>IF(Games[[#This Row],[Team]]="","",IF(Games[[#This Row],[MOV]]&gt;0,1,IF(Games[[#This Row],[MOV]]=0,0.5,0)))</f>
        <v>0</v>
      </c>
      <c r="AD485">
        <f>IF(Games[[#This Row],[Team]]="","",--(OR(AND(Games[[#This Row],[ExpectedWin]]&gt;=0.5,Games[[#This Row],[Result]]=1),AND(Games[[#This Row],[ExpectedWin]]&lt;0.5,Games[[#This Row],[Result]]=0))))</f>
        <v>1</v>
      </c>
      <c r="AE485">
        <f>IF(Games[[#This Row],[Team]]="","",-(Games[[#This Row],[Result]]*LN(Games[[#This Row],[ExpectedWin]])+(1-Games[[#This Row],[Result]])*LN(1-Games[[#This Row],[ExpectedWin]])))</f>
        <v>0.38934861744004906</v>
      </c>
      <c r="AF485">
        <f>IF(Games[[#This Row],[Team]]="","",IF(Games[[#This Row],[Season]]&gt;=2021,17,16))</f>
        <v>16</v>
      </c>
      <c r="AG485">
        <f>IF(Games[[#This Row],[Team]]="","",KMax-(KMax-KFloor)*MIN(Games[[#This Row],[GamesPlayed]],Games[[#This Row],[SeasonLen]])/Games[[#This Row],[SeasonLen]])</f>
        <v>36.200000000000003</v>
      </c>
      <c r="AH485">
        <f>IF(Games[[#This Row],[Team]]="","",((ABS(Games[[#This Row],[MOV]])+3)^0.8)/(7.5+0.006*ABS(Games[[#This Row],[PreGmRate]]-Games[[#This Row],[OppPreGmRate]]))*IF(Games[[#This Row],[OT]]=1,0.7,1))</f>
        <v>1.8336485960090407</v>
      </c>
      <c r="AI48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1.1000000000000001</v>
      </c>
      <c r="AJ485">
        <f>IF(Games[[#This Row],[Team]]="","",Games[[#This Row],[K]]*IF(Games[[#This Row],[DivG]]=1,DivMult,1)*IF(Games[[#This Row],[ConfG]]=1,ConfMult,1)*Games[[#This Row],[POMult]])</f>
        <v>40.616400000000013</v>
      </c>
      <c r="AK485">
        <f>IF(Games[[#This Row],[Team]]="","",(Games[[#This Row],[Keff]]*Games[[#This Row],[MOVMult]])*(Games[[#This Row],[Result]]-Games[[#This Row],[ExpectedWin]]))</f>
        <v>-24.018721942747884</v>
      </c>
      <c r="AL485">
        <f>IF(Games[[#This Row],[Team]]="","",Games[[#This Row],[PreGmRate]]+Games[[#This Row],[RatingChange]])</f>
        <v>1478.5493122176506</v>
      </c>
      <c r="AM485">
        <f>IF(Games[[#This Row],[Team]]="","",IF(Games[[#This Row],[Type]]="R",IF(Games[[#This Row],[Result]]&gt;0.5,1,0),0))</f>
        <v>0</v>
      </c>
      <c r="AN485">
        <f>IF(Games[[#This Row],[Team]]="","",IF(Games[[#This Row],[Type]]="R",IF(Games[[#This Row],[Result]]&lt;0.5,1,0),0))</f>
        <v>0</v>
      </c>
      <c r="AO485">
        <f>IF(Games[[#This Row],[Team]]="","",IF(Games[[#This Row],[Type]]="R",IF(Games[[#This Row],[Result]]=0.5,1,0),0))</f>
        <v>0</v>
      </c>
    </row>
    <row r="486" spans="1:41" x14ac:dyDescent="0.35">
      <c r="A486" s="8">
        <v>35428</v>
      </c>
      <c r="B486">
        <v>1996</v>
      </c>
      <c r="C486" t="s">
        <v>198</v>
      </c>
      <c r="D486" t="s">
        <v>202</v>
      </c>
      <c r="E486" t="s">
        <v>143</v>
      </c>
      <c r="F486" t="s">
        <v>122</v>
      </c>
      <c r="G486" t="s">
        <v>200</v>
      </c>
      <c r="H486">
        <v>42</v>
      </c>
      <c r="I486">
        <v>14</v>
      </c>
      <c r="J486">
        <v>0</v>
      </c>
      <c r="K48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8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8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8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86">
        <f>IF(Games[[#This Row],[Team]]="","",IF(Games[[#This Row],[Conf]]=Games[[#This Row],[OppConf]],1,0))</f>
        <v>1</v>
      </c>
      <c r="P486">
        <f>IF(Games[[#This Row],[Team]]="","",IF(AND(Games[[#This Row],[Conf]]=Games[[#This Row],[OppConf]],Games[[#This Row],[Div]]=Games[[#This Row],[OppDiv]]),1,0))</f>
        <v>0</v>
      </c>
      <c r="Q486">
        <f>IF(Games[[#This Row],[Team]]="","",_xlfn.MINIFS(Games[Date],Games[Season],Games[[#This Row],[Season]]))</f>
        <v>35309</v>
      </c>
      <c r="R486">
        <f>IF(Games[[#This Row],[Team]]="","",INT((Games[[#This Row],[Date]]-(Games[[#This Row],[SeasonStart]]-MOD(WEEKDAY(Games[[#This Row],[SeasonStart]],2)-2,7)))/7)+1)</f>
        <v>18</v>
      </c>
      <c r="S486">
        <f>IF(Games[[#This Row],[Team]]="","",COUNTIFS(Games[Team],Games[[#This Row],[Team]],Games[Season],Games[[#This Row],[Season]],Games[Week],"&lt;="&amp;Games[[#This Row],[Week]]))</f>
        <v>17</v>
      </c>
      <c r="T486">
        <f>IF(Games[[#This Row],[Team]]="","",_xlfn.MAXIFS(Games[Week],Games[Team],Games[[#This Row],[Team]],Games[Season],Games[[#This Row],[Season]],Games[Week],"&lt;"&amp;Games[[#This Row],[Week]]))</f>
        <v>17</v>
      </c>
      <c r="U486">
        <f>IF(Games[[#This Row],[Team]]="","",_xlfn.MAXIFS(Games[Week],Games[Team],Games[[#This Row],[Opponent]],Games[Season],Games[[#This Row],[Season]],Games[Week],"&lt;"&amp;Games[[#This Row],[Week]]))</f>
        <v>17</v>
      </c>
      <c r="V48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8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8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8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1561.3098087662136</v>
      </c>
      <c r="Z48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1498.9678313178706</v>
      </c>
      <c r="AA48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0.68424178994719165</v>
      </c>
      <c r="AB486">
        <f>IF(Games[[#This Row],[Team]]="","",Games[[#This Row],[PointsFor]]-Games[[#This Row],[PointsAgainst]])</f>
        <v>28</v>
      </c>
      <c r="AC486">
        <f>IF(Games[[#This Row],[Team]]="","",IF(Games[[#This Row],[MOV]]&gt;0,1,IF(Games[[#This Row],[MOV]]=0,0.5,0)))</f>
        <v>1</v>
      </c>
      <c r="AD486">
        <f>IF(Games[[#This Row],[Team]]="","",--(OR(AND(Games[[#This Row],[ExpectedWin]]&gt;=0.5,Games[[#This Row],[Result]]=1),AND(Games[[#This Row],[ExpectedWin]]&lt;0.5,Games[[#This Row],[Result]]=0))))</f>
        <v>1</v>
      </c>
      <c r="AE486">
        <f>IF(Games[[#This Row],[Team]]="","",-(Games[[#This Row],[Result]]*LN(Games[[#This Row],[ExpectedWin]])+(1-Games[[#This Row],[Result]])*LN(1-Games[[#This Row],[ExpectedWin]])))</f>
        <v>0.37944392974905539</v>
      </c>
      <c r="AF486">
        <f>IF(Games[[#This Row],[Team]]="","",IF(Games[[#This Row],[Season]]&gt;=2021,17,16))</f>
        <v>16</v>
      </c>
      <c r="AG486">
        <f>IF(Games[[#This Row],[Team]]="","",KMax-(KMax-KFloor)*MIN(Games[[#This Row],[GamesPlayed]],Games[[#This Row],[SeasonLen]])/Games[[#This Row],[SeasonLen]])</f>
        <v>36.200000000000003</v>
      </c>
      <c r="AH486">
        <f>IF(Games[[#This Row],[Team]]="","",((ABS(Games[[#This Row],[MOV]])+3)^0.8)/(7.5+0.006*ABS(Games[[#This Row],[PreGmRate]]-Games[[#This Row],[OppPreGmRate]]))*IF(Games[[#This Row],[OT]]=1,0.7,1))</f>
        <v>1.9810301442011062</v>
      </c>
      <c r="AI48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1.1000000000000001</v>
      </c>
      <c r="AJ486">
        <f>IF(Games[[#This Row],[Team]]="","",Games[[#This Row],[K]]*IF(Games[[#This Row],[DivG]]=1,DivMult,1)*IF(Games[[#This Row],[ConfG]]=1,ConfMult,1)*Games[[#This Row],[POMult]])</f>
        <v>40.616400000000013</v>
      </c>
      <c r="AK486">
        <f>IF(Games[[#This Row],[Team]]="","",(Games[[#This Row],[Keff]]*Games[[#This Row],[MOVMult]])*(Games[[#This Row],[Result]]-Games[[#This Row],[ExpectedWin]]))</f>
        <v>25.406635850311346</v>
      </c>
      <c r="AL486">
        <f>IF(Games[[#This Row],[Team]]="","",Games[[#This Row],[PreGmRate]]+Games[[#This Row],[RatingChange]])</f>
        <v>1586.716444616525</v>
      </c>
      <c r="AM486">
        <f>IF(Games[[#This Row],[Team]]="","",IF(Games[[#This Row],[Type]]="R",IF(Games[[#This Row],[Result]]&gt;0.5,1,0),0))</f>
        <v>0</v>
      </c>
      <c r="AN486">
        <f>IF(Games[[#This Row],[Team]]="","",IF(Games[[#This Row],[Type]]="R",IF(Games[[#This Row],[Result]]&lt;0.5,1,0),0))</f>
        <v>0</v>
      </c>
      <c r="AO486">
        <f>IF(Games[[#This Row],[Team]]="","",IF(Games[[#This Row],[Type]]="R",IF(Games[[#This Row],[Result]]=0.5,1,0),0))</f>
        <v>0</v>
      </c>
    </row>
    <row r="487" spans="1:41" x14ac:dyDescent="0.35">
      <c r="A487" s="8">
        <v>35428</v>
      </c>
      <c r="B487">
        <v>1996</v>
      </c>
      <c r="C487" t="s">
        <v>198</v>
      </c>
      <c r="D487" t="s">
        <v>202</v>
      </c>
      <c r="E487" t="s">
        <v>122</v>
      </c>
      <c r="F487" t="s">
        <v>143</v>
      </c>
      <c r="G487" t="s">
        <v>201</v>
      </c>
      <c r="H487">
        <v>14</v>
      </c>
      <c r="I487">
        <v>42</v>
      </c>
      <c r="J487">
        <v>0</v>
      </c>
      <c r="K48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8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8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8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87">
        <f>IF(Games[[#This Row],[Team]]="","",IF(Games[[#This Row],[Conf]]=Games[[#This Row],[OppConf]],1,0))</f>
        <v>1</v>
      </c>
      <c r="P487">
        <f>IF(Games[[#This Row],[Team]]="","",IF(AND(Games[[#This Row],[Conf]]=Games[[#This Row],[OppConf]],Games[[#This Row],[Div]]=Games[[#This Row],[OppDiv]]),1,0))</f>
        <v>0</v>
      </c>
      <c r="Q487">
        <f>IF(Games[[#This Row],[Team]]="","",_xlfn.MINIFS(Games[Date],Games[Season],Games[[#This Row],[Season]]))</f>
        <v>35309</v>
      </c>
      <c r="R487">
        <f>IF(Games[[#This Row],[Team]]="","",INT((Games[[#This Row],[Date]]-(Games[[#This Row],[SeasonStart]]-MOD(WEEKDAY(Games[[#This Row],[SeasonStart]],2)-2,7)))/7)+1)</f>
        <v>18</v>
      </c>
      <c r="S487">
        <f>IF(Games[[#This Row],[Team]]="","",COUNTIFS(Games[Team],Games[[#This Row],[Team]],Games[Season],Games[[#This Row],[Season]],Games[Week],"&lt;="&amp;Games[[#This Row],[Week]]))</f>
        <v>17</v>
      </c>
      <c r="T487">
        <f>IF(Games[[#This Row],[Team]]="","",_xlfn.MAXIFS(Games[Week],Games[Team],Games[[#This Row],[Team]],Games[Season],Games[[#This Row],[Season]],Games[Week],"&lt;"&amp;Games[[#This Row],[Week]]))</f>
        <v>17</v>
      </c>
      <c r="U487">
        <f>IF(Games[[#This Row],[Team]]="","",_xlfn.MAXIFS(Games[Week],Games[Team],Games[[#This Row],[Opponent]],Games[Season],Games[[#This Row],[Season]],Games[Week],"&lt;"&amp;Games[[#This Row],[Week]]))</f>
        <v>17</v>
      </c>
      <c r="V48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8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8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8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1498.9678313178706</v>
      </c>
      <c r="Z48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1561.3098087662136</v>
      </c>
      <c r="AA48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0.31575821005280841</v>
      </c>
      <c r="AB487">
        <f>IF(Games[[#This Row],[Team]]="","",Games[[#This Row],[PointsFor]]-Games[[#This Row],[PointsAgainst]])</f>
        <v>-28</v>
      </c>
      <c r="AC487">
        <f>IF(Games[[#This Row],[Team]]="","",IF(Games[[#This Row],[MOV]]&gt;0,1,IF(Games[[#This Row],[MOV]]=0,0.5,0)))</f>
        <v>0</v>
      </c>
      <c r="AD487">
        <f>IF(Games[[#This Row],[Team]]="","",--(OR(AND(Games[[#This Row],[ExpectedWin]]&gt;=0.5,Games[[#This Row],[Result]]=1),AND(Games[[#This Row],[ExpectedWin]]&lt;0.5,Games[[#This Row],[Result]]=0))))</f>
        <v>1</v>
      </c>
      <c r="AE487">
        <f>IF(Games[[#This Row],[Team]]="","",-(Games[[#This Row],[Result]]*LN(Games[[#This Row],[ExpectedWin]])+(1-Games[[#This Row],[Result]])*LN(1-Games[[#This Row],[ExpectedWin]])))</f>
        <v>0.37944392974905555</v>
      </c>
      <c r="AF487">
        <f>IF(Games[[#This Row],[Team]]="","",IF(Games[[#This Row],[Season]]&gt;=2021,17,16))</f>
        <v>16</v>
      </c>
      <c r="AG487">
        <f>IF(Games[[#This Row],[Team]]="","",KMax-(KMax-KFloor)*MIN(Games[[#This Row],[GamesPlayed]],Games[[#This Row],[SeasonLen]])/Games[[#This Row],[SeasonLen]])</f>
        <v>36.200000000000003</v>
      </c>
      <c r="AH487">
        <f>IF(Games[[#This Row],[Team]]="","",((ABS(Games[[#This Row],[MOV]])+3)^0.8)/(7.5+0.006*ABS(Games[[#This Row],[PreGmRate]]-Games[[#This Row],[OppPreGmRate]]))*IF(Games[[#This Row],[OT]]=1,0.7,1))</f>
        <v>1.9810301442011062</v>
      </c>
      <c r="AI48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1.1000000000000001</v>
      </c>
      <c r="AJ487">
        <f>IF(Games[[#This Row],[Team]]="","",Games[[#This Row],[K]]*IF(Games[[#This Row],[DivG]]=1,DivMult,1)*IF(Games[[#This Row],[ConfG]]=1,ConfMult,1)*Games[[#This Row],[POMult]])</f>
        <v>40.616400000000013</v>
      </c>
      <c r="AK487">
        <f>IF(Games[[#This Row],[Team]]="","",(Games[[#This Row],[Keff]]*Games[[#This Row],[MOVMult]])*(Games[[#This Row],[Result]]-Games[[#This Row],[ExpectedWin]]))</f>
        <v>-25.40663585031135</v>
      </c>
      <c r="AL487">
        <f>IF(Games[[#This Row],[Team]]="","",Games[[#This Row],[PreGmRate]]+Games[[#This Row],[RatingChange]])</f>
        <v>1473.5611954675592</v>
      </c>
      <c r="AM487">
        <f>IF(Games[[#This Row],[Team]]="","",IF(Games[[#This Row],[Type]]="R",IF(Games[[#This Row],[Result]]&gt;0.5,1,0),0))</f>
        <v>0</v>
      </c>
      <c r="AN487">
        <f>IF(Games[[#This Row],[Team]]="","",IF(Games[[#This Row],[Type]]="R",IF(Games[[#This Row],[Result]]&lt;0.5,1,0),0))</f>
        <v>0</v>
      </c>
      <c r="AO487">
        <f>IF(Games[[#This Row],[Team]]="","",IF(Games[[#This Row],[Type]]="R",IF(Games[[#This Row],[Result]]=0.5,1,0),0))</f>
        <v>0</v>
      </c>
    </row>
    <row r="488" spans="1:41" x14ac:dyDescent="0.35">
      <c r="A488" s="8">
        <v>35428</v>
      </c>
      <c r="B488">
        <v>1996</v>
      </c>
      <c r="C488" t="s">
        <v>198</v>
      </c>
      <c r="D488" t="s">
        <v>202</v>
      </c>
      <c r="E488" t="s">
        <v>148</v>
      </c>
      <c r="F488" t="s">
        <v>141</v>
      </c>
      <c r="G488" t="s">
        <v>200</v>
      </c>
      <c r="H488">
        <v>14</v>
      </c>
      <c r="I488">
        <v>0</v>
      </c>
      <c r="J488">
        <v>0</v>
      </c>
      <c r="K48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8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8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8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88">
        <f>IF(Games[[#This Row],[Team]]="","",IF(Games[[#This Row],[Conf]]=Games[[#This Row],[OppConf]],1,0))</f>
        <v>1</v>
      </c>
      <c r="P488">
        <f>IF(Games[[#This Row],[Team]]="","",IF(AND(Games[[#This Row],[Conf]]=Games[[#This Row],[OppConf]],Games[[#This Row],[Div]]=Games[[#This Row],[OppDiv]]),1,0))</f>
        <v>0</v>
      </c>
      <c r="Q488">
        <f>IF(Games[[#This Row],[Team]]="","",_xlfn.MINIFS(Games[Date],Games[Season],Games[[#This Row],[Season]]))</f>
        <v>35309</v>
      </c>
      <c r="R488">
        <f>IF(Games[[#This Row],[Team]]="","",INT((Games[[#This Row],[Date]]-(Games[[#This Row],[SeasonStart]]-MOD(WEEKDAY(Games[[#This Row],[SeasonStart]],2)-2,7)))/7)+1)</f>
        <v>18</v>
      </c>
      <c r="S488">
        <f>IF(Games[[#This Row],[Team]]="","",COUNTIFS(Games[Team],Games[[#This Row],[Team]],Games[Season],Games[[#This Row],[Season]],Games[Week],"&lt;="&amp;Games[[#This Row],[Week]]))</f>
        <v>17</v>
      </c>
      <c r="T488">
        <f>IF(Games[[#This Row],[Team]]="","",_xlfn.MAXIFS(Games[Week],Games[Team],Games[[#This Row],[Team]],Games[Season],Games[[#This Row],[Season]],Games[Week],"&lt;"&amp;Games[[#This Row],[Week]]))</f>
        <v>17</v>
      </c>
      <c r="U488">
        <f>IF(Games[[#This Row],[Team]]="","",_xlfn.MAXIFS(Games[Week],Games[Team],Games[[#This Row],[Opponent]],Games[Season],Games[[#This Row],[Season]],Games[Week],"&lt;"&amp;Games[[#This Row],[Week]]))</f>
        <v>17</v>
      </c>
      <c r="V48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8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8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8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1642.4058370508826</v>
      </c>
      <c r="Z48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1542.0736436280058</v>
      </c>
      <c r="AA48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0.72261799232878032</v>
      </c>
      <c r="AB488">
        <f>IF(Games[[#This Row],[Team]]="","",Games[[#This Row],[PointsFor]]-Games[[#This Row],[PointsAgainst]])</f>
        <v>14</v>
      </c>
      <c r="AC488">
        <f>IF(Games[[#This Row],[Team]]="","",IF(Games[[#This Row],[MOV]]&gt;0,1,IF(Games[[#This Row],[MOV]]=0,0.5,0)))</f>
        <v>1</v>
      </c>
      <c r="AD488">
        <f>IF(Games[[#This Row],[Team]]="","",--(OR(AND(Games[[#This Row],[ExpectedWin]]&gt;=0.5,Games[[#This Row],[Result]]=1),AND(Games[[#This Row],[ExpectedWin]]&lt;0.5,Games[[#This Row],[Result]]=0))))</f>
        <v>1</v>
      </c>
      <c r="AE488">
        <f>IF(Games[[#This Row],[Team]]="","",-(Games[[#This Row],[Result]]*LN(Games[[#This Row],[ExpectedWin]])+(1-Games[[#This Row],[Result]])*LN(1-Games[[#This Row],[ExpectedWin]])))</f>
        <v>0.32487456114766633</v>
      </c>
      <c r="AF488">
        <f>IF(Games[[#This Row],[Team]]="","",IF(Games[[#This Row],[Season]]&gt;=2021,17,16))</f>
        <v>16</v>
      </c>
      <c r="AG488">
        <f>IF(Games[[#This Row],[Team]]="","",KMax-(KMax-KFloor)*MIN(Games[[#This Row],[GamesPlayed]],Games[[#This Row],[SeasonLen]])/Games[[#This Row],[SeasonLen]])</f>
        <v>36.200000000000003</v>
      </c>
      <c r="AH488">
        <f>IF(Games[[#This Row],[Team]]="","",((ABS(Games[[#This Row],[MOV]])+3)^0.8)/(7.5+0.006*ABS(Games[[#This Row],[PreGmRate]]-Games[[#This Row],[OppPreGmRate]]))*IF(Games[[#This Row],[OT]]=1,0.7,1))</f>
        <v>1.190603801469662</v>
      </c>
      <c r="AI48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1.1000000000000001</v>
      </c>
      <c r="AJ488">
        <f>IF(Games[[#This Row],[Team]]="","",Games[[#This Row],[K]]*IF(Games[[#This Row],[DivG]]=1,DivMult,1)*IF(Games[[#This Row],[ConfG]]=1,ConfMult,1)*Games[[#This Row],[POMult]])</f>
        <v>40.616400000000013</v>
      </c>
      <c r="AK488">
        <f>IF(Games[[#This Row],[Team]]="","",(Games[[#This Row],[Keff]]*Games[[#This Row],[MOVMult]])*(Games[[#This Row],[Result]]-Games[[#This Row],[ExpectedWin]]))</f>
        <v>13.413650289375033</v>
      </c>
      <c r="AL488">
        <f>IF(Games[[#This Row],[Team]]="","",Games[[#This Row],[PreGmRate]]+Games[[#This Row],[RatingChange]])</f>
        <v>1655.8194873402576</v>
      </c>
      <c r="AM488">
        <f>IF(Games[[#This Row],[Team]]="","",IF(Games[[#This Row],[Type]]="R",IF(Games[[#This Row],[Result]]&gt;0.5,1,0),0))</f>
        <v>0</v>
      </c>
      <c r="AN488">
        <f>IF(Games[[#This Row],[Team]]="","",IF(Games[[#This Row],[Type]]="R",IF(Games[[#This Row],[Result]]&lt;0.5,1,0),0))</f>
        <v>0</v>
      </c>
      <c r="AO488">
        <f>IF(Games[[#This Row],[Team]]="","",IF(Games[[#This Row],[Type]]="R",IF(Games[[#This Row],[Result]]=0.5,1,0),0))</f>
        <v>0</v>
      </c>
    </row>
    <row r="489" spans="1:41" x14ac:dyDescent="0.35">
      <c r="A489" s="8">
        <v>35428</v>
      </c>
      <c r="B489">
        <v>1996</v>
      </c>
      <c r="C489" t="s">
        <v>198</v>
      </c>
      <c r="D489" t="s">
        <v>202</v>
      </c>
      <c r="E489" t="s">
        <v>141</v>
      </c>
      <c r="F489" t="s">
        <v>148</v>
      </c>
      <c r="G489" t="s">
        <v>201</v>
      </c>
      <c r="H489">
        <v>0</v>
      </c>
      <c r="I489">
        <v>14</v>
      </c>
      <c r="J489">
        <v>0</v>
      </c>
      <c r="K48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8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8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8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89">
        <f>IF(Games[[#This Row],[Team]]="","",IF(Games[[#This Row],[Conf]]=Games[[#This Row],[OppConf]],1,0))</f>
        <v>1</v>
      </c>
      <c r="P489">
        <f>IF(Games[[#This Row],[Team]]="","",IF(AND(Games[[#This Row],[Conf]]=Games[[#This Row],[OppConf]],Games[[#This Row],[Div]]=Games[[#This Row],[OppDiv]]),1,0))</f>
        <v>0</v>
      </c>
      <c r="Q489">
        <f>IF(Games[[#This Row],[Team]]="","",_xlfn.MINIFS(Games[Date],Games[Season],Games[[#This Row],[Season]]))</f>
        <v>35309</v>
      </c>
      <c r="R489">
        <f>IF(Games[[#This Row],[Team]]="","",INT((Games[[#This Row],[Date]]-(Games[[#This Row],[SeasonStart]]-MOD(WEEKDAY(Games[[#This Row],[SeasonStart]],2)-2,7)))/7)+1)</f>
        <v>18</v>
      </c>
      <c r="S489">
        <f>IF(Games[[#This Row],[Team]]="","",COUNTIFS(Games[Team],Games[[#This Row],[Team]],Games[Season],Games[[#This Row],[Season]],Games[Week],"&lt;="&amp;Games[[#This Row],[Week]]))</f>
        <v>17</v>
      </c>
      <c r="T489">
        <f>IF(Games[[#This Row],[Team]]="","",_xlfn.MAXIFS(Games[Week],Games[Team],Games[[#This Row],[Team]],Games[Season],Games[[#This Row],[Season]],Games[Week],"&lt;"&amp;Games[[#This Row],[Week]]))</f>
        <v>17</v>
      </c>
      <c r="U489">
        <f>IF(Games[[#This Row],[Team]]="","",_xlfn.MAXIFS(Games[Week],Games[Team],Games[[#This Row],[Opponent]],Games[Season],Games[[#This Row],[Season]],Games[Week],"&lt;"&amp;Games[[#This Row],[Week]]))</f>
        <v>17</v>
      </c>
      <c r="V48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8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8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8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1542.0736436280058</v>
      </c>
      <c r="Z48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1642.4058370508826</v>
      </c>
      <c r="AA48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0.27738200767121968</v>
      </c>
      <c r="AB489">
        <f>IF(Games[[#This Row],[Team]]="","",Games[[#This Row],[PointsFor]]-Games[[#This Row],[PointsAgainst]])</f>
        <v>-14</v>
      </c>
      <c r="AC489">
        <f>IF(Games[[#This Row],[Team]]="","",IF(Games[[#This Row],[MOV]]&gt;0,1,IF(Games[[#This Row],[MOV]]=0,0.5,0)))</f>
        <v>0</v>
      </c>
      <c r="AD489">
        <f>IF(Games[[#This Row],[Team]]="","",--(OR(AND(Games[[#This Row],[ExpectedWin]]&gt;=0.5,Games[[#This Row],[Result]]=1),AND(Games[[#This Row],[ExpectedWin]]&lt;0.5,Games[[#This Row],[Result]]=0))))</f>
        <v>1</v>
      </c>
      <c r="AE489">
        <f>IF(Games[[#This Row],[Team]]="","",-(Games[[#This Row],[Result]]*LN(Games[[#This Row],[ExpectedWin]])+(1-Games[[#This Row],[Result]])*LN(1-Games[[#This Row],[ExpectedWin]])))</f>
        <v>0.32487456114766633</v>
      </c>
      <c r="AF489">
        <f>IF(Games[[#This Row],[Team]]="","",IF(Games[[#This Row],[Season]]&gt;=2021,17,16))</f>
        <v>16</v>
      </c>
      <c r="AG489">
        <f>IF(Games[[#This Row],[Team]]="","",KMax-(KMax-KFloor)*MIN(Games[[#This Row],[GamesPlayed]],Games[[#This Row],[SeasonLen]])/Games[[#This Row],[SeasonLen]])</f>
        <v>36.200000000000003</v>
      </c>
      <c r="AH489">
        <f>IF(Games[[#This Row],[Team]]="","",((ABS(Games[[#This Row],[MOV]])+3)^0.8)/(7.5+0.006*ABS(Games[[#This Row],[PreGmRate]]-Games[[#This Row],[OppPreGmRate]]))*IF(Games[[#This Row],[OT]]=1,0.7,1))</f>
        <v>1.190603801469662</v>
      </c>
      <c r="AI48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1.1000000000000001</v>
      </c>
      <c r="AJ489">
        <f>IF(Games[[#This Row],[Team]]="","",Games[[#This Row],[K]]*IF(Games[[#This Row],[DivG]]=1,DivMult,1)*IF(Games[[#This Row],[ConfG]]=1,ConfMult,1)*Games[[#This Row],[POMult]])</f>
        <v>40.616400000000013</v>
      </c>
      <c r="AK489">
        <f>IF(Games[[#This Row],[Team]]="","",(Games[[#This Row],[Keff]]*Games[[#This Row],[MOVMult]])*(Games[[#This Row],[Result]]-Games[[#This Row],[ExpectedWin]]))</f>
        <v>-13.413650289375033</v>
      </c>
      <c r="AL489">
        <f>IF(Games[[#This Row],[Team]]="","",Games[[#This Row],[PreGmRate]]+Games[[#This Row],[RatingChange]])</f>
        <v>1528.6599933386308</v>
      </c>
      <c r="AM489">
        <f>IF(Games[[#This Row],[Team]]="","",IF(Games[[#This Row],[Type]]="R",IF(Games[[#This Row],[Result]]&gt;0.5,1,0),0))</f>
        <v>0</v>
      </c>
      <c r="AN489">
        <f>IF(Games[[#This Row],[Team]]="","",IF(Games[[#This Row],[Type]]="R",IF(Games[[#This Row],[Result]]&lt;0.5,1,0),0))</f>
        <v>0</v>
      </c>
      <c r="AO489">
        <f>IF(Games[[#This Row],[Team]]="","",IF(Games[[#This Row],[Type]]="R",IF(Games[[#This Row],[Result]]=0.5,1,0),0))</f>
        <v>0</v>
      </c>
    </row>
    <row r="490" spans="1:41" x14ac:dyDescent="0.35">
      <c r="A490" s="8">
        <v>35434</v>
      </c>
      <c r="B490">
        <v>1996</v>
      </c>
      <c r="C490" t="s">
        <v>198</v>
      </c>
      <c r="D490" t="s">
        <v>203</v>
      </c>
      <c r="E490" t="s">
        <v>120</v>
      </c>
      <c r="F490" t="s">
        <v>148</v>
      </c>
      <c r="G490" t="s">
        <v>200</v>
      </c>
      <c r="H490">
        <v>35</v>
      </c>
      <c r="I490">
        <v>14</v>
      </c>
      <c r="J490">
        <v>0</v>
      </c>
      <c r="K49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9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9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9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90">
        <f>IF(Games[[#This Row],[Team]]="","",IF(Games[[#This Row],[Conf]]=Games[[#This Row],[OppConf]],1,0))</f>
        <v>1</v>
      </c>
      <c r="P490">
        <f>IF(Games[[#This Row],[Team]]="","",IF(AND(Games[[#This Row],[Conf]]=Games[[#This Row],[OppConf]],Games[[#This Row],[Div]]=Games[[#This Row],[OppDiv]]),1,0))</f>
        <v>0</v>
      </c>
      <c r="Q490">
        <f>IF(Games[[#This Row],[Team]]="","",_xlfn.MINIFS(Games[Date],Games[Season],Games[[#This Row],[Season]]))</f>
        <v>35309</v>
      </c>
      <c r="R490">
        <f>IF(Games[[#This Row],[Team]]="","",INT((Games[[#This Row],[Date]]-(Games[[#This Row],[SeasonStart]]-MOD(WEEKDAY(Games[[#This Row],[SeasonStart]],2)-2,7)))/7)+1)</f>
        <v>19</v>
      </c>
      <c r="S490">
        <f>IF(Games[[#This Row],[Team]]="","",COUNTIFS(Games[Team],Games[[#This Row],[Team]],Games[Season],Games[[#This Row],[Season]],Games[Week],"&lt;="&amp;Games[[#This Row],[Week]]))</f>
        <v>17</v>
      </c>
      <c r="T490">
        <f>IF(Games[[#This Row],[Team]]="","",_xlfn.MAXIFS(Games[Week],Games[Team],Games[[#This Row],[Team]],Games[Season],Games[[#This Row],[Season]],Games[Week],"&lt;"&amp;Games[[#This Row],[Week]]))</f>
        <v>17</v>
      </c>
      <c r="U490">
        <f>IF(Games[[#This Row],[Team]]="","",_xlfn.MAXIFS(Games[Week],Games[Team],Games[[#This Row],[Opponent]],Games[Season],Games[[#This Row],[Season]],Games[Week],"&lt;"&amp;Games[[#This Row],[Week]]))</f>
        <v>18</v>
      </c>
      <c r="V49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13</v>
      </c>
      <c r="W49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9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49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1725.8492826799445</v>
      </c>
      <c r="Z49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1655.8194873402576</v>
      </c>
      <c r="AA49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0.72226894042552536</v>
      </c>
      <c r="AB490">
        <f>IF(Games[[#This Row],[Team]]="","",Games[[#This Row],[PointsFor]]-Games[[#This Row],[PointsAgainst]])</f>
        <v>21</v>
      </c>
      <c r="AC490">
        <f>IF(Games[[#This Row],[Team]]="","",IF(Games[[#This Row],[MOV]]&gt;0,1,IF(Games[[#This Row],[MOV]]=0,0.5,0)))</f>
        <v>1</v>
      </c>
      <c r="AD490">
        <f>IF(Games[[#This Row],[Team]]="","",--(OR(AND(Games[[#This Row],[ExpectedWin]]&gt;=0.5,Games[[#This Row],[Result]]=1),AND(Games[[#This Row],[ExpectedWin]]&lt;0.5,Games[[#This Row],[Result]]=0))))</f>
        <v>1</v>
      </c>
      <c r="AE490">
        <f>IF(Games[[#This Row],[Team]]="","",-(Games[[#This Row],[Result]]*LN(Games[[#This Row],[ExpectedWin]])+(1-Games[[#This Row],[Result]])*LN(1-Games[[#This Row],[ExpectedWin]])))</f>
        <v>0.32535771578368999</v>
      </c>
      <c r="AF490">
        <f>IF(Games[[#This Row],[Team]]="","",IF(Games[[#This Row],[Season]]&gt;=2021,17,16))</f>
        <v>16</v>
      </c>
      <c r="AG490">
        <f>IF(Games[[#This Row],[Team]]="","",KMax-(KMax-KFloor)*MIN(Games[[#This Row],[GamesPlayed]],Games[[#This Row],[SeasonLen]])/Games[[#This Row],[SeasonLen]])</f>
        <v>36.200000000000003</v>
      </c>
      <c r="AH490">
        <f>IF(Games[[#This Row],[Team]]="","",((ABS(Games[[#This Row],[MOV]])+3)^0.8)/(7.5+0.006*ABS(Games[[#This Row],[PreGmRate]]-Games[[#This Row],[OppPreGmRate]]))*IF(Games[[#This Row],[OT]]=1,0.7,1))</f>
        <v>1.6048483826476654</v>
      </c>
      <c r="AI49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1.2</v>
      </c>
      <c r="AJ490">
        <f>IF(Games[[#This Row],[Team]]="","",Games[[#This Row],[K]]*IF(Games[[#This Row],[DivG]]=1,DivMult,1)*IF(Games[[#This Row],[ConfG]]=1,ConfMult,1)*Games[[#This Row],[POMult]])</f>
        <v>44.308800000000005</v>
      </c>
      <c r="AK490">
        <f>IF(Games[[#This Row],[Team]]="","",(Games[[#This Row],[Keff]]*Games[[#This Row],[MOVMult]])*(Games[[#This Row],[Result]]-Games[[#This Row],[ExpectedWin]]))</f>
        <v>19.749151813299498</v>
      </c>
      <c r="AL490">
        <f>IF(Games[[#This Row],[Team]]="","",Games[[#This Row],[PreGmRate]]+Games[[#This Row],[RatingChange]])</f>
        <v>1745.598434493244</v>
      </c>
      <c r="AM490">
        <f>IF(Games[[#This Row],[Team]]="","",IF(Games[[#This Row],[Type]]="R",IF(Games[[#This Row],[Result]]&gt;0.5,1,0),0))</f>
        <v>0</v>
      </c>
      <c r="AN490">
        <f>IF(Games[[#This Row],[Team]]="","",IF(Games[[#This Row],[Type]]="R",IF(Games[[#This Row],[Result]]&lt;0.5,1,0),0))</f>
        <v>0</v>
      </c>
      <c r="AO490">
        <f>IF(Games[[#This Row],[Team]]="","",IF(Games[[#This Row],[Type]]="R",IF(Games[[#This Row],[Result]]=0.5,1,0),0))</f>
        <v>0</v>
      </c>
    </row>
    <row r="491" spans="1:41" x14ac:dyDescent="0.35">
      <c r="A491" s="8">
        <v>35434</v>
      </c>
      <c r="B491">
        <v>1996</v>
      </c>
      <c r="C491" t="s">
        <v>198</v>
      </c>
      <c r="D491" t="s">
        <v>203</v>
      </c>
      <c r="E491" t="s">
        <v>148</v>
      </c>
      <c r="F491" t="s">
        <v>120</v>
      </c>
      <c r="G491" t="s">
        <v>201</v>
      </c>
      <c r="H491">
        <v>14</v>
      </c>
      <c r="I491">
        <v>35</v>
      </c>
      <c r="J491">
        <v>0</v>
      </c>
      <c r="K49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9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9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9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91">
        <f>IF(Games[[#This Row],[Team]]="","",IF(Games[[#This Row],[Conf]]=Games[[#This Row],[OppConf]],1,0))</f>
        <v>1</v>
      </c>
      <c r="P491">
        <f>IF(Games[[#This Row],[Team]]="","",IF(AND(Games[[#This Row],[Conf]]=Games[[#This Row],[OppConf]],Games[[#This Row],[Div]]=Games[[#This Row],[OppDiv]]),1,0))</f>
        <v>0</v>
      </c>
      <c r="Q491">
        <f>IF(Games[[#This Row],[Team]]="","",_xlfn.MINIFS(Games[Date],Games[Season],Games[[#This Row],[Season]]))</f>
        <v>35309</v>
      </c>
      <c r="R491">
        <f>IF(Games[[#This Row],[Team]]="","",INT((Games[[#This Row],[Date]]-(Games[[#This Row],[SeasonStart]]-MOD(WEEKDAY(Games[[#This Row],[SeasonStart]],2)-2,7)))/7)+1)</f>
        <v>19</v>
      </c>
      <c r="S491">
        <f>IF(Games[[#This Row],[Team]]="","",COUNTIFS(Games[Team],Games[[#This Row],[Team]],Games[Season],Games[[#This Row],[Season]],Games[Week],"&lt;="&amp;Games[[#This Row],[Week]]))</f>
        <v>18</v>
      </c>
      <c r="T491">
        <f>IF(Games[[#This Row],[Team]]="","",_xlfn.MAXIFS(Games[Week],Games[Team],Games[[#This Row],[Team]],Games[Season],Games[[#This Row],[Season]],Games[Week],"&lt;"&amp;Games[[#This Row],[Week]]))</f>
        <v>18</v>
      </c>
      <c r="U491">
        <f>IF(Games[[#This Row],[Team]]="","",_xlfn.MAXIFS(Games[Week],Games[Team],Games[[#This Row],[Opponent]],Games[Season],Games[[#This Row],[Season]],Games[Week],"&lt;"&amp;Games[[#This Row],[Week]]))</f>
        <v>17</v>
      </c>
      <c r="V49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9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13</v>
      </c>
      <c r="X49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49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1655.8194873402576</v>
      </c>
      <c r="Z49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1725.8492826799445</v>
      </c>
      <c r="AA49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0.27773105957447464</v>
      </c>
      <c r="AB491">
        <f>IF(Games[[#This Row],[Team]]="","",Games[[#This Row],[PointsFor]]-Games[[#This Row],[PointsAgainst]])</f>
        <v>-21</v>
      </c>
      <c r="AC491">
        <f>IF(Games[[#This Row],[Team]]="","",IF(Games[[#This Row],[MOV]]&gt;0,1,IF(Games[[#This Row],[MOV]]=0,0.5,0)))</f>
        <v>0</v>
      </c>
      <c r="AD491">
        <f>IF(Games[[#This Row],[Team]]="","",--(OR(AND(Games[[#This Row],[ExpectedWin]]&gt;=0.5,Games[[#This Row],[Result]]=1),AND(Games[[#This Row],[ExpectedWin]]&lt;0.5,Games[[#This Row],[Result]]=0))))</f>
        <v>1</v>
      </c>
      <c r="AE491">
        <f>IF(Games[[#This Row],[Team]]="","",-(Games[[#This Row],[Result]]*LN(Games[[#This Row],[ExpectedWin]])+(1-Games[[#This Row],[Result]])*LN(1-Games[[#This Row],[ExpectedWin]])))</f>
        <v>0.32535771578368999</v>
      </c>
      <c r="AF491">
        <f>IF(Games[[#This Row],[Team]]="","",IF(Games[[#This Row],[Season]]&gt;=2021,17,16))</f>
        <v>16</v>
      </c>
      <c r="AG491">
        <f>IF(Games[[#This Row],[Team]]="","",KMax-(KMax-KFloor)*MIN(Games[[#This Row],[GamesPlayed]],Games[[#This Row],[SeasonLen]])/Games[[#This Row],[SeasonLen]])</f>
        <v>36.200000000000003</v>
      </c>
      <c r="AH491">
        <f>IF(Games[[#This Row],[Team]]="","",((ABS(Games[[#This Row],[MOV]])+3)^0.8)/(7.5+0.006*ABS(Games[[#This Row],[PreGmRate]]-Games[[#This Row],[OppPreGmRate]]))*IF(Games[[#This Row],[OT]]=1,0.7,1))</f>
        <v>1.6048483826476654</v>
      </c>
      <c r="AI49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1.2</v>
      </c>
      <c r="AJ491">
        <f>IF(Games[[#This Row],[Team]]="","",Games[[#This Row],[K]]*IF(Games[[#This Row],[DivG]]=1,DivMult,1)*IF(Games[[#This Row],[ConfG]]=1,ConfMult,1)*Games[[#This Row],[POMult]])</f>
        <v>44.308800000000005</v>
      </c>
      <c r="AK491">
        <f>IF(Games[[#This Row],[Team]]="","",(Games[[#This Row],[Keff]]*Games[[#This Row],[MOVMult]])*(Games[[#This Row],[Result]]-Games[[#This Row],[ExpectedWin]]))</f>
        <v>-19.749151813299498</v>
      </c>
      <c r="AL491">
        <f>IF(Games[[#This Row],[Team]]="","",Games[[#This Row],[PreGmRate]]+Games[[#This Row],[RatingChange]])</f>
        <v>1636.0703355269582</v>
      </c>
      <c r="AM491">
        <f>IF(Games[[#This Row],[Team]]="","",IF(Games[[#This Row],[Type]]="R",IF(Games[[#This Row],[Result]]&gt;0.5,1,0),0))</f>
        <v>0</v>
      </c>
      <c r="AN491">
        <f>IF(Games[[#This Row],[Team]]="","",IF(Games[[#This Row],[Type]]="R",IF(Games[[#This Row],[Result]]&lt;0.5,1,0),0))</f>
        <v>0</v>
      </c>
      <c r="AO491">
        <f>IF(Games[[#This Row],[Team]]="","",IF(Games[[#This Row],[Type]]="R",IF(Games[[#This Row],[Result]]=0.5,1,0),0))</f>
        <v>0</v>
      </c>
    </row>
    <row r="492" spans="1:41" x14ac:dyDescent="0.35">
      <c r="A492" s="8">
        <v>35434</v>
      </c>
      <c r="B492">
        <v>1996</v>
      </c>
      <c r="C492" t="s">
        <v>198</v>
      </c>
      <c r="D492" t="s">
        <v>203</v>
      </c>
      <c r="E492" t="s">
        <v>124</v>
      </c>
      <c r="F492" t="s">
        <v>116</v>
      </c>
      <c r="G492" t="s">
        <v>201</v>
      </c>
      <c r="H492">
        <v>30</v>
      </c>
      <c r="I492">
        <v>27</v>
      </c>
      <c r="J492">
        <v>0</v>
      </c>
      <c r="K49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9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9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9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92">
        <f>IF(Games[[#This Row],[Team]]="","",IF(Games[[#This Row],[Conf]]=Games[[#This Row],[OppConf]],1,0))</f>
        <v>1</v>
      </c>
      <c r="P492">
        <f>IF(Games[[#This Row],[Team]]="","",IF(AND(Games[[#This Row],[Conf]]=Games[[#This Row],[OppConf]],Games[[#This Row],[Div]]=Games[[#This Row],[OppDiv]]),1,0))</f>
        <v>0</v>
      </c>
      <c r="Q492">
        <f>IF(Games[[#This Row],[Team]]="","",_xlfn.MINIFS(Games[Date],Games[Season],Games[[#This Row],[Season]]))</f>
        <v>35309</v>
      </c>
      <c r="R492">
        <f>IF(Games[[#This Row],[Team]]="","",INT((Games[[#This Row],[Date]]-(Games[[#This Row],[SeasonStart]]-MOD(WEEKDAY(Games[[#This Row],[SeasonStart]],2)-2,7)))/7)+1)</f>
        <v>19</v>
      </c>
      <c r="S492">
        <f>IF(Games[[#This Row],[Team]]="","",COUNTIFS(Games[Team],Games[[#This Row],[Team]],Games[Season],Games[[#This Row],[Season]],Games[Week],"&lt;="&amp;Games[[#This Row],[Week]]))</f>
        <v>18</v>
      </c>
      <c r="T492">
        <f>IF(Games[[#This Row],[Team]]="","",_xlfn.MAXIFS(Games[Week],Games[Team],Games[[#This Row],[Team]],Games[Season],Games[[#This Row],[Season]],Games[Week],"&lt;"&amp;Games[[#This Row],[Week]]))</f>
        <v>18</v>
      </c>
      <c r="U492">
        <f>IF(Games[[#This Row],[Team]]="","",_xlfn.MAXIFS(Games[Week],Games[Team],Games[[#This Row],[Opponent]],Games[Season],Games[[#This Row],[Season]],Games[Week],"&lt;"&amp;Games[[#This Row],[Week]]))</f>
        <v>17</v>
      </c>
      <c r="V49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9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13</v>
      </c>
      <c r="X49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49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1514.49203293403</v>
      </c>
      <c r="Z49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1649.0376754580345</v>
      </c>
      <c r="AA49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0.20963492403382653</v>
      </c>
      <c r="AB492">
        <f>IF(Games[[#This Row],[Team]]="","",Games[[#This Row],[PointsFor]]-Games[[#This Row],[PointsAgainst]])</f>
        <v>3</v>
      </c>
      <c r="AC492">
        <f>IF(Games[[#This Row],[Team]]="","",IF(Games[[#This Row],[MOV]]&gt;0,1,IF(Games[[#This Row],[MOV]]=0,0.5,0)))</f>
        <v>1</v>
      </c>
      <c r="AD492">
        <f>IF(Games[[#This Row],[Team]]="","",--(OR(AND(Games[[#This Row],[ExpectedWin]]&gt;=0.5,Games[[#This Row],[Result]]=1),AND(Games[[#This Row],[ExpectedWin]]&lt;0.5,Games[[#This Row],[Result]]=0))))</f>
        <v>0</v>
      </c>
      <c r="AE492">
        <f>IF(Games[[#This Row],[Team]]="","",-(Games[[#This Row],[Result]]*LN(Games[[#This Row],[ExpectedWin]])+(1-Games[[#This Row],[Result]])*LN(1-Games[[#This Row],[ExpectedWin]])))</f>
        <v>1.5623877181164127</v>
      </c>
      <c r="AF492">
        <f>IF(Games[[#This Row],[Team]]="","",IF(Games[[#This Row],[Season]]&gt;=2021,17,16))</f>
        <v>16</v>
      </c>
      <c r="AG492">
        <f>IF(Games[[#This Row],[Team]]="","",KMax-(KMax-KFloor)*MIN(Games[[#This Row],[GamesPlayed]],Games[[#This Row],[SeasonLen]])/Games[[#This Row],[SeasonLen]])</f>
        <v>36.200000000000003</v>
      </c>
      <c r="AH492">
        <f>IF(Games[[#This Row],[Team]]="","",((ABS(Games[[#This Row],[MOV]])+3)^0.8)/(7.5+0.006*ABS(Games[[#This Row],[PreGmRate]]-Games[[#This Row],[OppPreGmRate]]))*IF(Games[[#This Row],[OT]]=1,0.7,1))</f>
        <v>0.50473389775553279</v>
      </c>
      <c r="AI49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1.2</v>
      </c>
      <c r="AJ492">
        <f>IF(Games[[#This Row],[Team]]="","",Games[[#This Row],[K]]*IF(Games[[#This Row],[DivG]]=1,DivMult,1)*IF(Games[[#This Row],[ConfG]]=1,ConfMult,1)*Games[[#This Row],[POMult]])</f>
        <v>44.308800000000005</v>
      </c>
      <c r="AK492">
        <f>IF(Games[[#This Row],[Team]]="","",(Games[[#This Row],[Keff]]*Games[[#This Row],[MOVMult]])*(Games[[#This Row],[Result]]-Games[[#This Row],[ExpectedWin]]))</f>
        <v>17.67584574469177</v>
      </c>
      <c r="AL492">
        <f>IF(Games[[#This Row],[Team]]="","",Games[[#This Row],[PreGmRate]]+Games[[#This Row],[RatingChange]])</f>
        <v>1532.1678786787218</v>
      </c>
      <c r="AM492">
        <f>IF(Games[[#This Row],[Team]]="","",IF(Games[[#This Row],[Type]]="R",IF(Games[[#This Row],[Result]]&gt;0.5,1,0),0))</f>
        <v>0</v>
      </c>
      <c r="AN492">
        <f>IF(Games[[#This Row],[Team]]="","",IF(Games[[#This Row],[Type]]="R",IF(Games[[#This Row],[Result]]&lt;0.5,1,0),0))</f>
        <v>0</v>
      </c>
      <c r="AO492">
        <f>IF(Games[[#This Row],[Team]]="","",IF(Games[[#This Row],[Type]]="R",IF(Games[[#This Row],[Result]]=0.5,1,0),0))</f>
        <v>0</v>
      </c>
    </row>
    <row r="493" spans="1:41" x14ac:dyDescent="0.35">
      <c r="A493" s="8">
        <v>35434</v>
      </c>
      <c r="B493">
        <v>1996</v>
      </c>
      <c r="C493" t="s">
        <v>198</v>
      </c>
      <c r="D493" t="s">
        <v>203</v>
      </c>
      <c r="E493" t="s">
        <v>116</v>
      </c>
      <c r="F493" t="s">
        <v>124</v>
      </c>
      <c r="G493" t="s">
        <v>200</v>
      </c>
      <c r="H493">
        <v>27</v>
      </c>
      <c r="I493">
        <v>30</v>
      </c>
      <c r="J493">
        <v>0</v>
      </c>
      <c r="K49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9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9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9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93">
        <f>IF(Games[[#This Row],[Team]]="","",IF(Games[[#This Row],[Conf]]=Games[[#This Row],[OppConf]],1,0))</f>
        <v>1</v>
      </c>
      <c r="P493">
        <f>IF(Games[[#This Row],[Team]]="","",IF(AND(Games[[#This Row],[Conf]]=Games[[#This Row],[OppConf]],Games[[#This Row],[Div]]=Games[[#This Row],[OppDiv]]),1,0))</f>
        <v>0</v>
      </c>
      <c r="Q493">
        <f>IF(Games[[#This Row],[Team]]="","",_xlfn.MINIFS(Games[Date],Games[Season],Games[[#This Row],[Season]]))</f>
        <v>35309</v>
      </c>
      <c r="R493">
        <f>IF(Games[[#This Row],[Team]]="","",INT((Games[[#This Row],[Date]]-(Games[[#This Row],[SeasonStart]]-MOD(WEEKDAY(Games[[#This Row],[SeasonStart]],2)-2,7)))/7)+1)</f>
        <v>19</v>
      </c>
      <c r="S493">
        <f>IF(Games[[#This Row],[Team]]="","",COUNTIFS(Games[Team],Games[[#This Row],[Team]],Games[Season],Games[[#This Row],[Season]],Games[Week],"&lt;="&amp;Games[[#This Row],[Week]]))</f>
        <v>17</v>
      </c>
      <c r="T493">
        <f>IF(Games[[#This Row],[Team]]="","",_xlfn.MAXIFS(Games[Week],Games[Team],Games[[#This Row],[Team]],Games[Season],Games[[#This Row],[Season]],Games[Week],"&lt;"&amp;Games[[#This Row],[Week]]))</f>
        <v>17</v>
      </c>
      <c r="U493">
        <f>IF(Games[[#This Row],[Team]]="","",_xlfn.MAXIFS(Games[Week],Games[Team],Games[[#This Row],[Opponent]],Games[Season],Games[[#This Row],[Season]],Games[Week],"&lt;"&amp;Games[[#This Row],[Week]]))</f>
        <v>18</v>
      </c>
      <c r="V49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13</v>
      </c>
      <c r="W49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9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49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1649.0376754580345</v>
      </c>
      <c r="Z49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1514.49203293403</v>
      </c>
      <c r="AA49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0.79036507596617345</v>
      </c>
      <c r="AB493">
        <f>IF(Games[[#This Row],[Team]]="","",Games[[#This Row],[PointsFor]]-Games[[#This Row],[PointsAgainst]])</f>
        <v>-3</v>
      </c>
      <c r="AC493">
        <f>IF(Games[[#This Row],[Team]]="","",IF(Games[[#This Row],[MOV]]&gt;0,1,IF(Games[[#This Row],[MOV]]=0,0.5,0)))</f>
        <v>0</v>
      </c>
      <c r="AD493">
        <f>IF(Games[[#This Row],[Team]]="","",--(OR(AND(Games[[#This Row],[ExpectedWin]]&gt;=0.5,Games[[#This Row],[Result]]=1),AND(Games[[#This Row],[ExpectedWin]]&lt;0.5,Games[[#This Row],[Result]]=0))))</f>
        <v>0</v>
      </c>
      <c r="AE493">
        <f>IF(Games[[#This Row],[Team]]="","",-(Games[[#This Row],[Result]]*LN(Games[[#This Row],[ExpectedWin]])+(1-Games[[#This Row],[Result]])*LN(1-Games[[#This Row],[ExpectedWin]])))</f>
        <v>1.5623877181164125</v>
      </c>
      <c r="AF493">
        <f>IF(Games[[#This Row],[Team]]="","",IF(Games[[#This Row],[Season]]&gt;=2021,17,16))</f>
        <v>16</v>
      </c>
      <c r="AG493">
        <f>IF(Games[[#This Row],[Team]]="","",KMax-(KMax-KFloor)*MIN(Games[[#This Row],[GamesPlayed]],Games[[#This Row],[SeasonLen]])/Games[[#This Row],[SeasonLen]])</f>
        <v>36.200000000000003</v>
      </c>
      <c r="AH493">
        <f>IF(Games[[#This Row],[Team]]="","",((ABS(Games[[#This Row],[MOV]])+3)^0.8)/(7.5+0.006*ABS(Games[[#This Row],[PreGmRate]]-Games[[#This Row],[OppPreGmRate]]))*IF(Games[[#This Row],[OT]]=1,0.7,1))</f>
        <v>0.50473389775553279</v>
      </c>
      <c r="AI49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1.2</v>
      </c>
      <c r="AJ493">
        <f>IF(Games[[#This Row],[Team]]="","",Games[[#This Row],[K]]*IF(Games[[#This Row],[DivG]]=1,DivMult,1)*IF(Games[[#This Row],[ConfG]]=1,ConfMult,1)*Games[[#This Row],[POMult]])</f>
        <v>44.308800000000005</v>
      </c>
      <c r="AK493">
        <f>IF(Games[[#This Row],[Team]]="","",(Games[[#This Row],[Keff]]*Games[[#This Row],[MOVMult]])*(Games[[#This Row],[Result]]-Games[[#This Row],[ExpectedWin]]))</f>
        <v>-17.67584574469177</v>
      </c>
      <c r="AL493">
        <f>IF(Games[[#This Row],[Team]]="","",Games[[#This Row],[PreGmRate]]+Games[[#This Row],[RatingChange]])</f>
        <v>1631.3618297133428</v>
      </c>
      <c r="AM493">
        <f>IF(Games[[#This Row],[Team]]="","",IF(Games[[#This Row],[Type]]="R",IF(Games[[#This Row],[Result]]&gt;0.5,1,0),0))</f>
        <v>0</v>
      </c>
      <c r="AN493">
        <f>IF(Games[[#This Row],[Team]]="","",IF(Games[[#This Row],[Type]]="R",IF(Games[[#This Row],[Result]]&lt;0.5,1,0),0))</f>
        <v>0</v>
      </c>
      <c r="AO493">
        <f>IF(Games[[#This Row],[Team]]="","",IF(Games[[#This Row],[Type]]="R",IF(Games[[#This Row],[Result]]=0.5,1,0),0))</f>
        <v>0</v>
      </c>
    </row>
    <row r="494" spans="1:41" x14ac:dyDescent="0.35">
      <c r="A494" s="8">
        <v>35435</v>
      </c>
      <c r="B494">
        <v>1996</v>
      </c>
      <c r="C494" t="s">
        <v>198</v>
      </c>
      <c r="D494" t="s">
        <v>203</v>
      </c>
      <c r="E494" t="s">
        <v>132</v>
      </c>
      <c r="F494" t="s">
        <v>143</v>
      </c>
      <c r="G494" t="s">
        <v>200</v>
      </c>
      <c r="H494">
        <v>28</v>
      </c>
      <c r="I494">
        <v>3</v>
      </c>
      <c r="J494">
        <v>0</v>
      </c>
      <c r="K49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9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9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9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94">
        <f>IF(Games[[#This Row],[Team]]="","",IF(Games[[#This Row],[Conf]]=Games[[#This Row],[OppConf]],1,0))</f>
        <v>1</v>
      </c>
      <c r="P494">
        <f>IF(Games[[#This Row],[Team]]="","",IF(AND(Games[[#This Row],[Conf]]=Games[[#This Row],[OppConf]],Games[[#This Row],[Div]]=Games[[#This Row],[OppDiv]]),1,0))</f>
        <v>0</v>
      </c>
      <c r="Q494">
        <f>IF(Games[[#This Row],[Team]]="","",_xlfn.MINIFS(Games[Date],Games[Season],Games[[#This Row],[Season]]))</f>
        <v>35309</v>
      </c>
      <c r="R494">
        <f>IF(Games[[#This Row],[Team]]="","",INT((Games[[#This Row],[Date]]-(Games[[#This Row],[SeasonStart]]-MOD(WEEKDAY(Games[[#This Row],[SeasonStart]],2)-2,7)))/7)+1)</f>
        <v>19</v>
      </c>
      <c r="S494">
        <f>IF(Games[[#This Row],[Team]]="","",COUNTIFS(Games[Team],Games[[#This Row],[Team]],Games[Season],Games[[#This Row],[Season]],Games[Week],"&lt;="&amp;Games[[#This Row],[Week]]))</f>
        <v>17</v>
      </c>
      <c r="T494">
        <f>IF(Games[[#This Row],[Team]]="","",_xlfn.MAXIFS(Games[Week],Games[Team],Games[[#This Row],[Team]],Games[Season],Games[[#This Row],[Season]],Games[Week],"&lt;"&amp;Games[[#This Row],[Week]]))</f>
        <v>17</v>
      </c>
      <c r="U494">
        <f>IF(Games[[#This Row],[Team]]="","",_xlfn.MAXIFS(Games[Week],Games[Team],Games[[#This Row],[Opponent]],Games[Season],Games[[#This Row],[Season]],Games[Week],"&lt;"&amp;Games[[#This Row],[Week]]))</f>
        <v>18</v>
      </c>
      <c r="V49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15</v>
      </c>
      <c r="W49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9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49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1617.5044091658945</v>
      </c>
      <c r="Z49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1586.716444616525</v>
      </c>
      <c r="AA49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0.67477239757491425</v>
      </c>
      <c r="AB494">
        <f>IF(Games[[#This Row],[Team]]="","",Games[[#This Row],[PointsFor]]-Games[[#This Row],[PointsAgainst]])</f>
        <v>25</v>
      </c>
      <c r="AC494">
        <f>IF(Games[[#This Row],[Team]]="","",IF(Games[[#This Row],[MOV]]&gt;0,1,IF(Games[[#This Row],[MOV]]=0,0.5,0)))</f>
        <v>1</v>
      </c>
      <c r="AD494">
        <f>IF(Games[[#This Row],[Team]]="","",--(OR(AND(Games[[#This Row],[ExpectedWin]]&gt;=0.5,Games[[#This Row],[Result]]=1),AND(Games[[#This Row],[ExpectedWin]]&lt;0.5,Games[[#This Row],[Result]]=0))))</f>
        <v>1</v>
      </c>
      <c r="AE494">
        <f>IF(Games[[#This Row],[Team]]="","",-(Games[[#This Row],[Result]]*LN(Games[[#This Row],[ExpectedWin]])+(1-Games[[#This Row],[Result]])*LN(1-Games[[#This Row],[ExpectedWin]])))</f>
        <v>0.39337983374843027</v>
      </c>
      <c r="AF494">
        <f>IF(Games[[#This Row],[Team]]="","",IF(Games[[#This Row],[Season]]&gt;=2021,17,16))</f>
        <v>16</v>
      </c>
      <c r="AG494">
        <f>IF(Games[[#This Row],[Team]]="","",KMax-(KMax-KFloor)*MIN(Games[[#This Row],[GamesPlayed]],Games[[#This Row],[SeasonLen]])/Games[[#This Row],[SeasonLen]])</f>
        <v>36.200000000000003</v>
      </c>
      <c r="AH494">
        <f>IF(Games[[#This Row],[Team]]="","",((ABS(Games[[#This Row],[MOV]])+3)^0.8)/(7.5+0.006*ABS(Games[[#This Row],[PreGmRate]]-Games[[#This Row],[OppPreGmRate]]))*IF(Games[[#This Row],[OT]]=1,0.7,1))</f>
        <v>1.8711040413195927</v>
      </c>
      <c r="AI49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1.2</v>
      </c>
      <c r="AJ494">
        <f>IF(Games[[#This Row],[Team]]="","",Games[[#This Row],[K]]*IF(Games[[#This Row],[DivG]]=1,DivMult,1)*IF(Games[[#This Row],[ConfG]]=1,ConfMult,1)*Games[[#This Row],[POMult]])</f>
        <v>44.308800000000005</v>
      </c>
      <c r="AK494">
        <f>IF(Games[[#This Row],[Team]]="","",(Games[[#This Row],[Keff]]*Games[[#This Row],[MOVMult]])*(Games[[#This Row],[Result]]-Games[[#This Row],[ExpectedWin]]))</f>
        <v>26.963441484404278</v>
      </c>
      <c r="AL494">
        <f>IF(Games[[#This Row],[Team]]="","",Games[[#This Row],[PreGmRate]]+Games[[#This Row],[RatingChange]])</f>
        <v>1644.4678506502987</v>
      </c>
      <c r="AM494">
        <f>IF(Games[[#This Row],[Team]]="","",IF(Games[[#This Row],[Type]]="R",IF(Games[[#This Row],[Result]]&gt;0.5,1,0),0))</f>
        <v>0</v>
      </c>
      <c r="AN494">
        <f>IF(Games[[#This Row],[Team]]="","",IF(Games[[#This Row],[Type]]="R",IF(Games[[#This Row],[Result]]&lt;0.5,1,0),0))</f>
        <v>0</v>
      </c>
      <c r="AO494">
        <f>IF(Games[[#This Row],[Team]]="","",IF(Games[[#This Row],[Type]]="R",IF(Games[[#This Row],[Result]]=0.5,1,0),0))</f>
        <v>0</v>
      </c>
    </row>
    <row r="495" spans="1:41" x14ac:dyDescent="0.35">
      <c r="A495" s="8">
        <v>35435</v>
      </c>
      <c r="B495">
        <v>1996</v>
      </c>
      <c r="C495" t="s">
        <v>198</v>
      </c>
      <c r="D495" t="s">
        <v>203</v>
      </c>
      <c r="E495" t="s">
        <v>143</v>
      </c>
      <c r="F495" t="s">
        <v>132</v>
      </c>
      <c r="G495" t="s">
        <v>201</v>
      </c>
      <c r="H495">
        <v>3</v>
      </c>
      <c r="I495">
        <v>28</v>
      </c>
      <c r="J495">
        <v>0</v>
      </c>
      <c r="K49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9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9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9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95">
        <f>IF(Games[[#This Row],[Team]]="","",IF(Games[[#This Row],[Conf]]=Games[[#This Row],[OppConf]],1,0))</f>
        <v>1</v>
      </c>
      <c r="P495">
        <f>IF(Games[[#This Row],[Team]]="","",IF(AND(Games[[#This Row],[Conf]]=Games[[#This Row],[OppConf]],Games[[#This Row],[Div]]=Games[[#This Row],[OppDiv]]),1,0))</f>
        <v>0</v>
      </c>
      <c r="Q495">
        <f>IF(Games[[#This Row],[Team]]="","",_xlfn.MINIFS(Games[Date],Games[Season],Games[[#This Row],[Season]]))</f>
        <v>35309</v>
      </c>
      <c r="R495">
        <f>IF(Games[[#This Row],[Team]]="","",INT((Games[[#This Row],[Date]]-(Games[[#This Row],[SeasonStart]]-MOD(WEEKDAY(Games[[#This Row],[SeasonStart]],2)-2,7)))/7)+1)</f>
        <v>19</v>
      </c>
      <c r="S495">
        <f>IF(Games[[#This Row],[Team]]="","",COUNTIFS(Games[Team],Games[[#This Row],[Team]],Games[Season],Games[[#This Row],[Season]],Games[Week],"&lt;="&amp;Games[[#This Row],[Week]]))</f>
        <v>18</v>
      </c>
      <c r="T495">
        <f>IF(Games[[#This Row],[Team]]="","",_xlfn.MAXIFS(Games[Week],Games[Team],Games[[#This Row],[Team]],Games[Season],Games[[#This Row],[Season]],Games[Week],"&lt;"&amp;Games[[#This Row],[Week]]))</f>
        <v>18</v>
      </c>
      <c r="U495">
        <f>IF(Games[[#This Row],[Team]]="","",_xlfn.MAXIFS(Games[Week],Games[Team],Games[[#This Row],[Opponent]],Games[Season],Games[[#This Row],[Season]],Games[Week],"&lt;"&amp;Games[[#This Row],[Week]]))</f>
        <v>17</v>
      </c>
      <c r="V49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9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15</v>
      </c>
      <c r="X49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49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1586.716444616525</v>
      </c>
      <c r="Z49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1617.5044091658945</v>
      </c>
      <c r="AA49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0.32522760242508575</v>
      </c>
      <c r="AB495">
        <f>IF(Games[[#This Row],[Team]]="","",Games[[#This Row],[PointsFor]]-Games[[#This Row],[PointsAgainst]])</f>
        <v>-25</v>
      </c>
      <c r="AC495">
        <f>IF(Games[[#This Row],[Team]]="","",IF(Games[[#This Row],[MOV]]&gt;0,1,IF(Games[[#This Row],[MOV]]=0,0.5,0)))</f>
        <v>0</v>
      </c>
      <c r="AD495">
        <f>IF(Games[[#This Row],[Team]]="","",--(OR(AND(Games[[#This Row],[ExpectedWin]]&gt;=0.5,Games[[#This Row],[Result]]=1),AND(Games[[#This Row],[ExpectedWin]]&lt;0.5,Games[[#This Row],[Result]]=0))))</f>
        <v>1</v>
      </c>
      <c r="AE495">
        <f>IF(Games[[#This Row],[Team]]="","",-(Games[[#This Row],[Result]]*LN(Games[[#This Row],[ExpectedWin]])+(1-Games[[#This Row],[Result]])*LN(1-Games[[#This Row],[ExpectedWin]])))</f>
        <v>0.39337983374843027</v>
      </c>
      <c r="AF495">
        <f>IF(Games[[#This Row],[Team]]="","",IF(Games[[#This Row],[Season]]&gt;=2021,17,16))</f>
        <v>16</v>
      </c>
      <c r="AG495">
        <f>IF(Games[[#This Row],[Team]]="","",KMax-(KMax-KFloor)*MIN(Games[[#This Row],[GamesPlayed]],Games[[#This Row],[SeasonLen]])/Games[[#This Row],[SeasonLen]])</f>
        <v>36.200000000000003</v>
      </c>
      <c r="AH495">
        <f>IF(Games[[#This Row],[Team]]="","",((ABS(Games[[#This Row],[MOV]])+3)^0.8)/(7.5+0.006*ABS(Games[[#This Row],[PreGmRate]]-Games[[#This Row],[OppPreGmRate]]))*IF(Games[[#This Row],[OT]]=1,0.7,1))</f>
        <v>1.8711040413195927</v>
      </c>
      <c r="AI49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1.2</v>
      </c>
      <c r="AJ495">
        <f>IF(Games[[#This Row],[Team]]="","",Games[[#This Row],[K]]*IF(Games[[#This Row],[DivG]]=1,DivMult,1)*IF(Games[[#This Row],[ConfG]]=1,ConfMult,1)*Games[[#This Row],[POMult]])</f>
        <v>44.308800000000005</v>
      </c>
      <c r="AK495">
        <f>IF(Games[[#This Row],[Team]]="","",(Games[[#This Row],[Keff]]*Games[[#This Row],[MOVMult]])*(Games[[#This Row],[Result]]-Games[[#This Row],[ExpectedWin]]))</f>
        <v>-26.963441484404278</v>
      </c>
      <c r="AL495">
        <f>IF(Games[[#This Row],[Team]]="","",Games[[#This Row],[PreGmRate]]+Games[[#This Row],[RatingChange]])</f>
        <v>1559.7530031321207</v>
      </c>
      <c r="AM495">
        <f>IF(Games[[#This Row],[Team]]="","",IF(Games[[#This Row],[Type]]="R",IF(Games[[#This Row],[Result]]&gt;0.5,1,0),0))</f>
        <v>0</v>
      </c>
      <c r="AN495">
        <f>IF(Games[[#This Row],[Team]]="","",IF(Games[[#This Row],[Type]]="R",IF(Games[[#This Row],[Result]]&lt;0.5,1,0),0))</f>
        <v>0</v>
      </c>
      <c r="AO495">
        <f>IF(Games[[#This Row],[Team]]="","",IF(Games[[#This Row],[Type]]="R",IF(Games[[#This Row],[Result]]=0.5,1,0),0))</f>
        <v>0</v>
      </c>
    </row>
    <row r="496" spans="1:41" x14ac:dyDescent="0.35">
      <c r="A496" s="8">
        <v>35435</v>
      </c>
      <c r="B496">
        <v>1996</v>
      </c>
      <c r="C496" t="s">
        <v>198</v>
      </c>
      <c r="D496" t="s">
        <v>203</v>
      </c>
      <c r="E496" t="s">
        <v>108</v>
      </c>
      <c r="F496" t="s">
        <v>114</v>
      </c>
      <c r="G496" t="s">
        <v>200</v>
      </c>
      <c r="H496">
        <v>26</v>
      </c>
      <c r="I496">
        <v>17</v>
      </c>
      <c r="J496">
        <v>0</v>
      </c>
      <c r="K49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9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9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9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96">
        <f>IF(Games[[#This Row],[Team]]="","",IF(Games[[#This Row],[Conf]]=Games[[#This Row],[OppConf]],1,0))</f>
        <v>1</v>
      </c>
      <c r="P496">
        <f>IF(Games[[#This Row],[Team]]="","",IF(AND(Games[[#This Row],[Conf]]=Games[[#This Row],[OppConf]],Games[[#This Row],[Div]]=Games[[#This Row],[OppDiv]]),1,0))</f>
        <v>0</v>
      </c>
      <c r="Q496">
        <f>IF(Games[[#This Row],[Team]]="","",_xlfn.MINIFS(Games[Date],Games[Season],Games[[#This Row],[Season]]))</f>
        <v>35309</v>
      </c>
      <c r="R496">
        <f>IF(Games[[#This Row],[Team]]="","",INT((Games[[#This Row],[Date]]-(Games[[#This Row],[SeasonStart]]-MOD(WEEKDAY(Games[[#This Row],[SeasonStart]],2)-2,7)))/7)+1)</f>
        <v>19</v>
      </c>
      <c r="S496">
        <f>IF(Games[[#This Row],[Team]]="","",COUNTIFS(Games[Team],Games[[#This Row],[Team]],Games[Season],Games[[#This Row],[Season]],Games[Week],"&lt;="&amp;Games[[#This Row],[Week]]))</f>
        <v>17</v>
      </c>
      <c r="T496">
        <f>IF(Games[[#This Row],[Team]]="","",_xlfn.MAXIFS(Games[Week],Games[Team],Games[[#This Row],[Team]],Games[Season],Games[[#This Row],[Season]],Games[Week],"&lt;"&amp;Games[[#This Row],[Week]]))</f>
        <v>17</v>
      </c>
      <c r="U496">
        <f>IF(Games[[#This Row],[Team]]="","",_xlfn.MAXIFS(Games[Week],Games[Team],Games[[#This Row],[Opponent]],Games[Season],Games[[#This Row],[Season]],Games[Week],"&lt;"&amp;Games[[#This Row],[Week]]))</f>
        <v>18</v>
      </c>
      <c r="V49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49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49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49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1657.6701439455785</v>
      </c>
      <c r="Z49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1583.5370309583207</v>
      </c>
      <c r="AA49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0.72698218530168268</v>
      </c>
      <c r="AB496">
        <f>IF(Games[[#This Row],[Team]]="","",Games[[#This Row],[PointsFor]]-Games[[#This Row],[PointsAgainst]])</f>
        <v>9</v>
      </c>
      <c r="AC496">
        <f>IF(Games[[#This Row],[Team]]="","",IF(Games[[#This Row],[MOV]]&gt;0,1,IF(Games[[#This Row],[MOV]]=0,0.5,0)))</f>
        <v>1</v>
      </c>
      <c r="AD496">
        <f>IF(Games[[#This Row],[Team]]="","",--(OR(AND(Games[[#This Row],[ExpectedWin]]&gt;=0.5,Games[[#This Row],[Result]]=1),AND(Games[[#This Row],[ExpectedWin]]&lt;0.5,Games[[#This Row],[Result]]=0))))</f>
        <v>1</v>
      </c>
      <c r="AE496">
        <f>IF(Games[[#This Row],[Team]]="","",-(Games[[#This Row],[Result]]*LN(Games[[#This Row],[ExpectedWin]])+(1-Games[[#This Row],[Result]])*LN(1-Games[[#This Row],[ExpectedWin]])))</f>
        <v>0.31885330614819146</v>
      </c>
      <c r="AF496">
        <f>IF(Games[[#This Row],[Team]]="","",IF(Games[[#This Row],[Season]]&gt;=2021,17,16))</f>
        <v>16</v>
      </c>
      <c r="AG496">
        <f>IF(Games[[#This Row],[Team]]="","",KMax-(KMax-KFloor)*MIN(Games[[#This Row],[GamesPlayed]],Games[[#This Row],[SeasonLen]])/Games[[#This Row],[SeasonLen]])</f>
        <v>36.200000000000003</v>
      </c>
      <c r="AH496">
        <f>IF(Games[[#This Row],[Team]]="","",((ABS(Games[[#This Row],[MOV]])+3)^0.8)/(7.5+0.006*ABS(Games[[#This Row],[PreGmRate]]-Games[[#This Row],[OppPreGmRate]]))*IF(Games[[#This Row],[OT]]=1,0.7,1))</f>
        <v>0.91888698489040821</v>
      </c>
      <c r="AI49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1.2</v>
      </c>
      <c r="AJ496">
        <f>IF(Games[[#This Row],[Team]]="","",Games[[#This Row],[K]]*IF(Games[[#This Row],[DivG]]=1,DivMult,1)*IF(Games[[#This Row],[ConfG]]=1,ConfMult,1)*Games[[#This Row],[POMult]])</f>
        <v>44.308800000000005</v>
      </c>
      <c r="AK496">
        <f>IF(Games[[#This Row],[Team]]="","",(Games[[#This Row],[Keff]]*Games[[#This Row],[MOVMult]])*(Games[[#This Row],[Result]]-Games[[#This Row],[ExpectedWin]]))</f>
        <v>11.115860162174885</v>
      </c>
      <c r="AL496">
        <f>IF(Games[[#This Row],[Team]]="","",Games[[#This Row],[PreGmRate]]+Games[[#This Row],[RatingChange]])</f>
        <v>1668.7860041077533</v>
      </c>
      <c r="AM496">
        <f>IF(Games[[#This Row],[Team]]="","",IF(Games[[#This Row],[Type]]="R",IF(Games[[#This Row],[Result]]&gt;0.5,1,0),0))</f>
        <v>0</v>
      </c>
      <c r="AN496">
        <f>IF(Games[[#This Row],[Team]]="","",IF(Games[[#This Row],[Type]]="R",IF(Games[[#This Row],[Result]]&lt;0.5,1,0),0))</f>
        <v>0</v>
      </c>
      <c r="AO496">
        <f>IF(Games[[#This Row],[Team]]="","",IF(Games[[#This Row],[Type]]="R",IF(Games[[#This Row],[Result]]=0.5,1,0),0))</f>
        <v>0</v>
      </c>
    </row>
    <row r="497" spans="1:41" x14ac:dyDescent="0.35">
      <c r="A497" s="8">
        <v>35435</v>
      </c>
      <c r="B497">
        <v>1996</v>
      </c>
      <c r="C497" t="s">
        <v>198</v>
      </c>
      <c r="D497" t="s">
        <v>203</v>
      </c>
      <c r="E497" t="s">
        <v>114</v>
      </c>
      <c r="F497" t="s">
        <v>108</v>
      </c>
      <c r="G497" t="s">
        <v>201</v>
      </c>
      <c r="H497">
        <v>17</v>
      </c>
      <c r="I497">
        <v>26</v>
      </c>
      <c r="J497">
        <v>0</v>
      </c>
      <c r="K49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9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9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9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97">
        <f>IF(Games[[#This Row],[Team]]="","",IF(Games[[#This Row],[Conf]]=Games[[#This Row],[OppConf]],1,0))</f>
        <v>1</v>
      </c>
      <c r="P497">
        <f>IF(Games[[#This Row],[Team]]="","",IF(AND(Games[[#This Row],[Conf]]=Games[[#This Row],[OppConf]],Games[[#This Row],[Div]]=Games[[#This Row],[OppDiv]]),1,0))</f>
        <v>0</v>
      </c>
      <c r="Q497">
        <f>IF(Games[[#This Row],[Team]]="","",_xlfn.MINIFS(Games[Date],Games[Season],Games[[#This Row],[Season]]))</f>
        <v>35309</v>
      </c>
      <c r="R497">
        <f>IF(Games[[#This Row],[Team]]="","",INT((Games[[#This Row],[Date]]-(Games[[#This Row],[SeasonStart]]-MOD(WEEKDAY(Games[[#This Row],[SeasonStart]],2)-2,7)))/7)+1)</f>
        <v>19</v>
      </c>
      <c r="S497">
        <f>IF(Games[[#This Row],[Team]]="","",COUNTIFS(Games[Team],Games[[#This Row],[Team]],Games[Season],Games[[#This Row],[Season]],Games[Week],"&lt;="&amp;Games[[#This Row],[Week]]))</f>
        <v>18</v>
      </c>
      <c r="T497">
        <f>IF(Games[[#This Row],[Team]]="","",_xlfn.MAXIFS(Games[Week],Games[Team],Games[[#This Row],[Team]],Games[Season],Games[[#This Row],[Season]],Games[Week],"&lt;"&amp;Games[[#This Row],[Week]]))</f>
        <v>18</v>
      </c>
      <c r="U497">
        <f>IF(Games[[#This Row],[Team]]="","",_xlfn.MAXIFS(Games[Week],Games[Team],Games[[#This Row],[Opponent]],Games[Season],Games[[#This Row],[Season]],Games[Week],"&lt;"&amp;Games[[#This Row],[Week]]))</f>
        <v>17</v>
      </c>
      <c r="V49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49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49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49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1583.5370309583207</v>
      </c>
      <c r="Z49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1657.6701439455785</v>
      </c>
      <c r="AA49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0.27301781469831732</v>
      </c>
      <c r="AB497">
        <f>IF(Games[[#This Row],[Team]]="","",Games[[#This Row],[PointsFor]]-Games[[#This Row],[PointsAgainst]])</f>
        <v>-9</v>
      </c>
      <c r="AC497">
        <f>IF(Games[[#This Row],[Team]]="","",IF(Games[[#This Row],[MOV]]&gt;0,1,IF(Games[[#This Row],[MOV]]=0,0.5,0)))</f>
        <v>0</v>
      </c>
      <c r="AD497">
        <f>IF(Games[[#This Row],[Team]]="","",--(OR(AND(Games[[#This Row],[ExpectedWin]]&gt;=0.5,Games[[#This Row],[Result]]=1),AND(Games[[#This Row],[ExpectedWin]]&lt;0.5,Games[[#This Row],[Result]]=0))))</f>
        <v>1</v>
      </c>
      <c r="AE497">
        <f>IF(Games[[#This Row],[Team]]="","",-(Games[[#This Row],[Result]]*LN(Games[[#This Row],[ExpectedWin]])+(1-Games[[#This Row],[Result]])*LN(1-Games[[#This Row],[ExpectedWin]])))</f>
        <v>0.31885330614819146</v>
      </c>
      <c r="AF497">
        <f>IF(Games[[#This Row],[Team]]="","",IF(Games[[#This Row],[Season]]&gt;=2021,17,16))</f>
        <v>16</v>
      </c>
      <c r="AG497">
        <f>IF(Games[[#This Row],[Team]]="","",KMax-(KMax-KFloor)*MIN(Games[[#This Row],[GamesPlayed]],Games[[#This Row],[SeasonLen]])/Games[[#This Row],[SeasonLen]])</f>
        <v>36.200000000000003</v>
      </c>
      <c r="AH497">
        <f>IF(Games[[#This Row],[Team]]="","",((ABS(Games[[#This Row],[MOV]])+3)^0.8)/(7.5+0.006*ABS(Games[[#This Row],[PreGmRate]]-Games[[#This Row],[OppPreGmRate]]))*IF(Games[[#This Row],[OT]]=1,0.7,1))</f>
        <v>0.91888698489040821</v>
      </c>
      <c r="AI49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1.2</v>
      </c>
      <c r="AJ497">
        <f>IF(Games[[#This Row],[Team]]="","",Games[[#This Row],[K]]*IF(Games[[#This Row],[DivG]]=1,DivMult,1)*IF(Games[[#This Row],[ConfG]]=1,ConfMult,1)*Games[[#This Row],[POMult]])</f>
        <v>44.308800000000005</v>
      </c>
      <c r="AK497">
        <f>IF(Games[[#This Row],[Team]]="","",(Games[[#This Row],[Keff]]*Games[[#This Row],[MOVMult]])*(Games[[#This Row],[Result]]-Games[[#This Row],[ExpectedWin]]))</f>
        <v>-11.115860162174885</v>
      </c>
      <c r="AL497">
        <f>IF(Games[[#This Row],[Team]]="","",Games[[#This Row],[PreGmRate]]+Games[[#This Row],[RatingChange]])</f>
        <v>1572.4211707961458</v>
      </c>
      <c r="AM497">
        <f>IF(Games[[#This Row],[Team]]="","",IF(Games[[#This Row],[Type]]="R",IF(Games[[#This Row],[Result]]&gt;0.5,1,0),0))</f>
        <v>0</v>
      </c>
      <c r="AN497">
        <f>IF(Games[[#This Row],[Team]]="","",IF(Games[[#This Row],[Type]]="R",IF(Games[[#This Row],[Result]]&lt;0.5,1,0),0))</f>
        <v>0</v>
      </c>
      <c r="AO497">
        <f>IF(Games[[#This Row],[Team]]="","",IF(Games[[#This Row],[Type]]="R",IF(Games[[#This Row],[Result]]=0.5,1,0),0))</f>
        <v>0</v>
      </c>
    </row>
    <row r="498" spans="1:41" x14ac:dyDescent="0.35">
      <c r="A498" s="8">
        <v>35442</v>
      </c>
      <c r="B498">
        <v>1996</v>
      </c>
      <c r="C498" t="s">
        <v>198</v>
      </c>
      <c r="D498" t="s">
        <v>204</v>
      </c>
      <c r="E498" t="s">
        <v>120</v>
      </c>
      <c r="F498" t="s">
        <v>108</v>
      </c>
      <c r="G498" t="s">
        <v>200</v>
      </c>
      <c r="H498">
        <v>30</v>
      </c>
      <c r="I498">
        <v>13</v>
      </c>
      <c r="J498">
        <v>0</v>
      </c>
      <c r="K49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9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9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9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98">
        <f>IF(Games[[#This Row],[Team]]="","",IF(Games[[#This Row],[Conf]]=Games[[#This Row],[OppConf]],1,0))</f>
        <v>1</v>
      </c>
      <c r="P498">
        <f>IF(Games[[#This Row],[Team]]="","",IF(AND(Games[[#This Row],[Conf]]=Games[[#This Row],[OppConf]],Games[[#This Row],[Div]]=Games[[#This Row],[OppDiv]]),1,0))</f>
        <v>0</v>
      </c>
      <c r="Q498">
        <f>IF(Games[[#This Row],[Team]]="","",_xlfn.MINIFS(Games[Date],Games[Season],Games[[#This Row],[Season]]))</f>
        <v>35309</v>
      </c>
      <c r="R498">
        <f>IF(Games[[#This Row],[Team]]="","",INT((Games[[#This Row],[Date]]-(Games[[#This Row],[SeasonStart]]-MOD(WEEKDAY(Games[[#This Row],[SeasonStart]],2)-2,7)))/7)+1)</f>
        <v>20</v>
      </c>
      <c r="S498">
        <f>IF(Games[[#This Row],[Team]]="","",COUNTIFS(Games[Team],Games[[#This Row],[Team]],Games[Season],Games[[#This Row],[Season]],Games[Week],"&lt;="&amp;Games[[#This Row],[Week]]))</f>
        <v>18</v>
      </c>
      <c r="T498">
        <f>IF(Games[[#This Row],[Team]]="","",_xlfn.MAXIFS(Games[Week],Games[Team],Games[[#This Row],[Team]],Games[Season],Games[[#This Row],[Season]],Games[Week],"&lt;"&amp;Games[[#This Row],[Week]]))</f>
        <v>19</v>
      </c>
      <c r="U498">
        <f>IF(Games[[#This Row],[Team]]="","",_xlfn.MAXIFS(Games[Week],Games[Team],Games[[#This Row],[Opponent]],Games[Season],Games[[#This Row],[Season]],Games[Week],"&lt;"&amp;Games[[#This Row],[Week]]))</f>
        <v>19</v>
      </c>
      <c r="V49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49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9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9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1745.598434493244</v>
      </c>
      <c r="Z49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1668.7860041077533</v>
      </c>
      <c r="AA49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0.70913197011937634</v>
      </c>
      <c r="AB498">
        <f>IF(Games[[#This Row],[Team]]="","",Games[[#This Row],[PointsFor]]-Games[[#This Row],[PointsAgainst]])</f>
        <v>17</v>
      </c>
      <c r="AC498">
        <f>IF(Games[[#This Row],[Team]]="","",IF(Games[[#This Row],[MOV]]&gt;0,1,IF(Games[[#This Row],[MOV]]=0,0.5,0)))</f>
        <v>1</v>
      </c>
      <c r="AD498">
        <f>IF(Games[[#This Row],[Team]]="","",--(OR(AND(Games[[#This Row],[ExpectedWin]]&gt;=0.5,Games[[#This Row],[Result]]=1),AND(Games[[#This Row],[ExpectedWin]]&lt;0.5,Games[[#This Row],[Result]]=0))))</f>
        <v>1</v>
      </c>
      <c r="AE498">
        <f>IF(Games[[#This Row],[Team]]="","",-(Games[[#This Row],[Result]]*LN(Games[[#This Row],[ExpectedWin]])+(1-Games[[#This Row],[Result]])*LN(1-Games[[#This Row],[ExpectedWin]])))</f>
        <v>0.34371363420073803</v>
      </c>
      <c r="AF498">
        <f>IF(Games[[#This Row],[Team]]="","",IF(Games[[#This Row],[Season]]&gt;=2021,17,16))</f>
        <v>16</v>
      </c>
      <c r="AG498">
        <f>IF(Games[[#This Row],[Team]]="","",KMax-(KMax-KFloor)*MIN(Games[[#This Row],[GamesPlayed]],Games[[#This Row],[SeasonLen]])/Games[[#This Row],[SeasonLen]])</f>
        <v>36.200000000000003</v>
      </c>
      <c r="AH498">
        <f>IF(Games[[#This Row],[Team]]="","",((ABS(Games[[#This Row],[MOV]])+3)^0.8)/(7.5+0.006*ABS(Games[[#This Row],[PreGmRate]]-Games[[#This Row],[OppPreGmRate]]))*IF(Games[[#This Row],[OT]]=1,0.7,1))</f>
        <v>1.3799495670322985</v>
      </c>
      <c r="AI49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1.35</v>
      </c>
      <c r="AJ498">
        <f>IF(Games[[#This Row],[Team]]="","",Games[[#This Row],[K]]*IF(Games[[#This Row],[DivG]]=1,DivMult,1)*IF(Games[[#This Row],[ConfG]]=1,ConfMult,1)*Games[[#This Row],[POMult]])</f>
        <v>49.847400000000015</v>
      </c>
      <c r="AK498">
        <f>IF(Games[[#This Row],[Team]]="","",(Games[[#This Row],[Keff]]*Games[[#This Row],[MOVMult]])*(Games[[#This Row],[Result]]-Games[[#This Row],[ExpectedWin]]))</f>
        <v>20.007909516729693</v>
      </c>
      <c r="AL498">
        <f>IF(Games[[#This Row],[Team]]="","",Games[[#This Row],[PreGmRate]]+Games[[#This Row],[RatingChange]])</f>
        <v>1765.6063440099738</v>
      </c>
      <c r="AM498">
        <f>IF(Games[[#This Row],[Team]]="","",IF(Games[[#This Row],[Type]]="R",IF(Games[[#This Row],[Result]]&gt;0.5,1,0),0))</f>
        <v>0</v>
      </c>
      <c r="AN498">
        <f>IF(Games[[#This Row],[Team]]="","",IF(Games[[#This Row],[Type]]="R",IF(Games[[#This Row],[Result]]&lt;0.5,1,0),0))</f>
        <v>0</v>
      </c>
      <c r="AO498">
        <f>IF(Games[[#This Row],[Team]]="","",IF(Games[[#This Row],[Type]]="R",IF(Games[[#This Row],[Result]]=0.5,1,0),0))</f>
        <v>0</v>
      </c>
    </row>
    <row r="499" spans="1:41" x14ac:dyDescent="0.35">
      <c r="A499" s="8">
        <v>35442</v>
      </c>
      <c r="B499">
        <v>1996</v>
      </c>
      <c r="C499" t="s">
        <v>198</v>
      </c>
      <c r="D499" t="s">
        <v>204</v>
      </c>
      <c r="E499" t="s">
        <v>108</v>
      </c>
      <c r="F499" t="s">
        <v>120</v>
      </c>
      <c r="G499" t="s">
        <v>201</v>
      </c>
      <c r="H499">
        <v>13</v>
      </c>
      <c r="I499">
        <v>30</v>
      </c>
      <c r="J499">
        <v>0</v>
      </c>
      <c r="K49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9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9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9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99">
        <f>IF(Games[[#This Row],[Team]]="","",IF(Games[[#This Row],[Conf]]=Games[[#This Row],[OppConf]],1,0))</f>
        <v>1</v>
      </c>
      <c r="P499">
        <f>IF(Games[[#This Row],[Team]]="","",IF(AND(Games[[#This Row],[Conf]]=Games[[#This Row],[OppConf]],Games[[#This Row],[Div]]=Games[[#This Row],[OppDiv]]),1,0))</f>
        <v>0</v>
      </c>
      <c r="Q499">
        <f>IF(Games[[#This Row],[Team]]="","",_xlfn.MINIFS(Games[Date],Games[Season],Games[[#This Row],[Season]]))</f>
        <v>35309</v>
      </c>
      <c r="R499">
        <f>IF(Games[[#This Row],[Team]]="","",INT((Games[[#This Row],[Date]]-(Games[[#This Row],[SeasonStart]]-MOD(WEEKDAY(Games[[#This Row],[SeasonStart]],2)-2,7)))/7)+1)</f>
        <v>20</v>
      </c>
      <c r="S499">
        <f>IF(Games[[#This Row],[Team]]="","",COUNTIFS(Games[Team],Games[[#This Row],[Team]],Games[Season],Games[[#This Row],[Season]],Games[Week],"&lt;="&amp;Games[[#This Row],[Week]]))</f>
        <v>18</v>
      </c>
      <c r="T499">
        <f>IF(Games[[#This Row],[Team]]="","",_xlfn.MAXIFS(Games[Week],Games[Team],Games[[#This Row],[Team]],Games[Season],Games[[#This Row],[Season]],Games[Week],"&lt;"&amp;Games[[#This Row],[Week]]))</f>
        <v>19</v>
      </c>
      <c r="U499">
        <f>IF(Games[[#This Row],[Team]]="","",_xlfn.MAXIFS(Games[Week],Games[Team],Games[[#This Row],[Opponent]],Games[Season],Games[[#This Row],[Season]],Games[Week],"&lt;"&amp;Games[[#This Row],[Week]]))</f>
        <v>19</v>
      </c>
      <c r="V49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9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49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9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1668.7860041077533</v>
      </c>
      <c r="Z49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1745.598434493244</v>
      </c>
      <c r="AA49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0.29086802988062371</v>
      </c>
      <c r="AB499">
        <f>IF(Games[[#This Row],[Team]]="","",Games[[#This Row],[PointsFor]]-Games[[#This Row],[PointsAgainst]])</f>
        <v>-17</v>
      </c>
      <c r="AC499">
        <f>IF(Games[[#This Row],[Team]]="","",IF(Games[[#This Row],[MOV]]&gt;0,1,IF(Games[[#This Row],[MOV]]=0,0.5,0)))</f>
        <v>0</v>
      </c>
      <c r="AD499">
        <f>IF(Games[[#This Row],[Team]]="","",--(OR(AND(Games[[#This Row],[ExpectedWin]]&gt;=0.5,Games[[#This Row],[Result]]=1),AND(Games[[#This Row],[ExpectedWin]]&lt;0.5,Games[[#This Row],[Result]]=0))))</f>
        <v>1</v>
      </c>
      <c r="AE499">
        <f>IF(Games[[#This Row],[Team]]="","",-(Games[[#This Row],[Result]]*LN(Games[[#This Row],[ExpectedWin]])+(1-Games[[#This Row],[Result]])*LN(1-Games[[#This Row],[ExpectedWin]])))</f>
        <v>0.34371363420073803</v>
      </c>
      <c r="AF499">
        <f>IF(Games[[#This Row],[Team]]="","",IF(Games[[#This Row],[Season]]&gt;=2021,17,16))</f>
        <v>16</v>
      </c>
      <c r="AG499">
        <f>IF(Games[[#This Row],[Team]]="","",KMax-(KMax-KFloor)*MIN(Games[[#This Row],[GamesPlayed]],Games[[#This Row],[SeasonLen]])/Games[[#This Row],[SeasonLen]])</f>
        <v>36.200000000000003</v>
      </c>
      <c r="AH499">
        <f>IF(Games[[#This Row],[Team]]="","",((ABS(Games[[#This Row],[MOV]])+3)^0.8)/(7.5+0.006*ABS(Games[[#This Row],[PreGmRate]]-Games[[#This Row],[OppPreGmRate]]))*IF(Games[[#This Row],[OT]]=1,0.7,1))</f>
        <v>1.3799495670322985</v>
      </c>
      <c r="AI49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1.35</v>
      </c>
      <c r="AJ499">
        <f>IF(Games[[#This Row],[Team]]="","",Games[[#This Row],[K]]*IF(Games[[#This Row],[DivG]]=1,DivMult,1)*IF(Games[[#This Row],[ConfG]]=1,ConfMult,1)*Games[[#This Row],[POMult]])</f>
        <v>49.847400000000015</v>
      </c>
      <c r="AK499">
        <f>IF(Games[[#This Row],[Team]]="","",(Games[[#This Row],[Keff]]*Games[[#This Row],[MOVMult]])*(Games[[#This Row],[Result]]-Games[[#This Row],[ExpectedWin]]))</f>
        <v>-20.007909516729697</v>
      </c>
      <c r="AL499">
        <f>IF(Games[[#This Row],[Team]]="","",Games[[#This Row],[PreGmRate]]+Games[[#This Row],[RatingChange]])</f>
        <v>1648.7780945910235</v>
      </c>
      <c r="AM499">
        <f>IF(Games[[#This Row],[Team]]="","",IF(Games[[#This Row],[Type]]="R",IF(Games[[#This Row],[Result]]&gt;0.5,1,0),0))</f>
        <v>0</v>
      </c>
      <c r="AN499">
        <f>IF(Games[[#This Row],[Team]]="","",IF(Games[[#This Row],[Type]]="R",IF(Games[[#This Row],[Result]]&lt;0.5,1,0),0))</f>
        <v>0</v>
      </c>
      <c r="AO499">
        <f>IF(Games[[#This Row],[Team]]="","",IF(Games[[#This Row],[Type]]="R",IF(Games[[#This Row],[Result]]=0.5,1,0),0))</f>
        <v>0</v>
      </c>
    </row>
    <row r="500" spans="1:41" x14ac:dyDescent="0.35">
      <c r="A500" s="8">
        <v>35442</v>
      </c>
      <c r="B500">
        <v>1996</v>
      </c>
      <c r="C500" t="s">
        <v>198</v>
      </c>
      <c r="D500" t="s">
        <v>204</v>
      </c>
      <c r="E500" t="s">
        <v>132</v>
      </c>
      <c r="F500" t="s">
        <v>124</v>
      </c>
      <c r="G500" t="s">
        <v>200</v>
      </c>
      <c r="H500">
        <v>20</v>
      </c>
      <c r="I500">
        <v>6</v>
      </c>
      <c r="J500">
        <v>0</v>
      </c>
      <c r="K50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50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50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50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500">
        <f>IF(Games[[#This Row],[Team]]="","",IF(Games[[#This Row],[Conf]]=Games[[#This Row],[OppConf]],1,0))</f>
        <v>1</v>
      </c>
      <c r="P500">
        <f>IF(Games[[#This Row],[Team]]="","",IF(AND(Games[[#This Row],[Conf]]=Games[[#This Row],[OppConf]],Games[[#This Row],[Div]]=Games[[#This Row],[OppDiv]]),1,0))</f>
        <v>0</v>
      </c>
      <c r="Q500">
        <f>IF(Games[[#This Row],[Team]]="","",_xlfn.MINIFS(Games[Date],Games[Season],Games[[#This Row],[Season]]))</f>
        <v>35309</v>
      </c>
      <c r="R500">
        <f>IF(Games[[#This Row],[Team]]="","",INT((Games[[#This Row],[Date]]-(Games[[#This Row],[SeasonStart]]-MOD(WEEKDAY(Games[[#This Row],[SeasonStart]],2)-2,7)))/7)+1)</f>
        <v>20</v>
      </c>
      <c r="S500">
        <f>IF(Games[[#This Row],[Team]]="","",COUNTIFS(Games[Team],Games[[#This Row],[Team]],Games[Season],Games[[#This Row],[Season]],Games[Week],"&lt;="&amp;Games[[#This Row],[Week]]))</f>
        <v>18</v>
      </c>
      <c r="T500">
        <f>IF(Games[[#This Row],[Team]]="","",_xlfn.MAXIFS(Games[Week],Games[Team],Games[[#This Row],[Team]],Games[Season],Games[[#This Row],[Season]],Games[Week],"&lt;"&amp;Games[[#This Row],[Week]]))</f>
        <v>19</v>
      </c>
      <c r="U500">
        <f>IF(Games[[#This Row],[Team]]="","",_xlfn.MAXIFS(Games[Week],Games[Team],Games[[#This Row],[Opponent]],Games[Season],Games[[#This Row],[Season]],Games[Week],"&lt;"&amp;Games[[#This Row],[Week]]))</f>
        <v>19</v>
      </c>
      <c r="V50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50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50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50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1644.4678506502987</v>
      </c>
      <c r="Z50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1532.1678786787218</v>
      </c>
      <c r="AA50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0.7362129270057256</v>
      </c>
      <c r="AB500">
        <f>IF(Games[[#This Row],[Team]]="","",Games[[#This Row],[PointsFor]]-Games[[#This Row],[PointsAgainst]])</f>
        <v>14</v>
      </c>
      <c r="AC500">
        <f>IF(Games[[#This Row],[Team]]="","",IF(Games[[#This Row],[MOV]]&gt;0,1,IF(Games[[#This Row],[MOV]]=0,0.5,0)))</f>
        <v>1</v>
      </c>
      <c r="AD500">
        <f>IF(Games[[#This Row],[Team]]="","",--(OR(AND(Games[[#This Row],[ExpectedWin]]&gt;=0.5,Games[[#This Row],[Result]]=1),AND(Games[[#This Row],[ExpectedWin]]&lt;0.5,Games[[#This Row],[Result]]=0))))</f>
        <v>1</v>
      </c>
      <c r="AE500">
        <f>IF(Games[[#This Row],[Team]]="","",-(Games[[#This Row],[Result]]*LN(Games[[#This Row],[ExpectedWin]])+(1-Games[[#This Row],[Result]])*LN(1-Games[[#This Row],[ExpectedWin]])))</f>
        <v>0.30623589909639359</v>
      </c>
      <c r="AF500">
        <f>IF(Games[[#This Row],[Team]]="","",IF(Games[[#This Row],[Season]]&gt;=2021,17,16))</f>
        <v>16</v>
      </c>
      <c r="AG500">
        <f>IF(Games[[#This Row],[Team]]="","",KMax-(KMax-KFloor)*MIN(Games[[#This Row],[GamesPlayed]],Games[[#This Row],[SeasonLen]])/Games[[#This Row],[SeasonLen]])</f>
        <v>36.200000000000003</v>
      </c>
      <c r="AH500">
        <f>IF(Games[[#This Row],[Team]]="","",((ABS(Games[[#This Row],[MOV]])+3)^0.8)/(7.5+0.006*ABS(Games[[#This Row],[PreGmRate]]-Games[[#This Row],[OppPreGmRate]]))*IF(Games[[#This Row],[OT]]=1,0.7,1))</f>
        <v>1.1801443704130734</v>
      </c>
      <c r="AI50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1.35</v>
      </c>
      <c r="AJ500">
        <f>IF(Games[[#This Row],[Team]]="","",Games[[#This Row],[K]]*IF(Games[[#This Row],[DivG]]=1,DivMult,1)*IF(Games[[#This Row],[ConfG]]=1,ConfMult,1)*Games[[#This Row],[POMult]])</f>
        <v>49.847400000000015</v>
      </c>
      <c r="AK500">
        <f>IF(Games[[#This Row],[Team]]="","",(Games[[#This Row],[Keff]]*Games[[#This Row],[MOVMult]])*(Games[[#This Row],[Result]]-Games[[#This Row],[ExpectedWin]]))</f>
        <v>15.51783603696361</v>
      </c>
      <c r="AL500">
        <f>IF(Games[[#This Row],[Team]]="","",Games[[#This Row],[PreGmRate]]+Games[[#This Row],[RatingChange]])</f>
        <v>1659.9856866872624</v>
      </c>
      <c r="AM500">
        <f>IF(Games[[#This Row],[Team]]="","",IF(Games[[#This Row],[Type]]="R",IF(Games[[#This Row],[Result]]&gt;0.5,1,0),0))</f>
        <v>0</v>
      </c>
      <c r="AN500">
        <f>IF(Games[[#This Row],[Team]]="","",IF(Games[[#This Row],[Type]]="R",IF(Games[[#This Row],[Result]]&lt;0.5,1,0),0))</f>
        <v>0</v>
      </c>
      <c r="AO500">
        <f>IF(Games[[#This Row],[Team]]="","",IF(Games[[#This Row],[Type]]="R",IF(Games[[#This Row],[Result]]=0.5,1,0),0))</f>
        <v>0</v>
      </c>
    </row>
    <row r="501" spans="1:41" x14ac:dyDescent="0.35">
      <c r="A501" s="8">
        <v>35442</v>
      </c>
      <c r="B501">
        <v>1996</v>
      </c>
      <c r="C501" t="s">
        <v>198</v>
      </c>
      <c r="D501" t="s">
        <v>204</v>
      </c>
      <c r="E501" t="s">
        <v>124</v>
      </c>
      <c r="F501" t="s">
        <v>132</v>
      </c>
      <c r="G501" t="s">
        <v>201</v>
      </c>
      <c r="H501">
        <v>6</v>
      </c>
      <c r="I501">
        <v>20</v>
      </c>
      <c r="J501">
        <v>0</v>
      </c>
      <c r="K50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50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50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50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501">
        <f>IF(Games[[#This Row],[Team]]="","",IF(Games[[#This Row],[Conf]]=Games[[#This Row],[OppConf]],1,0))</f>
        <v>1</v>
      </c>
      <c r="P501">
        <f>IF(Games[[#This Row],[Team]]="","",IF(AND(Games[[#This Row],[Conf]]=Games[[#This Row],[OppConf]],Games[[#This Row],[Div]]=Games[[#This Row],[OppDiv]]),1,0))</f>
        <v>0</v>
      </c>
      <c r="Q501">
        <f>IF(Games[[#This Row],[Team]]="","",_xlfn.MINIFS(Games[Date],Games[Season],Games[[#This Row],[Season]]))</f>
        <v>35309</v>
      </c>
      <c r="R501">
        <f>IF(Games[[#This Row],[Team]]="","",INT((Games[[#This Row],[Date]]-(Games[[#This Row],[SeasonStart]]-MOD(WEEKDAY(Games[[#This Row],[SeasonStart]],2)-2,7)))/7)+1)</f>
        <v>20</v>
      </c>
      <c r="S501">
        <f>IF(Games[[#This Row],[Team]]="","",COUNTIFS(Games[Team],Games[[#This Row],[Team]],Games[Season],Games[[#This Row],[Season]],Games[Week],"&lt;="&amp;Games[[#This Row],[Week]]))</f>
        <v>19</v>
      </c>
      <c r="T501">
        <f>IF(Games[[#This Row],[Team]]="","",_xlfn.MAXIFS(Games[Week],Games[Team],Games[[#This Row],[Team]],Games[Season],Games[[#This Row],[Season]],Games[Week],"&lt;"&amp;Games[[#This Row],[Week]]))</f>
        <v>19</v>
      </c>
      <c r="U501">
        <f>IF(Games[[#This Row],[Team]]="","",_xlfn.MAXIFS(Games[Week],Games[Team],Games[[#This Row],[Opponent]],Games[Season],Games[[#This Row],[Season]],Games[Week],"&lt;"&amp;Games[[#This Row],[Week]]))</f>
        <v>19</v>
      </c>
      <c r="V50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50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50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50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1532.1678786787218</v>
      </c>
      <c r="Z50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1644.4678506502987</v>
      </c>
      <c r="AA50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0.26378707299427434</v>
      </c>
      <c r="AB501">
        <f>IF(Games[[#This Row],[Team]]="","",Games[[#This Row],[PointsFor]]-Games[[#This Row],[PointsAgainst]])</f>
        <v>-14</v>
      </c>
      <c r="AC501">
        <f>IF(Games[[#This Row],[Team]]="","",IF(Games[[#This Row],[MOV]]&gt;0,1,IF(Games[[#This Row],[MOV]]=0,0.5,0)))</f>
        <v>0</v>
      </c>
      <c r="AD501">
        <f>IF(Games[[#This Row],[Team]]="","",--(OR(AND(Games[[#This Row],[ExpectedWin]]&gt;=0.5,Games[[#This Row],[Result]]=1),AND(Games[[#This Row],[ExpectedWin]]&lt;0.5,Games[[#This Row],[Result]]=0))))</f>
        <v>1</v>
      </c>
      <c r="AE501">
        <f>IF(Games[[#This Row],[Team]]="","",-(Games[[#This Row],[Result]]*LN(Games[[#This Row],[ExpectedWin]])+(1-Games[[#This Row],[Result]])*LN(1-Games[[#This Row],[ExpectedWin]])))</f>
        <v>0.30623589909639359</v>
      </c>
      <c r="AF501">
        <f>IF(Games[[#This Row],[Team]]="","",IF(Games[[#This Row],[Season]]&gt;=2021,17,16))</f>
        <v>16</v>
      </c>
      <c r="AG501">
        <f>IF(Games[[#This Row],[Team]]="","",KMax-(KMax-KFloor)*MIN(Games[[#This Row],[GamesPlayed]],Games[[#This Row],[SeasonLen]])/Games[[#This Row],[SeasonLen]])</f>
        <v>36.200000000000003</v>
      </c>
      <c r="AH501">
        <f>IF(Games[[#This Row],[Team]]="","",((ABS(Games[[#This Row],[MOV]])+3)^0.8)/(7.5+0.006*ABS(Games[[#This Row],[PreGmRate]]-Games[[#This Row],[OppPreGmRate]]))*IF(Games[[#This Row],[OT]]=1,0.7,1))</f>
        <v>1.1801443704130734</v>
      </c>
      <c r="AI50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1.35</v>
      </c>
      <c r="AJ501">
        <f>IF(Games[[#This Row],[Team]]="","",Games[[#This Row],[K]]*IF(Games[[#This Row],[DivG]]=1,DivMult,1)*IF(Games[[#This Row],[ConfG]]=1,ConfMult,1)*Games[[#This Row],[POMult]])</f>
        <v>49.847400000000015</v>
      </c>
      <c r="AK501">
        <f>IF(Games[[#This Row],[Team]]="","",(Games[[#This Row],[Keff]]*Games[[#This Row],[MOVMult]])*(Games[[#This Row],[Result]]-Games[[#This Row],[ExpectedWin]]))</f>
        <v>-15.517836036963606</v>
      </c>
      <c r="AL501">
        <f>IF(Games[[#This Row],[Team]]="","",Games[[#This Row],[PreGmRate]]+Games[[#This Row],[RatingChange]])</f>
        <v>1516.6500426417581</v>
      </c>
      <c r="AM501">
        <f>IF(Games[[#This Row],[Team]]="","",IF(Games[[#This Row],[Type]]="R",IF(Games[[#This Row],[Result]]&gt;0.5,1,0),0))</f>
        <v>0</v>
      </c>
      <c r="AN501">
        <f>IF(Games[[#This Row],[Team]]="","",IF(Games[[#This Row],[Type]]="R",IF(Games[[#This Row],[Result]]&lt;0.5,1,0),0))</f>
        <v>0</v>
      </c>
      <c r="AO501">
        <f>IF(Games[[#This Row],[Team]]="","",IF(Games[[#This Row],[Type]]="R",IF(Games[[#This Row],[Result]]=0.5,1,0),0))</f>
        <v>0</v>
      </c>
    </row>
    <row r="502" spans="1:41" x14ac:dyDescent="0.35">
      <c r="A502" s="8">
        <v>35456</v>
      </c>
      <c r="B502">
        <v>1996</v>
      </c>
      <c r="C502" t="s">
        <v>198</v>
      </c>
      <c r="D502" t="s">
        <v>205</v>
      </c>
      <c r="E502" t="s">
        <v>120</v>
      </c>
      <c r="F502" t="s">
        <v>132</v>
      </c>
      <c r="G502" t="s">
        <v>206</v>
      </c>
      <c r="H502">
        <v>35</v>
      </c>
      <c r="I502">
        <v>21</v>
      </c>
      <c r="J502">
        <v>0</v>
      </c>
      <c r="K50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50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50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50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502">
        <f>IF(Games[[#This Row],[Team]]="","",IF(Games[[#This Row],[Conf]]=Games[[#This Row],[OppConf]],1,0))</f>
        <v>0</v>
      </c>
      <c r="P502">
        <f>IF(Games[[#This Row],[Team]]="","",IF(AND(Games[[#This Row],[Conf]]=Games[[#This Row],[OppConf]],Games[[#This Row],[Div]]=Games[[#This Row],[OppDiv]]),1,0))</f>
        <v>0</v>
      </c>
      <c r="Q502">
        <f>IF(Games[[#This Row],[Team]]="","",_xlfn.MINIFS(Games[Date],Games[Season],Games[[#This Row],[Season]]))</f>
        <v>35309</v>
      </c>
      <c r="R502">
        <f>IF(Games[[#This Row],[Team]]="","",INT((Games[[#This Row],[Date]]-(Games[[#This Row],[SeasonStart]]-MOD(WEEKDAY(Games[[#This Row],[SeasonStart]],2)-2,7)))/7)+1)</f>
        <v>22</v>
      </c>
      <c r="S502">
        <f>IF(Games[[#This Row],[Team]]="","",COUNTIFS(Games[Team],Games[[#This Row],[Team]],Games[Season],Games[[#This Row],[Season]],Games[Week],"&lt;="&amp;Games[[#This Row],[Week]]))</f>
        <v>19</v>
      </c>
      <c r="T502">
        <f>IF(Games[[#This Row],[Team]]="","",_xlfn.MAXIFS(Games[Week],Games[Team],Games[[#This Row],[Team]],Games[Season],Games[[#This Row],[Season]],Games[Week],"&lt;"&amp;Games[[#This Row],[Week]]))</f>
        <v>20</v>
      </c>
      <c r="U502">
        <f>IF(Games[[#This Row],[Team]]="","",_xlfn.MAXIFS(Games[Week],Games[Team],Games[[#This Row],[Opponent]],Games[Season],Games[[#This Row],[Season]],Games[Week],"&lt;"&amp;Games[[#This Row],[Week]]))</f>
        <v>20</v>
      </c>
      <c r="V50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50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50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0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1765.6063440099738</v>
      </c>
      <c r="Z50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1659.9856866872624</v>
      </c>
      <c r="AA50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0.64748475461377897</v>
      </c>
      <c r="AB502">
        <f>IF(Games[[#This Row],[Team]]="","",Games[[#This Row],[PointsFor]]-Games[[#This Row],[PointsAgainst]])</f>
        <v>14</v>
      </c>
      <c r="AC502">
        <f>IF(Games[[#This Row],[Team]]="","",IF(Games[[#This Row],[MOV]]&gt;0,1,IF(Games[[#This Row],[MOV]]=0,0.5,0)))</f>
        <v>1</v>
      </c>
      <c r="AD502">
        <f>IF(Games[[#This Row],[Team]]="","",--(OR(AND(Games[[#This Row],[ExpectedWin]]&gt;=0.5,Games[[#This Row],[Result]]=1),AND(Games[[#This Row],[ExpectedWin]]&lt;0.5,Games[[#This Row],[Result]]=0))))</f>
        <v>1</v>
      </c>
      <c r="AE502">
        <f>IF(Games[[#This Row],[Team]]="","",-(Games[[#This Row],[Result]]*LN(Games[[#This Row],[ExpectedWin]])+(1-Games[[#This Row],[Result]])*LN(1-Games[[#This Row],[ExpectedWin]])))</f>
        <v>0.43466003068365683</v>
      </c>
      <c r="AF502">
        <f>IF(Games[[#This Row],[Team]]="","",IF(Games[[#This Row],[Season]]&gt;=2021,17,16))</f>
        <v>16</v>
      </c>
      <c r="AG502">
        <f>IF(Games[[#This Row],[Team]]="","",KMax-(KMax-KFloor)*MIN(Games[[#This Row],[GamesPlayed]],Games[[#This Row],[SeasonLen]])/Games[[#This Row],[SeasonLen]])</f>
        <v>36.200000000000003</v>
      </c>
      <c r="AH502">
        <f>IF(Games[[#This Row],[Team]]="","",((ABS(Games[[#This Row],[MOV]])+3)^0.8)/(7.5+0.006*ABS(Games[[#This Row],[PreGmRate]]-Games[[#This Row],[OppPreGmRate]]))*IF(Games[[#This Row],[OT]]=1,0.7,1))</f>
        <v>1.1859590911747382</v>
      </c>
      <c r="AI50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1.5</v>
      </c>
      <c r="AJ502">
        <f>IF(Games[[#This Row],[Team]]="","",Games[[#This Row],[K]]*IF(Games[[#This Row],[DivG]]=1,DivMult,1)*IF(Games[[#This Row],[ConfG]]=1,ConfMult,1)*Games[[#This Row],[POMult]])</f>
        <v>54.300000000000004</v>
      </c>
      <c r="AK502">
        <f>IF(Games[[#This Row],[Team]]="","",(Games[[#This Row],[Keff]]*Games[[#This Row],[MOVMult]])*(Games[[#This Row],[Result]]-Games[[#This Row],[ExpectedWin]]))</f>
        <v>22.701128240361104</v>
      </c>
      <c r="AL502">
        <f>IF(Games[[#This Row],[Team]]="","",Games[[#This Row],[PreGmRate]]+Games[[#This Row],[RatingChange]])</f>
        <v>1788.307472250335</v>
      </c>
      <c r="AM502">
        <f>IF(Games[[#This Row],[Team]]="","",IF(Games[[#This Row],[Type]]="R",IF(Games[[#This Row],[Result]]&gt;0.5,1,0),0))</f>
        <v>0</v>
      </c>
      <c r="AN502">
        <f>IF(Games[[#This Row],[Team]]="","",IF(Games[[#This Row],[Type]]="R",IF(Games[[#This Row],[Result]]&lt;0.5,1,0),0))</f>
        <v>0</v>
      </c>
      <c r="AO502">
        <f>IF(Games[[#This Row],[Team]]="","",IF(Games[[#This Row],[Type]]="R",IF(Games[[#This Row],[Result]]=0.5,1,0),0))</f>
        <v>0</v>
      </c>
    </row>
    <row r="503" spans="1:41" x14ac:dyDescent="0.35">
      <c r="A503" s="8">
        <v>35456</v>
      </c>
      <c r="B503">
        <v>1996</v>
      </c>
      <c r="C503" t="s">
        <v>198</v>
      </c>
      <c r="D503" t="s">
        <v>205</v>
      </c>
      <c r="E503" t="s">
        <v>132</v>
      </c>
      <c r="F503" t="s">
        <v>120</v>
      </c>
      <c r="G503" t="s">
        <v>206</v>
      </c>
      <c r="H503">
        <v>21</v>
      </c>
      <c r="I503">
        <v>35</v>
      </c>
      <c r="J503">
        <v>0</v>
      </c>
      <c r="K50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50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50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50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503">
        <f>IF(Games[[#This Row],[Team]]="","",IF(Games[[#This Row],[Conf]]=Games[[#This Row],[OppConf]],1,0))</f>
        <v>0</v>
      </c>
      <c r="P503">
        <f>IF(Games[[#This Row],[Team]]="","",IF(AND(Games[[#This Row],[Conf]]=Games[[#This Row],[OppConf]],Games[[#This Row],[Div]]=Games[[#This Row],[OppDiv]]),1,0))</f>
        <v>0</v>
      </c>
      <c r="Q503">
        <f>IF(Games[[#This Row],[Team]]="","",_xlfn.MINIFS(Games[Date],Games[Season],Games[[#This Row],[Season]]))</f>
        <v>35309</v>
      </c>
      <c r="R503">
        <f>IF(Games[[#This Row],[Team]]="","",INT((Games[[#This Row],[Date]]-(Games[[#This Row],[SeasonStart]]-MOD(WEEKDAY(Games[[#This Row],[SeasonStart]],2)-2,7)))/7)+1)</f>
        <v>22</v>
      </c>
      <c r="S503">
        <f>IF(Games[[#This Row],[Team]]="","",COUNTIFS(Games[Team],Games[[#This Row],[Team]],Games[Season],Games[[#This Row],[Season]],Games[Week],"&lt;="&amp;Games[[#This Row],[Week]]))</f>
        <v>19</v>
      </c>
      <c r="T503">
        <f>IF(Games[[#This Row],[Team]]="","",_xlfn.MAXIFS(Games[Week],Games[Team],Games[[#This Row],[Team]],Games[Season],Games[[#This Row],[Season]],Games[Week],"&lt;"&amp;Games[[#This Row],[Week]]))</f>
        <v>20</v>
      </c>
      <c r="U503">
        <f>IF(Games[[#This Row],[Team]]="","",_xlfn.MAXIFS(Games[Week],Games[Team],Games[[#This Row],[Opponent]],Games[Season],Games[[#This Row],[Season]],Games[Week],"&lt;"&amp;Games[[#This Row],[Week]]))</f>
        <v>20</v>
      </c>
      <c r="V50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50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50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0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1659.9856866872624</v>
      </c>
      <c r="Z50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1765.6063440099738</v>
      </c>
      <c r="AA50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0.35251524538622098</v>
      </c>
      <c r="AB503">
        <f>IF(Games[[#This Row],[Team]]="","",Games[[#This Row],[PointsFor]]-Games[[#This Row],[PointsAgainst]])</f>
        <v>-14</v>
      </c>
      <c r="AC503">
        <f>IF(Games[[#This Row],[Team]]="","",IF(Games[[#This Row],[MOV]]&gt;0,1,IF(Games[[#This Row],[MOV]]=0,0.5,0)))</f>
        <v>0</v>
      </c>
      <c r="AD503">
        <f>IF(Games[[#This Row],[Team]]="","",--(OR(AND(Games[[#This Row],[ExpectedWin]]&gt;=0.5,Games[[#This Row],[Result]]=1),AND(Games[[#This Row],[ExpectedWin]]&lt;0.5,Games[[#This Row],[Result]]=0))))</f>
        <v>1</v>
      </c>
      <c r="AE503">
        <f>IF(Games[[#This Row],[Team]]="","",-(Games[[#This Row],[Result]]*LN(Games[[#This Row],[ExpectedWin]])+(1-Games[[#This Row],[Result]])*LN(1-Games[[#This Row],[ExpectedWin]])))</f>
        <v>0.43466003068365683</v>
      </c>
      <c r="AF503">
        <f>IF(Games[[#This Row],[Team]]="","",IF(Games[[#This Row],[Season]]&gt;=2021,17,16))</f>
        <v>16</v>
      </c>
      <c r="AG503">
        <f>IF(Games[[#This Row],[Team]]="","",KMax-(KMax-KFloor)*MIN(Games[[#This Row],[GamesPlayed]],Games[[#This Row],[SeasonLen]])/Games[[#This Row],[SeasonLen]])</f>
        <v>36.200000000000003</v>
      </c>
      <c r="AH503">
        <f>IF(Games[[#This Row],[Team]]="","",((ABS(Games[[#This Row],[MOV]])+3)^0.8)/(7.5+0.006*ABS(Games[[#This Row],[PreGmRate]]-Games[[#This Row],[OppPreGmRate]]))*IF(Games[[#This Row],[OT]]=1,0.7,1))</f>
        <v>1.1859590911747382</v>
      </c>
      <c r="AI50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1.5</v>
      </c>
      <c r="AJ503">
        <f>IF(Games[[#This Row],[Team]]="","",Games[[#This Row],[K]]*IF(Games[[#This Row],[DivG]]=1,DivMult,1)*IF(Games[[#This Row],[ConfG]]=1,ConfMult,1)*Games[[#This Row],[POMult]])</f>
        <v>54.300000000000004</v>
      </c>
      <c r="AK503">
        <f>IF(Games[[#This Row],[Team]]="","",(Games[[#This Row],[Keff]]*Games[[#This Row],[MOVMult]])*(Games[[#This Row],[Result]]-Games[[#This Row],[ExpectedWin]]))</f>
        <v>-22.701128240361101</v>
      </c>
      <c r="AL503">
        <f>IF(Games[[#This Row],[Team]]="","",Games[[#This Row],[PreGmRate]]+Games[[#This Row],[RatingChange]])</f>
        <v>1637.2845584469012</v>
      </c>
      <c r="AM503">
        <f>IF(Games[[#This Row],[Team]]="","",IF(Games[[#This Row],[Type]]="R",IF(Games[[#This Row],[Result]]&gt;0.5,1,0),0))</f>
        <v>0</v>
      </c>
      <c r="AN503">
        <f>IF(Games[[#This Row],[Team]]="","",IF(Games[[#This Row],[Type]]="R",IF(Games[[#This Row],[Result]]&lt;0.5,1,0),0))</f>
        <v>0</v>
      </c>
      <c r="AO503">
        <f>IF(Games[[#This Row],[Team]]="","",IF(Games[[#This Row],[Type]]="R",IF(Games[[#This Row],[Result]]=0.5,1,0),0))</f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6"/>
  <sheetViews>
    <sheetView tabSelected="1" workbookViewId="0"/>
  </sheetViews>
  <sheetFormatPr defaultRowHeight="14.5" outlineLevelCol="1" x14ac:dyDescent="0.35"/>
  <cols>
    <col min="1" max="1" width="10" customWidth="1"/>
    <col min="2" max="2" width="26" customWidth="1"/>
    <col min="3" max="5" width="6" customWidth="1"/>
    <col min="6" max="6" width="10" customWidth="1"/>
    <col min="8" max="14" width="13" hidden="1" customWidth="1" outlineLevel="1"/>
    <col min="15" max="15" width="8.7265625" collapsed="1"/>
  </cols>
  <sheetData>
    <row r="1" spans="1:14" x14ac:dyDescent="0.35">
      <c r="A1" s="7" t="s">
        <v>194</v>
      </c>
      <c r="B1">
        <f>IFERROR(MAX(Games[Season]),"(no games entered yet)")</f>
        <v>1996</v>
      </c>
    </row>
    <row r="2" spans="1:14" x14ac:dyDescent="0.35">
      <c r="A2" s="2" t="s">
        <v>195</v>
      </c>
    </row>
    <row r="4" spans="1:14" x14ac:dyDescent="0.35">
      <c r="A4" s="3" t="s">
        <v>86</v>
      </c>
      <c r="B4" s="3" t="s">
        <v>87</v>
      </c>
      <c r="C4" s="3" t="s">
        <v>191</v>
      </c>
      <c r="D4" s="3" t="s">
        <v>192</v>
      </c>
      <c r="E4" s="3" t="s">
        <v>193</v>
      </c>
      <c r="F4" s="3" t="s">
        <v>196</v>
      </c>
    </row>
    <row r="5" spans="1:14" x14ac:dyDescent="0.35">
      <c r="A5" t="str">
        <f t="shared" ref="A5:A34" si="0">INDEX($H$5:$H$36,MATCH(LARGE($N$5:$N$36,ROW()-4),$N$5:$N$36,0))</f>
        <v>GB</v>
      </c>
      <c r="B5" t="str">
        <f t="shared" ref="B5:B34" si="1">INDEX($I$5:$I$36,MATCH(LARGE($N$5:$N$36,ROW()-4),$N$5:$N$36,0))</f>
        <v>Green Bay Packers</v>
      </c>
      <c r="C5">
        <f t="shared" ref="C5:C34" si="2">INDEX($J$5:$J$36,MATCH(LARGE($N$5:$N$36,ROW()-4),$N$5:$N$36,0))</f>
        <v>13</v>
      </c>
      <c r="D5">
        <f t="shared" ref="D5:D34" si="3">INDEX($K$5:$K$36,MATCH(LARGE($N$5:$N$36,ROW()-4),$N$5:$N$36,0))</f>
        <v>3</v>
      </c>
      <c r="E5">
        <f t="shared" ref="E5:E34" si="4">INDEX($L$5:$L$36,MATCH(LARGE($N$5:$N$36,ROW()-4),$N$5:$N$36,0))</f>
        <v>0</v>
      </c>
      <c r="F5" s="9">
        <f t="shared" ref="F5:F34" si="5">INDEX($M$5:$M$36,MATCH(LARGE($N$5:$N$36,ROW()-4),$N$5:$N$36,0))</f>
        <v>1788.307472250335</v>
      </c>
      <c r="H5" t="str">
        <f>Teams!A8</f>
        <v>ARI</v>
      </c>
      <c r="I5" t="str">
        <f>Teams!B8</f>
        <v>Arizona Cardinals</v>
      </c>
      <c r="J5">
        <f>SUMIFS(Games[W],Games[Team],H5,Games[Season],$B$1)</f>
        <v>7</v>
      </c>
      <c r="K5">
        <f>SUMIFS(Games[L],Games[Team],H5,Games[Season],$B$1)</f>
        <v>9</v>
      </c>
      <c r="L5">
        <f>SUMIFS(Games[T],Games[Team],H5,Games[Season],$B$1)</f>
        <v>0</v>
      </c>
      <c r="M5">
        <f>IF(COUNTIFS(Games[Team],H5,Games[Season],$B$1)=0,"",SUMIFS(Games[PostGmRate],Games[Team],H5,Games[Season],$B$1,Games[Week],_xlfn.MAXIFS(Games[Week],Games[Team],H5,Games[Season],$B$1)))</f>
        <v>1407.2935220291561</v>
      </c>
      <c r="N5">
        <f t="shared" ref="N5:N36" si="6">IF($M5="",-999999+ROW()/1000000,$M5+ROW()/1000000)</f>
        <v>1407.2935270291562</v>
      </c>
    </row>
    <row r="6" spans="1:14" x14ac:dyDescent="0.35">
      <c r="A6" t="str">
        <f t="shared" si="0"/>
        <v>CAR</v>
      </c>
      <c r="B6" t="str">
        <f t="shared" si="1"/>
        <v>Carolina Panthers</v>
      </c>
      <c r="C6">
        <f t="shared" si="2"/>
        <v>12</v>
      </c>
      <c r="D6">
        <f t="shared" si="3"/>
        <v>4</v>
      </c>
      <c r="E6">
        <f t="shared" si="4"/>
        <v>0</v>
      </c>
      <c r="F6" s="9">
        <f t="shared" si="5"/>
        <v>1648.7780945910235</v>
      </c>
      <c r="H6" t="str">
        <f>Teams!A9</f>
        <v>ATL</v>
      </c>
      <c r="I6" t="str">
        <f>Teams!B9</f>
        <v>Atlanta Falcons</v>
      </c>
      <c r="J6">
        <f>SUMIFS(Games[W],Games[Team],H6,Games[Season],$B$1)</f>
        <v>3</v>
      </c>
      <c r="K6">
        <f>SUMIFS(Games[L],Games[Team],H6,Games[Season],$B$1)</f>
        <v>13</v>
      </c>
      <c r="L6">
        <f>SUMIFS(Games[T],Games[Team],H6,Games[Season],$B$1)</f>
        <v>0</v>
      </c>
      <c r="M6">
        <f>IF(COUNTIFS(Games[Team],H6,Games[Season],$B$1)=0,"",SUMIFS(Games[PostGmRate],Games[Team],H6,Games[Season],$B$1,Games[Week],_xlfn.MAXIFS(Games[Week],Games[Team],H6,Games[Season],$B$1)))</f>
        <v>1330.3068556232245</v>
      </c>
      <c r="N6">
        <f t="shared" si="6"/>
        <v>1330.3068616232244</v>
      </c>
    </row>
    <row r="7" spans="1:14" x14ac:dyDescent="0.35">
      <c r="A7" t="str">
        <f t="shared" si="0"/>
        <v>NE</v>
      </c>
      <c r="B7" t="str">
        <f t="shared" si="1"/>
        <v>New England Patriots</v>
      </c>
      <c r="C7">
        <f t="shared" si="2"/>
        <v>11</v>
      </c>
      <c r="D7">
        <f t="shared" si="3"/>
        <v>5</v>
      </c>
      <c r="E7">
        <f t="shared" si="4"/>
        <v>0</v>
      </c>
      <c r="F7" s="9">
        <f t="shared" si="5"/>
        <v>1637.2845584469012</v>
      </c>
      <c r="H7" t="str">
        <f>Teams!A10</f>
        <v>BAL</v>
      </c>
      <c r="I7" t="str">
        <f>Teams!B10</f>
        <v>Baltimore Ravens</v>
      </c>
      <c r="J7">
        <f>SUMIFS(Games[W],Games[Team],H7,Games[Season],$B$1)</f>
        <v>4</v>
      </c>
      <c r="K7">
        <f>SUMIFS(Games[L],Games[Team],H7,Games[Season],$B$1)</f>
        <v>12</v>
      </c>
      <c r="L7">
        <f>SUMIFS(Games[T],Games[Team],H7,Games[Season],$B$1)</f>
        <v>0</v>
      </c>
      <c r="M7">
        <f>IF(COUNTIFS(Games[Team],H7,Games[Season],$B$1)=0,"",SUMIFS(Games[PostGmRate],Games[Team],H7,Games[Season],$B$1,Games[Week],_xlfn.MAXIFS(Games[Week],Games[Team],H7,Games[Season],$B$1)))</f>
        <v>1405.3440157874682</v>
      </c>
      <c r="N7">
        <f t="shared" si="6"/>
        <v>1405.3440227874682</v>
      </c>
    </row>
    <row r="8" spans="1:14" x14ac:dyDescent="0.35">
      <c r="A8" t="str">
        <f t="shared" si="0"/>
        <v>SF</v>
      </c>
      <c r="B8" t="str">
        <f t="shared" si="1"/>
        <v>San Francisco 49ers</v>
      </c>
      <c r="C8">
        <f t="shared" si="2"/>
        <v>12</v>
      </c>
      <c r="D8">
        <f t="shared" si="3"/>
        <v>4</v>
      </c>
      <c r="E8">
        <f t="shared" si="4"/>
        <v>0</v>
      </c>
      <c r="F8" s="9">
        <f t="shared" si="5"/>
        <v>1636.0703355269582</v>
      </c>
      <c r="H8" t="str">
        <f>Teams!A11</f>
        <v>BUF</v>
      </c>
      <c r="I8" t="str">
        <f>Teams!B11</f>
        <v>Buffalo Bills</v>
      </c>
      <c r="J8">
        <f>SUMIFS(Games[W],Games[Team],H8,Games[Season],$B$1)</f>
        <v>10</v>
      </c>
      <c r="K8">
        <f>SUMIFS(Games[L],Games[Team],H8,Games[Season],$B$1)</f>
        <v>6</v>
      </c>
      <c r="L8">
        <f>SUMIFS(Games[T],Games[Team],H8,Games[Season],$B$1)</f>
        <v>0</v>
      </c>
      <c r="M8">
        <f>IF(COUNTIFS(Games[Team],H8,Games[Season],$B$1)=0,"",SUMIFS(Games[PostGmRate],Games[Team],H8,Games[Season],$B$1,Games[Week],_xlfn.MAXIFS(Games[Week],Games[Team],H8,Games[Season],$B$1)))</f>
        <v>1538.7625118006981</v>
      </c>
      <c r="N8">
        <f t="shared" si="6"/>
        <v>1538.7625198006981</v>
      </c>
    </row>
    <row r="9" spans="1:14" x14ac:dyDescent="0.35">
      <c r="A9" t="str">
        <f t="shared" si="0"/>
        <v>DEN</v>
      </c>
      <c r="B9" t="str">
        <f t="shared" si="1"/>
        <v>Denver Broncos</v>
      </c>
      <c r="C9">
        <f t="shared" si="2"/>
        <v>13</v>
      </c>
      <c r="D9">
        <f t="shared" si="3"/>
        <v>3</v>
      </c>
      <c r="E9">
        <f t="shared" si="4"/>
        <v>0</v>
      </c>
      <c r="F9" s="9">
        <f t="shared" si="5"/>
        <v>1631.3618297133428</v>
      </c>
      <c r="H9" t="str">
        <f>Teams!A12</f>
        <v>CAR</v>
      </c>
      <c r="I9" t="str">
        <f>Teams!B12</f>
        <v>Carolina Panthers</v>
      </c>
      <c r="J9">
        <f>SUMIFS(Games[W],Games[Team],H9,Games[Season],$B$1)</f>
        <v>12</v>
      </c>
      <c r="K9">
        <f>SUMIFS(Games[L],Games[Team],H9,Games[Season],$B$1)</f>
        <v>4</v>
      </c>
      <c r="L9">
        <f>SUMIFS(Games[T],Games[Team],H9,Games[Season],$B$1)</f>
        <v>0</v>
      </c>
      <c r="M9">
        <f>IF(COUNTIFS(Games[Team],H9,Games[Season],$B$1)=0,"",SUMIFS(Games[PostGmRate],Games[Team],H9,Games[Season],$B$1,Games[Week],_xlfn.MAXIFS(Games[Week],Games[Team],H9,Games[Season],$B$1)))</f>
        <v>1648.7780945910235</v>
      </c>
      <c r="N9">
        <f t="shared" si="6"/>
        <v>1648.7781035910236</v>
      </c>
    </row>
    <row r="10" spans="1:14" x14ac:dyDescent="0.35">
      <c r="A10" t="str">
        <f t="shared" si="0"/>
        <v>DAL</v>
      </c>
      <c r="B10" t="str">
        <f t="shared" si="1"/>
        <v>Dallas Cowboys</v>
      </c>
      <c r="C10">
        <f t="shared" si="2"/>
        <v>10</v>
      </c>
      <c r="D10">
        <f t="shared" si="3"/>
        <v>6</v>
      </c>
      <c r="E10">
        <f t="shared" si="4"/>
        <v>0</v>
      </c>
      <c r="F10" s="9">
        <f t="shared" si="5"/>
        <v>1572.4211707961458</v>
      </c>
      <c r="H10" t="str">
        <f>Teams!A13</f>
        <v>CHI</v>
      </c>
      <c r="I10" t="str">
        <f>Teams!B13</f>
        <v>Chicago Bears</v>
      </c>
      <c r="J10">
        <f>SUMIFS(Games[W],Games[Team],H10,Games[Season],$B$1)</f>
        <v>7</v>
      </c>
      <c r="K10">
        <f>SUMIFS(Games[L],Games[Team],H10,Games[Season],$B$1)</f>
        <v>9</v>
      </c>
      <c r="L10">
        <f>SUMIFS(Games[T],Games[Team],H10,Games[Season],$B$1)</f>
        <v>0</v>
      </c>
      <c r="M10">
        <f>IF(COUNTIFS(Games[Team],H10,Games[Season],$B$1)=0,"",SUMIFS(Games[PostGmRate],Games[Team],H10,Games[Season],$B$1,Games[Week],_xlfn.MAXIFS(Games[Week],Games[Team],H10,Games[Season],$B$1)))</f>
        <v>1469.7706857769397</v>
      </c>
      <c r="N10">
        <f t="shared" si="6"/>
        <v>1469.7706957769396</v>
      </c>
    </row>
    <row r="11" spans="1:14" x14ac:dyDescent="0.35">
      <c r="A11" t="str">
        <f t="shared" si="0"/>
        <v>PIT</v>
      </c>
      <c r="B11" t="str">
        <f t="shared" si="1"/>
        <v>Pittsburgh Steelers</v>
      </c>
      <c r="C11">
        <f t="shared" si="2"/>
        <v>10</v>
      </c>
      <c r="D11">
        <f t="shared" si="3"/>
        <v>6</v>
      </c>
      <c r="E11">
        <f t="shared" si="4"/>
        <v>0</v>
      </c>
      <c r="F11" s="9">
        <f t="shared" si="5"/>
        <v>1559.7530031321207</v>
      </c>
      <c r="H11" t="str">
        <f>Teams!A14</f>
        <v>CIN</v>
      </c>
      <c r="I11" t="str">
        <f>Teams!B14</f>
        <v>Cincinnati Bengals</v>
      </c>
      <c r="J11">
        <f>SUMIFS(Games[W],Games[Team],H11,Games[Season],$B$1)</f>
        <v>8</v>
      </c>
      <c r="K11">
        <f>SUMIFS(Games[L],Games[Team],H11,Games[Season],$B$1)</f>
        <v>8</v>
      </c>
      <c r="L11">
        <f>SUMIFS(Games[T],Games[Team],H11,Games[Season],$B$1)</f>
        <v>0</v>
      </c>
      <c r="M11">
        <f>IF(COUNTIFS(Games[Team],H11,Games[Season],$B$1)=0,"",SUMIFS(Games[PostGmRate],Games[Team],H11,Games[Season],$B$1,Games[Week],_xlfn.MAXIFS(Games[Week],Games[Team],H11,Games[Season],$B$1)))</f>
        <v>1526.5574499799359</v>
      </c>
      <c r="N11">
        <f t="shared" si="6"/>
        <v>1526.557460979936</v>
      </c>
    </row>
    <row r="12" spans="1:14" x14ac:dyDescent="0.35">
      <c r="A12" t="str">
        <f t="shared" si="0"/>
        <v>WAS</v>
      </c>
      <c r="B12" t="str">
        <f t="shared" si="1"/>
        <v>Washington Redskins</v>
      </c>
      <c r="C12">
        <f t="shared" si="2"/>
        <v>9</v>
      </c>
      <c r="D12">
        <f t="shared" si="3"/>
        <v>7</v>
      </c>
      <c r="E12">
        <f t="shared" si="4"/>
        <v>0</v>
      </c>
      <c r="F12" s="9">
        <f t="shared" si="5"/>
        <v>1553.560779600466</v>
      </c>
      <c r="H12" t="e">
        <f>Teams!#REF!</f>
        <v>#REF!</v>
      </c>
      <c r="I12" t="e">
        <f>Teams!#REF!</f>
        <v>#REF!</v>
      </c>
      <c r="J12">
        <f>SUMIFS(Games[W],Games[Team],H12,Games[Season],$B$1)</f>
        <v>0</v>
      </c>
      <c r="K12">
        <f>SUMIFS(Games[L],Games[Team],H12,Games[Season],$B$1)</f>
        <v>0</v>
      </c>
      <c r="L12">
        <f>SUMIFS(Games[T],Games[Team],H12,Games[Season],$B$1)</f>
        <v>0</v>
      </c>
      <c r="M12" t="str">
        <f>IF(COUNTIFS(Games[Team],H12,Games[Season],$B$1)=0,"",SUMIFS(Games[PostGmRate],Games[Team],H12,Games[Season],$B$1,Games[Week],_xlfn.MAXIFS(Games[Week],Games[Team],H12,Games[Season],$B$1)))</f>
        <v/>
      </c>
      <c r="N12">
        <f t="shared" si="6"/>
        <v>-999998.99998800003</v>
      </c>
    </row>
    <row r="13" spans="1:14" x14ac:dyDescent="0.35">
      <c r="A13" t="str">
        <f t="shared" si="0"/>
        <v>OAK</v>
      </c>
      <c r="B13" t="str">
        <f t="shared" si="1"/>
        <v>Oakland Raiders</v>
      </c>
      <c r="C13">
        <f t="shared" si="2"/>
        <v>7</v>
      </c>
      <c r="D13">
        <f t="shared" si="3"/>
        <v>9</v>
      </c>
      <c r="E13">
        <f t="shared" si="4"/>
        <v>0</v>
      </c>
      <c r="F13" s="9">
        <f t="shared" si="5"/>
        <v>1549.9898936625166</v>
      </c>
      <c r="H13" t="str">
        <f>Teams!A15</f>
        <v>DAL</v>
      </c>
      <c r="I13" t="str">
        <f>Teams!B15</f>
        <v>Dallas Cowboys</v>
      </c>
      <c r="J13">
        <f>SUMIFS(Games[W],Games[Team],H13,Games[Season],$B$1)</f>
        <v>10</v>
      </c>
      <c r="K13">
        <f>SUMIFS(Games[L],Games[Team],H13,Games[Season],$B$1)</f>
        <v>6</v>
      </c>
      <c r="L13">
        <f>SUMIFS(Games[T],Games[Team],H13,Games[Season],$B$1)</f>
        <v>0</v>
      </c>
      <c r="M13">
        <f>IF(COUNTIFS(Games[Team],H13,Games[Season],$B$1)=0,"",SUMIFS(Games[PostGmRate],Games[Team],H13,Games[Season],$B$1,Games[Week],_xlfn.MAXIFS(Games[Week],Games[Team],H13,Games[Season],$B$1)))</f>
        <v>1572.4211707961458</v>
      </c>
      <c r="N13">
        <f t="shared" si="6"/>
        <v>1572.4211837961459</v>
      </c>
    </row>
    <row r="14" spans="1:14" x14ac:dyDescent="0.35">
      <c r="A14" t="str">
        <f t="shared" si="0"/>
        <v>BUF</v>
      </c>
      <c r="B14" t="str">
        <f t="shared" si="1"/>
        <v>Buffalo Bills</v>
      </c>
      <c r="C14">
        <f t="shared" si="2"/>
        <v>10</v>
      </c>
      <c r="D14">
        <f t="shared" si="3"/>
        <v>6</v>
      </c>
      <c r="E14">
        <f t="shared" si="4"/>
        <v>0</v>
      </c>
      <c r="F14" s="9">
        <f t="shared" si="5"/>
        <v>1538.7625118006981</v>
      </c>
      <c r="H14" t="str">
        <f>Teams!A16</f>
        <v>DEN</v>
      </c>
      <c r="I14" t="str">
        <f>Teams!B16</f>
        <v>Denver Broncos</v>
      </c>
      <c r="J14">
        <f>SUMIFS(Games[W],Games[Team],H14,Games[Season],$B$1)</f>
        <v>13</v>
      </c>
      <c r="K14">
        <f>SUMIFS(Games[L],Games[Team],H14,Games[Season],$B$1)</f>
        <v>3</v>
      </c>
      <c r="L14">
        <f>SUMIFS(Games[T],Games[Team],H14,Games[Season],$B$1)</f>
        <v>0</v>
      </c>
      <c r="M14">
        <f>IF(COUNTIFS(Games[Team],H14,Games[Season],$B$1)=0,"",SUMIFS(Games[PostGmRate],Games[Team],H14,Games[Season],$B$1,Games[Week],_xlfn.MAXIFS(Games[Week],Games[Team],H14,Games[Season],$B$1)))</f>
        <v>1631.3618297133428</v>
      </c>
      <c r="N14">
        <f t="shared" si="6"/>
        <v>1631.3618437133428</v>
      </c>
    </row>
    <row r="15" spans="1:14" x14ac:dyDescent="0.35">
      <c r="A15" t="str">
        <f t="shared" si="0"/>
        <v>PHI</v>
      </c>
      <c r="B15" t="str">
        <f t="shared" si="1"/>
        <v>Philadelphia Eagles</v>
      </c>
      <c r="C15">
        <f t="shared" si="2"/>
        <v>10</v>
      </c>
      <c r="D15">
        <f t="shared" si="3"/>
        <v>6</v>
      </c>
      <c r="E15">
        <f t="shared" si="4"/>
        <v>0</v>
      </c>
      <c r="F15" s="9">
        <f t="shared" si="5"/>
        <v>1528.6599933386308</v>
      </c>
      <c r="H15" t="str">
        <f>Teams!A17</f>
        <v>DET</v>
      </c>
      <c r="I15" t="str">
        <f>Teams!B17</f>
        <v>Detroit Lions</v>
      </c>
      <c r="J15">
        <f>SUMIFS(Games[W],Games[Team],H15,Games[Season],$B$1)</f>
        <v>5</v>
      </c>
      <c r="K15">
        <f>SUMIFS(Games[L],Games[Team],H15,Games[Season],$B$1)</f>
        <v>11</v>
      </c>
      <c r="L15">
        <f>SUMIFS(Games[T],Games[Team],H15,Games[Season],$B$1)</f>
        <v>0</v>
      </c>
      <c r="M15">
        <f>IF(COUNTIFS(Games[Team],H15,Games[Season],$B$1)=0,"",SUMIFS(Games[PostGmRate],Games[Team],H15,Games[Season],$B$1,Games[Week],_xlfn.MAXIFS(Games[Week],Games[Team],H15,Games[Season],$B$1)))</f>
        <v>1394.9022506743379</v>
      </c>
      <c r="N15">
        <f t="shared" si="6"/>
        <v>1394.902265674338</v>
      </c>
    </row>
    <row r="16" spans="1:14" x14ac:dyDescent="0.35">
      <c r="A16" t="str">
        <f t="shared" si="0"/>
        <v>CIN</v>
      </c>
      <c r="B16" t="str">
        <f t="shared" si="1"/>
        <v>Cincinnati Bengals</v>
      </c>
      <c r="C16">
        <f t="shared" si="2"/>
        <v>8</v>
      </c>
      <c r="D16">
        <f t="shared" si="3"/>
        <v>8</v>
      </c>
      <c r="E16">
        <f t="shared" si="4"/>
        <v>0</v>
      </c>
      <c r="F16" s="9">
        <f t="shared" si="5"/>
        <v>1526.5574499799359</v>
      </c>
      <c r="H16" t="str">
        <f>Teams!A18</f>
        <v>GB</v>
      </c>
      <c r="I16" t="str">
        <f>Teams!B18</f>
        <v>Green Bay Packers</v>
      </c>
      <c r="J16">
        <f>SUMIFS(Games[W],Games[Team],H16,Games[Season],$B$1)</f>
        <v>13</v>
      </c>
      <c r="K16">
        <f>SUMIFS(Games[L],Games[Team],H16,Games[Season],$B$1)</f>
        <v>3</v>
      </c>
      <c r="L16">
        <f>SUMIFS(Games[T],Games[Team],H16,Games[Season],$B$1)</f>
        <v>0</v>
      </c>
      <c r="M16">
        <f>IF(COUNTIFS(Games[Team],H16,Games[Season],$B$1)=0,"",SUMIFS(Games[PostGmRate],Games[Team],H16,Games[Season],$B$1,Games[Week],_xlfn.MAXIFS(Games[Week],Games[Team],H16,Games[Season],$B$1)))</f>
        <v>1788.307472250335</v>
      </c>
      <c r="N16">
        <f t="shared" si="6"/>
        <v>1788.3074882503349</v>
      </c>
    </row>
    <row r="17" spans="1:14" x14ac:dyDescent="0.35">
      <c r="A17" t="str">
        <f t="shared" si="0"/>
        <v>JAX</v>
      </c>
      <c r="B17" t="str">
        <f t="shared" si="1"/>
        <v>Jacksonville Jaguars</v>
      </c>
      <c r="C17">
        <f t="shared" si="2"/>
        <v>9</v>
      </c>
      <c r="D17">
        <f t="shared" si="3"/>
        <v>7</v>
      </c>
      <c r="E17">
        <f t="shared" si="4"/>
        <v>0</v>
      </c>
      <c r="F17" s="9">
        <f t="shared" si="5"/>
        <v>1516.6500426417581</v>
      </c>
      <c r="H17" t="e">
        <f>Teams!#REF!</f>
        <v>#REF!</v>
      </c>
      <c r="I17" t="e">
        <f>Teams!#REF!</f>
        <v>#REF!</v>
      </c>
      <c r="J17">
        <f>SUMIFS(Games[W],Games[Team],H17,Games[Season],$B$1)</f>
        <v>0</v>
      </c>
      <c r="K17">
        <f>SUMIFS(Games[L],Games[Team],H17,Games[Season],$B$1)</f>
        <v>0</v>
      </c>
      <c r="L17">
        <f>SUMIFS(Games[T],Games[Team],H17,Games[Season],$B$1)</f>
        <v>0</v>
      </c>
      <c r="M17" t="str">
        <f>IF(COUNTIFS(Games[Team],H17,Games[Season],$B$1)=0,"",SUMIFS(Games[PostGmRate],Games[Team],H17,Games[Season],$B$1,Games[Week],_xlfn.MAXIFS(Games[Week],Games[Team],H17,Games[Season],$B$1)))</f>
        <v/>
      </c>
      <c r="N17">
        <f t="shared" si="6"/>
        <v>-999998.99998299999</v>
      </c>
    </row>
    <row r="18" spans="1:14" x14ac:dyDescent="0.35">
      <c r="A18" t="str">
        <f t="shared" si="0"/>
        <v>MIA</v>
      </c>
      <c r="B18" t="str">
        <f t="shared" si="1"/>
        <v>Miami Dolphins</v>
      </c>
      <c r="C18">
        <f t="shared" si="2"/>
        <v>8</v>
      </c>
      <c r="D18">
        <f t="shared" si="3"/>
        <v>8</v>
      </c>
      <c r="E18">
        <f t="shared" si="4"/>
        <v>0</v>
      </c>
      <c r="F18" s="9">
        <f t="shared" si="5"/>
        <v>1502.8316790296981</v>
      </c>
      <c r="H18" t="str">
        <f>Teams!A19</f>
        <v>TEN</v>
      </c>
      <c r="I18" t="str">
        <f>Teams!B19</f>
        <v>Houston Oilers</v>
      </c>
      <c r="J18">
        <f>SUMIFS(Games[W],Games[Team],H18,Games[Season],$B$1)</f>
        <v>8</v>
      </c>
      <c r="K18">
        <f>SUMIFS(Games[L],Games[Team],H18,Games[Season],$B$1)</f>
        <v>8</v>
      </c>
      <c r="L18">
        <f>SUMIFS(Games[T],Games[Team],H18,Games[Season],$B$1)</f>
        <v>0</v>
      </c>
      <c r="M18">
        <f>IF(COUNTIFS(Games[Team],H18,Games[Season],$B$1)=0,"",SUMIFS(Games[PostGmRate],Games[Team],H18,Games[Season],$B$1,Games[Week],_xlfn.MAXIFS(Games[Week],Games[Team],H18,Games[Season],$B$1)))</f>
        <v>1493.5175887796747</v>
      </c>
      <c r="N18">
        <f t="shared" si="6"/>
        <v>1493.5176067796747</v>
      </c>
    </row>
    <row r="19" spans="1:14" x14ac:dyDescent="0.35">
      <c r="A19" t="str">
        <f t="shared" si="0"/>
        <v>KC</v>
      </c>
      <c r="B19" t="str">
        <f t="shared" si="1"/>
        <v>Kansas City Chiefs</v>
      </c>
      <c r="C19">
        <f t="shared" si="2"/>
        <v>9</v>
      </c>
      <c r="D19">
        <f t="shared" si="3"/>
        <v>7</v>
      </c>
      <c r="E19">
        <f t="shared" si="4"/>
        <v>0</v>
      </c>
      <c r="F19" s="9">
        <f t="shared" si="5"/>
        <v>1494.8938011610414</v>
      </c>
      <c r="H19" t="str">
        <f>Teams!A20</f>
        <v>IND</v>
      </c>
      <c r="I19" t="str">
        <f>Teams!B20</f>
        <v>Indianapolis Colts</v>
      </c>
      <c r="J19">
        <f>SUMIFS(Games[W],Games[Team],H19,Games[Season],$B$1)</f>
        <v>9</v>
      </c>
      <c r="K19">
        <f>SUMIFS(Games[L],Games[Team],H19,Games[Season],$B$1)</f>
        <v>7</v>
      </c>
      <c r="L19">
        <f>SUMIFS(Games[T],Games[Team],H19,Games[Season],$B$1)</f>
        <v>0</v>
      </c>
      <c r="M19">
        <f>IF(COUNTIFS(Games[Team],H19,Games[Season],$B$1)=0,"",SUMIFS(Games[PostGmRate],Games[Team],H19,Games[Season],$B$1,Games[Week],_xlfn.MAXIFS(Games[Week],Games[Team],H19,Games[Season],$B$1)))</f>
        <v>1473.5611954675592</v>
      </c>
      <c r="N19">
        <f t="shared" si="6"/>
        <v>1473.5612144675592</v>
      </c>
    </row>
    <row r="20" spans="1:14" x14ac:dyDescent="0.35">
      <c r="A20" t="str">
        <f t="shared" si="0"/>
        <v>TEN</v>
      </c>
      <c r="B20" t="str">
        <f t="shared" si="1"/>
        <v>Houston Oilers</v>
      </c>
      <c r="C20">
        <f t="shared" si="2"/>
        <v>8</v>
      </c>
      <c r="D20">
        <f t="shared" si="3"/>
        <v>8</v>
      </c>
      <c r="E20">
        <f t="shared" si="4"/>
        <v>0</v>
      </c>
      <c r="F20" s="9">
        <f t="shared" si="5"/>
        <v>1493.5175887796747</v>
      </c>
      <c r="H20" t="str">
        <f>Teams!A21</f>
        <v>JAX</v>
      </c>
      <c r="I20" t="str">
        <f>Teams!B21</f>
        <v>Jacksonville Jaguars</v>
      </c>
      <c r="J20">
        <f>SUMIFS(Games[W],Games[Team],H20,Games[Season],$B$1)</f>
        <v>9</v>
      </c>
      <c r="K20">
        <f>SUMIFS(Games[L],Games[Team],H20,Games[Season],$B$1)</f>
        <v>7</v>
      </c>
      <c r="L20">
        <f>SUMIFS(Games[T],Games[Team],H20,Games[Season],$B$1)</f>
        <v>0</v>
      </c>
      <c r="M20">
        <f>IF(COUNTIFS(Games[Team],H20,Games[Season],$B$1)=0,"",SUMIFS(Games[PostGmRate],Games[Team],H20,Games[Season],$B$1,Games[Week],_xlfn.MAXIFS(Games[Week],Games[Team],H20,Games[Season],$B$1)))</f>
        <v>1516.6500426417581</v>
      </c>
      <c r="N20">
        <f t="shared" si="6"/>
        <v>1516.650062641758</v>
      </c>
    </row>
    <row r="21" spans="1:14" x14ac:dyDescent="0.35">
      <c r="A21" t="str">
        <f t="shared" si="0"/>
        <v>SEA</v>
      </c>
      <c r="B21" t="str">
        <f t="shared" si="1"/>
        <v>Seattle Seahawks</v>
      </c>
      <c r="C21">
        <f t="shared" si="2"/>
        <v>7</v>
      </c>
      <c r="D21">
        <f t="shared" si="3"/>
        <v>9</v>
      </c>
      <c r="E21">
        <f t="shared" si="4"/>
        <v>0</v>
      </c>
      <c r="F21" s="9">
        <f t="shared" si="5"/>
        <v>1483.5946171029846</v>
      </c>
      <c r="H21" t="str">
        <f>Teams!A22</f>
        <v>KC</v>
      </c>
      <c r="I21" t="str">
        <f>Teams!B22</f>
        <v>Kansas City Chiefs</v>
      </c>
      <c r="J21">
        <f>SUMIFS(Games[W],Games[Team],H21,Games[Season],$B$1)</f>
        <v>9</v>
      </c>
      <c r="K21">
        <f>SUMIFS(Games[L],Games[Team],H21,Games[Season],$B$1)</f>
        <v>7</v>
      </c>
      <c r="L21">
        <f>SUMIFS(Games[T],Games[Team],H21,Games[Season],$B$1)</f>
        <v>0</v>
      </c>
      <c r="M21">
        <f>IF(COUNTIFS(Games[Team],H21,Games[Season],$B$1)=0,"",SUMIFS(Games[PostGmRate],Games[Team],H21,Games[Season],$B$1,Games[Week],_xlfn.MAXIFS(Games[Week],Games[Team],H21,Games[Season],$B$1)))</f>
        <v>1494.8938011610414</v>
      </c>
      <c r="N21">
        <f t="shared" si="6"/>
        <v>1494.8938221610415</v>
      </c>
    </row>
    <row r="22" spans="1:14" x14ac:dyDescent="0.35">
      <c r="A22" t="str">
        <f t="shared" si="0"/>
        <v>MIN</v>
      </c>
      <c r="B22" t="str">
        <f t="shared" si="1"/>
        <v>Minnesota Vikings</v>
      </c>
      <c r="C22">
        <f t="shared" si="2"/>
        <v>9</v>
      </c>
      <c r="D22">
        <f t="shared" si="3"/>
        <v>7</v>
      </c>
      <c r="E22">
        <f t="shared" si="4"/>
        <v>0</v>
      </c>
      <c r="F22" s="9">
        <f t="shared" si="5"/>
        <v>1478.5493122176506</v>
      </c>
      <c r="H22" t="str">
        <f>Teams!A23</f>
        <v>MIA</v>
      </c>
      <c r="I22" t="str">
        <f>Teams!B23</f>
        <v>Miami Dolphins</v>
      </c>
      <c r="J22">
        <f>SUMIFS(Games[W],Games[Team],H22,Games[Season],$B$1)</f>
        <v>8</v>
      </c>
      <c r="K22">
        <f>SUMIFS(Games[L],Games[Team],H22,Games[Season],$B$1)</f>
        <v>8</v>
      </c>
      <c r="L22">
        <f>SUMIFS(Games[T],Games[Team],H22,Games[Season],$B$1)</f>
        <v>0</v>
      </c>
      <c r="M22">
        <f>IF(COUNTIFS(Games[Team],H22,Games[Season],$B$1)=0,"",SUMIFS(Games[PostGmRate],Games[Team],H22,Games[Season],$B$1,Games[Week],_xlfn.MAXIFS(Games[Week],Games[Team],H22,Games[Season],$B$1)))</f>
        <v>1502.8316790296981</v>
      </c>
      <c r="N22">
        <f t="shared" si="6"/>
        <v>1502.831701029698</v>
      </c>
    </row>
    <row r="23" spans="1:14" x14ac:dyDescent="0.35">
      <c r="A23" t="str">
        <f t="shared" si="0"/>
        <v>IND</v>
      </c>
      <c r="B23" t="str">
        <f t="shared" si="1"/>
        <v>Indianapolis Colts</v>
      </c>
      <c r="C23">
        <f t="shared" si="2"/>
        <v>9</v>
      </c>
      <c r="D23">
        <f t="shared" si="3"/>
        <v>7</v>
      </c>
      <c r="E23">
        <f t="shared" si="4"/>
        <v>0</v>
      </c>
      <c r="F23" s="9">
        <f t="shared" si="5"/>
        <v>1473.5611954675592</v>
      </c>
      <c r="H23" t="str">
        <f>Teams!A24</f>
        <v>MIN</v>
      </c>
      <c r="I23" t="str">
        <f>Teams!B24</f>
        <v>Minnesota Vikings</v>
      </c>
      <c r="J23">
        <f>SUMIFS(Games[W],Games[Team],H23,Games[Season],$B$1)</f>
        <v>9</v>
      </c>
      <c r="K23">
        <f>SUMIFS(Games[L],Games[Team],H23,Games[Season],$B$1)</f>
        <v>7</v>
      </c>
      <c r="L23">
        <f>SUMIFS(Games[T],Games[Team],H23,Games[Season],$B$1)</f>
        <v>0</v>
      </c>
      <c r="M23">
        <f>IF(COUNTIFS(Games[Team],H23,Games[Season],$B$1)=0,"",SUMIFS(Games[PostGmRate],Games[Team],H23,Games[Season],$B$1,Games[Week],_xlfn.MAXIFS(Games[Week],Games[Team],H23,Games[Season],$B$1)))</f>
        <v>1478.5493122176506</v>
      </c>
      <c r="N23">
        <f t="shared" si="6"/>
        <v>1478.5493352176507</v>
      </c>
    </row>
    <row r="24" spans="1:14" x14ac:dyDescent="0.35">
      <c r="A24" t="str">
        <f t="shared" si="0"/>
        <v>CHI</v>
      </c>
      <c r="B24" t="str">
        <f t="shared" si="1"/>
        <v>Chicago Bears</v>
      </c>
      <c r="C24">
        <f t="shared" si="2"/>
        <v>7</v>
      </c>
      <c r="D24">
        <f t="shared" si="3"/>
        <v>9</v>
      </c>
      <c r="E24">
        <f t="shared" si="4"/>
        <v>0</v>
      </c>
      <c r="F24" s="9">
        <f t="shared" si="5"/>
        <v>1469.7706857769397</v>
      </c>
      <c r="H24" t="str">
        <f>Teams!A25</f>
        <v>NE</v>
      </c>
      <c r="I24" t="str">
        <f>Teams!B25</f>
        <v>New England Patriots</v>
      </c>
      <c r="J24">
        <f>SUMIFS(Games[W],Games[Team],H24,Games[Season],$B$1)</f>
        <v>11</v>
      </c>
      <c r="K24">
        <f>SUMIFS(Games[L],Games[Team],H24,Games[Season],$B$1)</f>
        <v>5</v>
      </c>
      <c r="L24">
        <f>SUMIFS(Games[T],Games[Team],H24,Games[Season],$B$1)</f>
        <v>0</v>
      </c>
      <c r="M24">
        <f>IF(COUNTIFS(Games[Team],H24,Games[Season],$B$1)=0,"",SUMIFS(Games[PostGmRate],Games[Team],H24,Games[Season],$B$1,Games[Week],_xlfn.MAXIFS(Games[Week],Games[Team],H24,Games[Season],$B$1)))</f>
        <v>1637.2845584469012</v>
      </c>
      <c r="N24">
        <f t="shared" si="6"/>
        <v>1637.2845824469011</v>
      </c>
    </row>
    <row r="25" spans="1:14" x14ac:dyDescent="0.35">
      <c r="A25" t="str">
        <f t="shared" si="0"/>
        <v>SD</v>
      </c>
      <c r="B25" t="str">
        <f t="shared" si="1"/>
        <v>San Diego Chargers</v>
      </c>
      <c r="C25">
        <f t="shared" si="2"/>
        <v>8</v>
      </c>
      <c r="D25">
        <f t="shared" si="3"/>
        <v>8</v>
      </c>
      <c r="E25">
        <f t="shared" si="4"/>
        <v>0</v>
      </c>
      <c r="F25" s="9">
        <f t="shared" si="5"/>
        <v>1455.1769185537651</v>
      </c>
      <c r="H25" t="str">
        <f>Teams!A26</f>
        <v>NO</v>
      </c>
      <c r="I25" t="str">
        <f>Teams!B26</f>
        <v>New Orleans Saints</v>
      </c>
      <c r="J25">
        <f>SUMIFS(Games[W],Games[Team],H25,Games[Season],$B$1)</f>
        <v>3</v>
      </c>
      <c r="K25">
        <f>SUMIFS(Games[L],Games[Team],H25,Games[Season],$B$1)</f>
        <v>13</v>
      </c>
      <c r="L25">
        <f>SUMIFS(Games[T],Games[Team],H25,Games[Season],$B$1)</f>
        <v>0</v>
      </c>
      <c r="M25">
        <f>IF(COUNTIFS(Games[Team],H25,Games[Season],$B$1)=0,"",SUMIFS(Games[PostGmRate],Games[Team],H25,Games[Season],$B$1,Games[Week],_xlfn.MAXIFS(Games[Week],Games[Team],H25,Games[Season],$B$1)))</f>
        <v>1314.5722055089584</v>
      </c>
      <c r="N25">
        <f t="shared" si="6"/>
        <v>1314.5722305089585</v>
      </c>
    </row>
    <row r="26" spans="1:14" x14ac:dyDescent="0.35">
      <c r="A26" t="str">
        <f t="shared" si="0"/>
        <v>NYG</v>
      </c>
      <c r="B26" t="str">
        <f t="shared" si="1"/>
        <v>New York Giants</v>
      </c>
      <c r="C26">
        <f t="shared" si="2"/>
        <v>6</v>
      </c>
      <c r="D26">
        <f t="shared" si="3"/>
        <v>10</v>
      </c>
      <c r="E26">
        <f t="shared" si="4"/>
        <v>0</v>
      </c>
      <c r="F26" s="9">
        <f t="shared" si="5"/>
        <v>1445.5106067065735</v>
      </c>
      <c r="H26" t="str">
        <f>Teams!A27</f>
        <v>NYG</v>
      </c>
      <c r="I26" t="str">
        <f>Teams!B27</f>
        <v>New York Giants</v>
      </c>
      <c r="J26">
        <f>SUMIFS(Games[W],Games[Team],H26,Games[Season],$B$1)</f>
        <v>6</v>
      </c>
      <c r="K26">
        <f>SUMIFS(Games[L],Games[Team],H26,Games[Season],$B$1)</f>
        <v>10</v>
      </c>
      <c r="L26">
        <f>SUMIFS(Games[T],Games[Team],H26,Games[Season],$B$1)</f>
        <v>0</v>
      </c>
      <c r="M26">
        <f>IF(COUNTIFS(Games[Team],H26,Games[Season],$B$1)=0,"",SUMIFS(Games[PostGmRate],Games[Team],H26,Games[Season],$B$1,Games[Week],_xlfn.MAXIFS(Games[Week],Games[Team],H26,Games[Season],$B$1)))</f>
        <v>1445.5106067065735</v>
      </c>
      <c r="N26">
        <f t="shared" si="6"/>
        <v>1445.5106327065735</v>
      </c>
    </row>
    <row r="27" spans="1:14" x14ac:dyDescent="0.35">
      <c r="A27" t="str">
        <f t="shared" si="0"/>
        <v>TB</v>
      </c>
      <c r="B27" t="str">
        <f t="shared" si="1"/>
        <v>Tampa Bay Buccaneers</v>
      </c>
      <c r="C27">
        <f t="shared" si="2"/>
        <v>6</v>
      </c>
      <c r="D27">
        <f t="shared" si="3"/>
        <v>10</v>
      </c>
      <c r="E27">
        <f t="shared" si="4"/>
        <v>0</v>
      </c>
      <c r="F27" s="9">
        <f t="shared" si="5"/>
        <v>1437.6550568862808</v>
      </c>
      <c r="H27" t="str">
        <f>Teams!A28</f>
        <v>NYJ</v>
      </c>
      <c r="I27" t="str">
        <f>Teams!B28</f>
        <v>New York Jets</v>
      </c>
      <c r="J27">
        <f>SUMIFS(Games[W],Games[Team],H27,Games[Season],$B$1)</f>
        <v>1</v>
      </c>
      <c r="K27">
        <f>SUMIFS(Games[L],Games[Team],H27,Games[Season],$B$1)</f>
        <v>15</v>
      </c>
      <c r="L27">
        <f>SUMIFS(Games[T],Games[Team],H27,Games[Season],$B$1)</f>
        <v>0</v>
      </c>
      <c r="M27">
        <f>IF(COUNTIFS(Games[Team],H27,Games[Season],$B$1)=0,"",SUMIFS(Games[PostGmRate],Games[Team],H27,Games[Season],$B$1,Games[Week],_xlfn.MAXIFS(Games[Week],Games[Team],H27,Games[Season],$B$1)))</f>
        <v>1297.7427579871378</v>
      </c>
      <c r="N27">
        <f t="shared" si="6"/>
        <v>1297.7427849871378</v>
      </c>
    </row>
    <row r="28" spans="1:14" x14ac:dyDescent="0.35">
      <c r="A28" t="str">
        <f t="shared" si="0"/>
        <v>STL</v>
      </c>
      <c r="B28" t="str">
        <f t="shared" si="1"/>
        <v>St. Louis Rams</v>
      </c>
      <c r="C28">
        <f t="shared" si="2"/>
        <v>6</v>
      </c>
      <c r="D28">
        <f t="shared" si="3"/>
        <v>10</v>
      </c>
      <c r="E28">
        <f t="shared" si="4"/>
        <v>0</v>
      </c>
      <c r="F28" s="9">
        <f t="shared" si="5"/>
        <v>1425.4593396496798</v>
      </c>
      <c r="H28" t="str">
        <f>Teams!A29</f>
        <v>OAK</v>
      </c>
      <c r="I28" t="str">
        <f>Teams!B29</f>
        <v>Oakland Raiders</v>
      </c>
      <c r="J28">
        <f>SUMIFS(Games[W],Games[Team],H28,Games[Season],$B$1)</f>
        <v>7</v>
      </c>
      <c r="K28">
        <f>SUMIFS(Games[L],Games[Team],H28,Games[Season],$B$1)</f>
        <v>9</v>
      </c>
      <c r="L28">
        <f>SUMIFS(Games[T],Games[Team],H28,Games[Season],$B$1)</f>
        <v>0</v>
      </c>
      <c r="M28">
        <f>IF(COUNTIFS(Games[Team],H28,Games[Season],$B$1)=0,"",SUMIFS(Games[PostGmRate],Games[Team],H28,Games[Season],$B$1,Games[Week],_xlfn.MAXIFS(Games[Week],Games[Team],H28,Games[Season],$B$1)))</f>
        <v>1549.9898936625166</v>
      </c>
      <c r="N28">
        <f t="shared" si="6"/>
        <v>1549.9899216625165</v>
      </c>
    </row>
    <row r="29" spans="1:14" x14ac:dyDescent="0.35">
      <c r="A29" t="str">
        <f t="shared" si="0"/>
        <v>ARI</v>
      </c>
      <c r="B29" t="str">
        <f t="shared" si="1"/>
        <v>Arizona Cardinals</v>
      </c>
      <c r="C29">
        <f t="shared" si="2"/>
        <v>7</v>
      </c>
      <c r="D29">
        <f t="shared" si="3"/>
        <v>9</v>
      </c>
      <c r="E29">
        <f t="shared" si="4"/>
        <v>0</v>
      </c>
      <c r="F29" s="9">
        <f t="shared" si="5"/>
        <v>1407.2935220291561</v>
      </c>
      <c r="H29" t="str">
        <f>Teams!A30</f>
        <v>PHI</v>
      </c>
      <c r="I29" t="str">
        <f>Teams!B30</f>
        <v>Philadelphia Eagles</v>
      </c>
      <c r="J29">
        <f>SUMIFS(Games[W],Games[Team],H29,Games[Season],$B$1)</f>
        <v>10</v>
      </c>
      <c r="K29">
        <f>SUMIFS(Games[L],Games[Team],H29,Games[Season],$B$1)</f>
        <v>6</v>
      </c>
      <c r="L29">
        <f>SUMIFS(Games[T],Games[Team],H29,Games[Season],$B$1)</f>
        <v>0</v>
      </c>
      <c r="M29">
        <f>IF(COUNTIFS(Games[Team],H29,Games[Season],$B$1)=0,"",SUMIFS(Games[PostGmRate],Games[Team],H29,Games[Season],$B$1,Games[Week],_xlfn.MAXIFS(Games[Week],Games[Team],H29,Games[Season],$B$1)))</f>
        <v>1528.6599933386308</v>
      </c>
      <c r="N29">
        <f t="shared" si="6"/>
        <v>1528.6600223386308</v>
      </c>
    </row>
    <row r="30" spans="1:14" x14ac:dyDescent="0.35">
      <c r="A30" t="str">
        <f t="shared" si="0"/>
        <v>BAL</v>
      </c>
      <c r="B30" t="str">
        <f t="shared" si="1"/>
        <v>Baltimore Ravens</v>
      </c>
      <c r="C30">
        <f t="shared" si="2"/>
        <v>4</v>
      </c>
      <c r="D30">
        <f t="shared" si="3"/>
        <v>12</v>
      </c>
      <c r="E30">
        <f t="shared" si="4"/>
        <v>0</v>
      </c>
      <c r="F30" s="9">
        <f t="shared" si="5"/>
        <v>1405.3440157874682</v>
      </c>
      <c r="H30" t="str">
        <f>Teams!A31</f>
        <v>PIT</v>
      </c>
      <c r="I30" t="str">
        <f>Teams!B31</f>
        <v>Pittsburgh Steelers</v>
      </c>
      <c r="J30">
        <f>SUMIFS(Games[W],Games[Team],H30,Games[Season],$B$1)</f>
        <v>10</v>
      </c>
      <c r="K30">
        <f>SUMIFS(Games[L],Games[Team],H30,Games[Season],$B$1)</f>
        <v>6</v>
      </c>
      <c r="L30">
        <f>SUMIFS(Games[T],Games[Team],H30,Games[Season],$B$1)</f>
        <v>0</v>
      </c>
      <c r="M30">
        <f>IF(COUNTIFS(Games[Team],H30,Games[Season],$B$1)=0,"",SUMIFS(Games[PostGmRate],Games[Team],H30,Games[Season],$B$1,Games[Week],_xlfn.MAXIFS(Games[Week],Games[Team],H30,Games[Season],$B$1)))</f>
        <v>1559.7530031321207</v>
      </c>
      <c r="N30">
        <f t="shared" si="6"/>
        <v>1559.7530331321207</v>
      </c>
    </row>
    <row r="31" spans="1:14" x14ac:dyDescent="0.35">
      <c r="A31" t="str">
        <f t="shared" si="0"/>
        <v>DET</v>
      </c>
      <c r="B31" t="str">
        <f t="shared" si="1"/>
        <v>Detroit Lions</v>
      </c>
      <c r="C31">
        <f t="shared" si="2"/>
        <v>5</v>
      </c>
      <c r="D31">
        <f t="shared" si="3"/>
        <v>11</v>
      </c>
      <c r="E31">
        <f t="shared" si="4"/>
        <v>0</v>
      </c>
      <c r="F31" s="9">
        <f t="shared" si="5"/>
        <v>1394.9022506743379</v>
      </c>
      <c r="H31" t="str">
        <f>Teams!A32</f>
        <v>SD</v>
      </c>
      <c r="I31" t="str">
        <f>Teams!B32</f>
        <v>San Diego Chargers</v>
      </c>
      <c r="J31">
        <f>SUMIFS(Games[W],Games[Team],H31,Games[Season],$B$1)</f>
        <v>8</v>
      </c>
      <c r="K31">
        <f>SUMIFS(Games[L],Games[Team],H31,Games[Season],$B$1)</f>
        <v>8</v>
      </c>
      <c r="L31">
        <f>SUMIFS(Games[T],Games[Team],H31,Games[Season],$B$1)</f>
        <v>0</v>
      </c>
      <c r="M31">
        <f>IF(COUNTIFS(Games[Team],H31,Games[Season],$B$1)=0,"",SUMIFS(Games[PostGmRate],Games[Team],H31,Games[Season],$B$1,Games[Week],_xlfn.MAXIFS(Games[Week],Games[Team],H31,Games[Season],$B$1)))</f>
        <v>1455.1769185537651</v>
      </c>
      <c r="N31">
        <f t="shared" si="6"/>
        <v>1455.1769495537651</v>
      </c>
    </row>
    <row r="32" spans="1:14" x14ac:dyDescent="0.35">
      <c r="A32" t="str">
        <f t="shared" si="0"/>
        <v>ATL</v>
      </c>
      <c r="B32" t="str">
        <f t="shared" si="1"/>
        <v>Atlanta Falcons</v>
      </c>
      <c r="C32">
        <f t="shared" si="2"/>
        <v>3</v>
      </c>
      <c r="D32">
        <f t="shared" si="3"/>
        <v>13</v>
      </c>
      <c r="E32">
        <f t="shared" si="4"/>
        <v>0</v>
      </c>
      <c r="F32" s="9">
        <f t="shared" si="5"/>
        <v>1330.3068556232245</v>
      </c>
      <c r="H32" t="str">
        <f>Teams!A33</f>
        <v>SF</v>
      </c>
      <c r="I32" t="str">
        <f>Teams!B33</f>
        <v>San Francisco 49ers</v>
      </c>
      <c r="J32">
        <f>SUMIFS(Games[W],Games[Team],H32,Games[Season],$B$1)</f>
        <v>12</v>
      </c>
      <c r="K32">
        <f>SUMIFS(Games[L],Games[Team],H32,Games[Season],$B$1)</f>
        <v>4</v>
      </c>
      <c r="L32">
        <f>SUMIFS(Games[T],Games[Team],H32,Games[Season],$B$1)</f>
        <v>0</v>
      </c>
      <c r="M32">
        <f>IF(COUNTIFS(Games[Team],H32,Games[Season],$B$1)=0,"",SUMIFS(Games[PostGmRate],Games[Team],H32,Games[Season],$B$1,Games[Week],_xlfn.MAXIFS(Games[Week],Games[Team],H32,Games[Season],$B$1)))</f>
        <v>1636.0703355269582</v>
      </c>
      <c r="N32">
        <f t="shared" si="6"/>
        <v>1636.0703675269581</v>
      </c>
    </row>
    <row r="33" spans="1:14" x14ac:dyDescent="0.35">
      <c r="A33" t="str">
        <f t="shared" si="0"/>
        <v>NO</v>
      </c>
      <c r="B33" t="str">
        <f t="shared" si="1"/>
        <v>New Orleans Saints</v>
      </c>
      <c r="C33">
        <f t="shared" si="2"/>
        <v>3</v>
      </c>
      <c r="D33">
        <f t="shared" si="3"/>
        <v>13</v>
      </c>
      <c r="E33">
        <f t="shared" si="4"/>
        <v>0</v>
      </c>
      <c r="F33" s="9">
        <f t="shared" si="5"/>
        <v>1314.5722055089584</v>
      </c>
      <c r="H33" t="str">
        <f>Teams!A34</f>
        <v>SEA</v>
      </c>
      <c r="I33" t="str">
        <f>Teams!B34</f>
        <v>Seattle Seahawks</v>
      </c>
      <c r="J33">
        <f>SUMIFS(Games[W],Games[Team],H33,Games[Season],$B$1)</f>
        <v>7</v>
      </c>
      <c r="K33">
        <f>SUMIFS(Games[L],Games[Team],H33,Games[Season],$B$1)</f>
        <v>9</v>
      </c>
      <c r="L33">
        <f>SUMIFS(Games[T],Games[Team],H33,Games[Season],$B$1)</f>
        <v>0</v>
      </c>
      <c r="M33">
        <f>IF(COUNTIFS(Games[Team],H33,Games[Season],$B$1)=0,"",SUMIFS(Games[PostGmRate],Games[Team],H33,Games[Season],$B$1,Games[Week],_xlfn.MAXIFS(Games[Week],Games[Team],H33,Games[Season],$B$1)))</f>
        <v>1483.5946171029846</v>
      </c>
      <c r="N33">
        <f t="shared" si="6"/>
        <v>1483.5946501029846</v>
      </c>
    </row>
    <row r="34" spans="1:14" x14ac:dyDescent="0.35">
      <c r="A34" t="str">
        <f t="shared" si="0"/>
        <v>NYJ</v>
      </c>
      <c r="B34" t="str">
        <f t="shared" si="1"/>
        <v>New York Jets</v>
      </c>
      <c r="C34">
        <f t="shared" si="2"/>
        <v>1</v>
      </c>
      <c r="D34">
        <f t="shared" si="3"/>
        <v>15</v>
      </c>
      <c r="E34">
        <f t="shared" si="4"/>
        <v>0</v>
      </c>
      <c r="F34" s="9">
        <f t="shared" si="5"/>
        <v>1297.7427579871378</v>
      </c>
      <c r="H34" t="str">
        <f>Teams!A35</f>
        <v>STL</v>
      </c>
      <c r="I34" t="str">
        <f>Teams!B35</f>
        <v>St. Louis Rams</v>
      </c>
      <c r="J34">
        <f>SUMIFS(Games[W],Games[Team],H34,Games[Season],$B$1)</f>
        <v>6</v>
      </c>
      <c r="K34">
        <f>SUMIFS(Games[L],Games[Team],H34,Games[Season],$B$1)</f>
        <v>10</v>
      </c>
      <c r="L34">
        <f>SUMIFS(Games[T],Games[Team],H34,Games[Season],$B$1)</f>
        <v>0</v>
      </c>
      <c r="M34">
        <f>IF(COUNTIFS(Games[Team],H34,Games[Season],$B$1)=0,"",SUMIFS(Games[PostGmRate],Games[Team],H34,Games[Season],$B$1,Games[Week],_xlfn.MAXIFS(Games[Week],Games[Team],H34,Games[Season],$B$1)))</f>
        <v>1425.4593396496798</v>
      </c>
      <c r="N34">
        <f t="shared" si="6"/>
        <v>1425.4593736496797</v>
      </c>
    </row>
    <row r="35" spans="1:14" x14ac:dyDescent="0.35">
      <c r="F35" s="9"/>
      <c r="H35" t="str">
        <f>Teams!A36</f>
        <v>TB</v>
      </c>
      <c r="I35" t="str">
        <f>Teams!B36</f>
        <v>Tampa Bay Buccaneers</v>
      </c>
      <c r="J35">
        <f>SUMIFS(Games[W],Games[Team],H35,Games[Season],$B$1)</f>
        <v>6</v>
      </c>
      <c r="K35">
        <f>SUMIFS(Games[L],Games[Team],H35,Games[Season],$B$1)</f>
        <v>10</v>
      </c>
      <c r="L35">
        <f>SUMIFS(Games[T],Games[Team],H35,Games[Season],$B$1)</f>
        <v>0</v>
      </c>
      <c r="M35">
        <f>IF(COUNTIFS(Games[Team],H35,Games[Season],$B$1)=0,"",SUMIFS(Games[PostGmRate],Games[Team],H35,Games[Season],$B$1,Games[Week],_xlfn.MAXIFS(Games[Week],Games[Team],H35,Games[Season],$B$1)))</f>
        <v>1437.6550568862808</v>
      </c>
      <c r="N35">
        <f t="shared" si="6"/>
        <v>1437.6550918862808</v>
      </c>
    </row>
    <row r="36" spans="1:14" x14ac:dyDescent="0.35">
      <c r="F36" s="9"/>
      <c r="H36" t="str">
        <f>Teams!A37</f>
        <v>WAS</v>
      </c>
      <c r="I36" t="str">
        <f>Teams!B37</f>
        <v>Washington Redskins</v>
      </c>
      <c r="J36">
        <f>SUMIFS(Games[W],Games[Team],H36,Games[Season],$B$1)</f>
        <v>9</v>
      </c>
      <c r="K36">
        <f>SUMIFS(Games[L],Games[Team],H36,Games[Season],$B$1)</f>
        <v>7</v>
      </c>
      <c r="L36">
        <f>SUMIFS(Games[T],Games[Team],H36,Games[Season],$B$1)</f>
        <v>0</v>
      </c>
      <c r="M36">
        <f>IF(COUNTIFS(Games[Team],H36,Games[Season],$B$1)=0,"",SUMIFS(Games[PostGmRate],Games[Team],H36,Games[Season],$B$1,Games[Week],_xlfn.MAXIFS(Games[Week],Games[Team],H36,Games[Season],$B$1)))</f>
        <v>1553.560779600466</v>
      </c>
      <c r="N36">
        <f t="shared" si="6"/>
        <v>1553.560815600466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13</vt:i4>
      </vt:variant>
    </vt:vector>
  </HeadingPairs>
  <TitlesOfParts>
    <vt:vector size="18" baseType="lpstr">
      <vt:lpstr>Instructions</vt:lpstr>
      <vt:lpstr>Params</vt:lpstr>
      <vt:lpstr>Teams</vt:lpstr>
      <vt:lpstr>Games</vt:lpstr>
      <vt:lpstr>Standings</vt:lpstr>
      <vt:lpstr>Alpha</vt:lpstr>
      <vt:lpstr>Base</vt:lpstr>
      <vt:lpstr>ConfMult</vt:lpstr>
      <vt:lpstr>DivMult</vt:lpstr>
      <vt:lpstr>HFA</vt:lpstr>
      <vt:lpstr>KFloor</vt:lpstr>
      <vt:lpstr>KMax</vt:lpstr>
      <vt:lpstr>POMult_CC</vt:lpstr>
      <vt:lpstr>POMult_DV</vt:lpstr>
      <vt:lpstr>POMult_SB</vt:lpstr>
      <vt:lpstr>POMult_WC</vt:lpstr>
      <vt:lpstr>RestMajor</vt:lpstr>
      <vt:lpstr>RestMinor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Tj Sutton</cp:lastModifiedBy>
  <dcterms:created xsi:type="dcterms:W3CDTF">2026-07-31T09:56:59Z</dcterms:created>
  <dcterms:modified xsi:type="dcterms:W3CDTF">2026-07-31T20:33:07Z</dcterms:modified>
</cp:coreProperties>
</file>